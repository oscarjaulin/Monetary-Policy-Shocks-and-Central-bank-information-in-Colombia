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Mercados financieros/"/>
    </mc:Choice>
  </mc:AlternateContent>
  <xr:revisionPtr revIDLastSave="21" documentId="13_ncr:1_{FC916FFB-DEC9-4F75-8A97-DC679E799DA5}" xr6:coauthVersionLast="47" xr6:coauthVersionMax="47" xr10:uidLastSave="{353691B1-552F-4AA1-B825-7920D6D12079}"/>
  <bookViews>
    <workbookView xWindow="-120" yWindow="-120" windowWidth="29040" windowHeight="15720" activeTab="1" xr2:uid="{38F8543D-367E-444C-A440-27DC4A3AEE68}"/>
  </bookViews>
  <sheets>
    <sheet name="COLCAP" sheetId="1" r:id="rId1"/>
    <sheet name="BEI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" i="2"/>
  <c r="B3" i="2"/>
  <c r="C3" i="2"/>
  <c r="D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D2" i="2"/>
  <c r="C2" i="2"/>
  <c r="B2" i="2"/>
  <c r="C3" i="1"/>
  <c r="D3" i="1"/>
  <c r="D4" i="1"/>
  <c r="B6" i="1"/>
  <c r="C6" i="1"/>
  <c r="D6" i="1"/>
  <c r="B10" i="1"/>
  <c r="C10" i="1"/>
  <c r="D10" i="1"/>
  <c r="D11" i="1"/>
  <c r="B14" i="1"/>
  <c r="C15" i="1"/>
  <c r="D15" i="1"/>
  <c r="D16" i="1"/>
  <c r="B18" i="1"/>
  <c r="C18" i="1"/>
  <c r="D18" i="1"/>
  <c r="D19" i="1"/>
  <c r="B22" i="1"/>
  <c r="C22" i="1"/>
  <c r="D22" i="1"/>
  <c r="C27" i="1"/>
  <c r="D27" i="1"/>
  <c r="D28" i="1"/>
  <c r="B30" i="1"/>
  <c r="C30" i="1"/>
  <c r="D30" i="1"/>
  <c r="D31" i="1"/>
  <c r="B34" i="1"/>
  <c r="C34" i="1"/>
  <c r="D34" i="1"/>
  <c r="C39" i="1"/>
  <c r="D39" i="1"/>
  <c r="D40" i="1"/>
  <c r="B42" i="1"/>
  <c r="C42" i="1"/>
  <c r="D42" i="1"/>
  <c r="B46" i="1"/>
  <c r="C46" i="1"/>
  <c r="D46" i="1"/>
  <c r="D47" i="1"/>
  <c r="C51" i="1"/>
  <c r="D51" i="1"/>
  <c r="D52" i="1"/>
  <c r="B54" i="1"/>
  <c r="C54" i="1"/>
  <c r="B58" i="1"/>
  <c r="C58" i="1"/>
  <c r="D58" i="1"/>
  <c r="C63" i="1"/>
  <c r="D63" i="1"/>
  <c r="D64" i="1"/>
  <c r="C66" i="1"/>
  <c r="D66" i="1"/>
  <c r="D67" i="1"/>
  <c r="B70" i="1"/>
  <c r="C70" i="1"/>
  <c r="D70" i="1"/>
  <c r="D71" i="1"/>
  <c r="C74" i="1"/>
  <c r="D74" i="1"/>
  <c r="C75" i="1"/>
  <c r="D75" i="1"/>
  <c r="D76" i="1"/>
  <c r="B78" i="1"/>
  <c r="C78" i="1"/>
  <c r="D78" i="1"/>
  <c r="C82" i="1"/>
  <c r="D82" i="1"/>
  <c r="D83" i="1"/>
  <c r="B86" i="1"/>
  <c r="C87" i="1"/>
  <c r="D87" i="1"/>
  <c r="D88" i="1"/>
  <c r="B90" i="1"/>
  <c r="C90" i="1"/>
  <c r="D90" i="1"/>
  <c r="D91" i="1"/>
  <c r="B94" i="1"/>
  <c r="C94" i="1"/>
  <c r="D94" i="1"/>
  <c r="D99" i="1"/>
  <c r="D100" i="1"/>
  <c r="B102" i="1"/>
  <c r="C102" i="1"/>
  <c r="D102" i="1"/>
  <c r="D103" i="1"/>
  <c r="B106" i="1"/>
  <c r="C106" i="1"/>
  <c r="D111" i="1"/>
  <c r="D112" i="1"/>
  <c r="B114" i="1"/>
  <c r="C114" i="1"/>
  <c r="D114" i="1"/>
  <c r="D115" i="1"/>
  <c r="B118" i="1"/>
  <c r="D123" i="1"/>
  <c r="D124" i="1"/>
  <c r="B126" i="1"/>
  <c r="C126" i="1"/>
  <c r="D126" i="1"/>
  <c r="D127" i="1"/>
  <c r="D135" i="1"/>
  <c r="D136" i="1"/>
  <c r="B138" i="1"/>
  <c r="C138" i="1"/>
  <c r="D138" i="1"/>
  <c r="D147" i="1"/>
  <c r="D148" i="1"/>
  <c r="B150" i="1"/>
  <c r="C150" i="1"/>
  <c r="D150" i="1"/>
  <c r="D155" i="1"/>
  <c r="D160" i="1"/>
  <c r="B162" i="1"/>
  <c r="C162" i="1"/>
  <c r="B174" i="1"/>
  <c r="C174" i="1"/>
  <c r="B186" i="1"/>
  <c r="D191" i="1"/>
  <c r="D192" i="1"/>
  <c r="C194" i="1"/>
  <c r="D194" i="1"/>
  <c r="B198" i="1"/>
  <c r="C198" i="1"/>
  <c r="D198" i="1"/>
  <c r="D199" i="1"/>
  <c r="C202" i="1"/>
  <c r="D202" i="1"/>
  <c r="D203" i="1"/>
  <c r="D204" i="1"/>
  <c r="B210" i="1"/>
  <c r="C210" i="1"/>
  <c r="D210" i="1"/>
  <c r="D211" i="1"/>
  <c r="B2" i="1"/>
  <c r="A3" i="1"/>
  <c r="I3" i="1" s="1"/>
  <c r="A4" i="1"/>
  <c r="I4" i="1" s="1"/>
  <c r="A5" i="1"/>
  <c r="I5" i="1" s="1"/>
  <c r="A6" i="1"/>
  <c r="I6" i="1" s="1"/>
  <c r="A7" i="1"/>
  <c r="D7" i="1" s="1"/>
  <c r="A8" i="1"/>
  <c r="A9" i="1"/>
  <c r="I9" i="1" s="1"/>
  <c r="A10" i="1"/>
  <c r="I10" i="1" s="1"/>
  <c r="A11" i="1"/>
  <c r="A12" i="1"/>
  <c r="I12" i="1" s="1"/>
  <c r="A13" i="1"/>
  <c r="I13" i="1" s="1"/>
  <c r="A14" i="1"/>
  <c r="I14" i="1" s="1"/>
  <c r="A15" i="1"/>
  <c r="I15" i="1" s="1"/>
  <c r="A16" i="1"/>
  <c r="I16" i="1" s="1"/>
  <c r="A17" i="1"/>
  <c r="I17" i="1" s="1"/>
  <c r="A18" i="1"/>
  <c r="I18" i="1" s="1"/>
  <c r="A19" i="1"/>
  <c r="A20" i="1"/>
  <c r="A21" i="1"/>
  <c r="A22" i="1"/>
  <c r="I22" i="1" s="1"/>
  <c r="A23" i="1"/>
  <c r="A24" i="1"/>
  <c r="A25" i="1"/>
  <c r="I25" i="1" s="1"/>
  <c r="A26" i="1"/>
  <c r="I26" i="1" s="1"/>
  <c r="A27" i="1"/>
  <c r="I27" i="1" s="1"/>
  <c r="A28" i="1"/>
  <c r="I28" i="1" s="1"/>
  <c r="A29" i="1"/>
  <c r="I29" i="1" s="1"/>
  <c r="A30" i="1"/>
  <c r="I30" i="1" s="1"/>
  <c r="A31" i="1"/>
  <c r="A32" i="1"/>
  <c r="A33" i="1"/>
  <c r="A34" i="1"/>
  <c r="I34" i="1" s="1"/>
  <c r="A35" i="1"/>
  <c r="A36" i="1"/>
  <c r="A37" i="1"/>
  <c r="I37" i="1" s="1"/>
  <c r="A38" i="1"/>
  <c r="I38" i="1" s="1"/>
  <c r="A39" i="1"/>
  <c r="I39" i="1" s="1"/>
  <c r="A40" i="1"/>
  <c r="I40" i="1" s="1"/>
  <c r="A41" i="1"/>
  <c r="I41" i="1" s="1"/>
  <c r="A42" i="1"/>
  <c r="I42" i="1" s="1"/>
  <c r="A43" i="1"/>
  <c r="A44" i="1"/>
  <c r="A45" i="1"/>
  <c r="A46" i="1"/>
  <c r="I46" i="1" s="1"/>
  <c r="A47" i="1"/>
  <c r="A48" i="1"/>
  <c r="A49" i="1"/>
  <c r="I49" i="1" s="1"/>
  <c r="A50" i="1"/>
  <c r="I50" i="1" s="1"/>
  <c r="A51" i="1"/>
  <c r="I51" i="1" s="1"/>
  <c r="A52" i="1"/>
  <c r="I52" i="1" s="1"/>
  <c r="A53" i="1"/>
  <c r="I53" i="1" s="1"/>
  <c r="A54" i="1"/>
  <c r="I54" i="1" s="1"/>
  <c r="A55" i="1"/>
  <c r="A56" i="1"/>
  <c r="A57" i="1"/>
  <c r="A58" i="1"/>
  <c r="I58" i="1" s="1"/>
  <c r="A59" i="1"/>
  <c r="A60" i="1"/>
  <c r="A61" i="1"/>
  <c r="I61" i="1" s="1"/>
  <c r="A62" i="1"/>
  <c r="I62" i="1" s="1"/>
  <c r="A63" i="1"/>
  <c r="I63" i="1" s="1"/>
  <c r="A64" i="1"/>
  <c r="I64" i="1" s="1"/>
  <c r="A65" i="1"/>
  <c r="I65" i="1" s="1"/>
  <c r="A66" i="1"/>
  <c r="I66" i="1" s="1"/>
  <c r="A67" i="1"/>
  <c r="A68" i="1"/>
  <c r="A69" i="1"/>
  <c r="A70" i="1"/>
  <c r="I70" i="1" s="1"/>
  <c r="A71" i="1"/>
  <c r="A72" i="1"/>
  <c r="A73" i="1"/>
  <c r="I73" i="1" s="1"/>
  <c r="A74" i="1"/>
  <c r="I74" i="1" s="1"/>
  <c r="A75" i="1"/>
  <c r="I75" i="1" s="1"/>
  <c r="A76" i="1"/>
  <c r="I76" i="1" s="1"/>
  <c r="A77" i="1"/>
  <c r="I77" i="1" s="1"/>
  <c r="A78" i="1"/>
  <c r="I78" i="1" s="1"/>
  <c r="A79" i="1"/>
  <c r="D79" i="1" s="1"/>
  <c r="A80" i="1"/>
  <c r="A81" i="1"/>
  <c r="A82" i="1"/>
  <c r="I82" i="1" s="1"/>
  <c r="A83" i="1"/>
  <c r="A84" i="1"/>
  <c r="A85" i="1"/>
  <c r="I85" i="1" s="1"/>
  <c r="A86" i="1"/>
  <c r="I86" i="1" s="1"/>
  <c r="A87" i="1"/>
  <c r="I87" i="1" s="1"/>
  <c r="A88" i="1"/>
  <c r="I88" i="1" s="1"/>
  <c r="A89" i="1"/>
  <c r="I89" i="1" s="1"/>
  <c r="A90" i="1"/>
  <c r="I90" i="1" s="1"/>
  <c r="A91" i="1"/>
  <c r="A92" i="1"/>
  <c r="A93" i="1"/>
  <c r="A94" i="1"/>
  <c r="I94" i="1" s="1"/>
  <c r="A95" i="1"/>
  <c r="A96" i="1"/>
  <c r="A97" i="1"/>
  <c r="I97" i="1" s="1"/>
  <c r="A98" i="1"/>
  <c r="I98" i="1" s="1"/>
  <c r="A99" i="1"/>
  <c r="I99" i="1" s="1"/>
  <c r="A100" i="1"/>
  <c r="I100" i="1" s="1"/>
  <c r="A101" i="1"/>
  <c r="I101" i="1" s="1"/>
  <c r="A102" i="1"/>
  <c r="I102" i="1" s="1"/>
  <c r="A103" i="1"/>
  <c r="A104" i="1"/>
  <c r="A105" i="1"/>
  <c r="A106" i="1"/>
  <c r="I106" i="1" s="1"/>
  <c r="A107" i="1"/>
  <c r="A108" i="1"/>
  <c r="A109" i="1"/>
  <c r="I109" i="1" s="1"/>
  <c r="A110" i="1"/>
  <c r="I110" i="1" s="1"/>
  <c r="A111" i="1"/>
  <c r="I111" i="1" s="1"/>
  <c r="A112" i="1"/>
  <c r="I112" i="1" s="1"/>
  <c r="A113" i="1"/>
  <c r="I113" i="1" s="1"/>
  <c r="A114" i="1"/>
  <c r="I114" i="1" s="1"/>
  <c r="A115" i="1"/>
  <c r="A116" i="1"/>
  <c r="A117" i="1"/>
  <c r="A118" i="1"/>
  <c r="I118" i="1" s="1"/>
  <c r="A119" i="1"/>
  <c r="A120" i="1"/>
  <c r="A121" i="1"/>
  <c r="I121" i="1" s="1"/>
  <c r="A122" i="1"/>
  <c r="I122" i="1" s="1"/>
  <c r="A123" i="1"/>
  <c r="I123" i="1" s="1"/>
  <c r="A124" i="1"/>
  <c r="I124" i="1" s="1"/>
  <c r="A125" i="1"/>
  <c r="I125" i="1" s="1"/>
  <c r="A126" i="1"/>
  <c r="I126" i="1" s="1"/>
  <c r="A127" i="1"/>
  <c r="A128" i="1"/>
  <c r="A129" i="1"/>
  <c r="A130" i="1"/>
  <c r="I130" i="1" s="1"/>
  <c r="A131" i="1"/>
  <c r="A132" i="1"/>
  <c r="A133" i="1"/>
  <c r="I133" i="1" s="1"/>
  <c r="A134" i="1"/>
  <c r="I134" i="1" s="1"/>
  <c r="A135" i="1"/>
  <c r="I135" i="1" s="1"/>
  <c r="A136" i="1"/>
  <c r="I136" i="1" s="1"/>
  <c r="A137" i="1"/>
  <c r="I137" i="1" s="1"/>
  <c r="A138" i="1"/>
  <c r="I138" i="1" s="1"/>
  <c r="A139" i="1"/>
  <c r="A140" i="1"/>
  <c r="A141" i="1"/>
  <c r="A142" i="1"/>
  <c r="I142" i="1" s="1"/>
  <c r="A143" i="1"/>
  <c r="A144" i="1"/>
  <c r="A145" i="1"/>
  <c r="I145" i="1" s="1"/>
  <c r="A146" i="1"/>
  <c r="I146" i="1" s="1"/>
  <c r="A147" i="1"/>
  <c r="I147" i="1" s="1"/>
  <c r="A148" i="1"/>
  <c r="I148" i="1" s="1"/>
  <c r="A149" i="1"/>
  <c r="I149" i="1" s="1"/>
  <c r="A150" i="1"/>
  <c r="I150" i="1" s="1"/>
  <c r="A151" i="1"/>
  <c r="D151" i="1" s="1"/>
  <c r="A152" i="1"/>
  <c r="A153" i="1"/>
  <c r="A154" i="1"/>
  <c r="I154" i="1" s="1"/>
  <c r="A155" i="1"/>
  <c r="A156" i="1"/>
  <c r="A157" i="1"/>
  <c r="I157" i="1" s="1"/>
  <c r="A158" i="1"/>
  <c r="I158" i="1" s="1"/>
  <c r="A159" i="1"/>
  <c r="D159" i="1" s="1"/>
  <c r="A160" i="1"/>
  <c r="I160" i="1" s="1"/>
  <c r="A161" i="1"/>
  <c r="I161" i="1" s="1"/>
  <c r="A162" i="1"/>
  <c r="I162" i="1" s="1"/>
  <c r="A163" i="1"/>
  <c r="A164" i="1"/>
  <c r="A165" i="1"/>
  <c r="A166" i="1"/>
  <c r="I166" i="1" s="1"/>
  <c r="A167" i="1"/>
  <c r="A168" i="1"/>
  <c r="A169" i="1"/>
  <c r="I169" i="1" s="1"/>
  <c r="A170" i="1"/>
  <c r="I170" i="1" s="1"/>
  <c r="A171" i="1"/>
  <c r="A172" i="1"/>
  <c r="A173" i="1"/>
  <c r="A174" i="1"/>
  <c r="I174" i="1" s="1"/>
  <c r="A175" i="1"/>
  <c r="A176" i="1"/>
  <c r="A177" i="1"/>
  <c r="A178" i="1"/>
  <c r="I178" i="1" s="1"/>
  <c r="A179" i="1"/>
  <c r="A180" i="1"/>
  <c r="A181" i="1"/>
  <c r="I181" i="1" s="1"/>
  <c r="A182" i="1"/>
  <c r="I182" i="1" s="1"/>
  <c r="A183" i="1"/>
  <c r="D183" i="1" s="1"/>
  <c r="A184" i="1"/>
  <c r="A185" i="1"/>
  <c r="A186" i="1"/>
  <c r="I186" i="1" s="1"/>
  <c r="A187" i="1"/>
  <c r="A188" i="1"/>
  <c r="D188" i="1" s="1"/>
  <c r="A189" i="1"/>
  <c r="A190" i="1"/>
  <c r="I190" i="1" s="1"/>
  <c r="A191" i="1"/>
  <c r="A192" i="1"/>
  <c r="A193" i="1"/>
  <c r="I193" i="1" s="1"/>
  <c r="A194" i="1"/>
  <c r="I194" i="1" s="1"/>
  <c r="A195" i="1"/>
  <c r="A196" i="1"/>
  <c r="A197" i="1"/>
  <c r="A198" i="1"/>
  <c r="I198" i="1" s="1"/>
  <c r="A199" i="1"/>
  <c r="A200" i="1"/>
  <c r="D200" i="1" s="1"/>
  <c r="A201" i="1"/>
  <c r="A202" i="1"/>
  <c r="I202" i="1" s="1"/>
  <c r="A203" i="1"/>
  <c r="A204" i="1"/>
  <c r="A205" i="1"/>
  <c r="I205" i="1" s="1"/>
  <c r="A206" i="1"/>
  <c r="I206" i="1" s="1"/>
  <c r="A207" i="1"/>
  <c r="A208" i="1"/>
  <c r="D208" i="1" s="1"/>
  <c r="A209" i="1"/>
  <c r="A210" i="1"/>
  <c r="I210" i="1" s="1"/>
  <c r="A211" i="1"/>
  <c r="A2" i="1"/>
  <c r="I184" i="1" l="1"/>
  <c r="B184" i="1"/>
  <c r="C184" i="1"/>
  <c r="D184" i="1"/>
  <c r="I207" i="1"/>
  <c r="B207" i="1"/>
  <c r="C207" i="1"/>
  <c r="D158" i="1"/>
  <c r="C62" i="1"/>
  <c r="I192" i="1"/>
  <c r="B192" i="1"/>
  <c r="C192" i="1"/>
  <c r="I180" i="1"/>
  <c r="B180" i="1"/>
  <c r="C180" i="1"/>
  <c r="D180" i="1"/>
  <c r="I168" i="1"/>
  <c r="B168" i="1"/>
  <c r="C168" i="1"/>
  <c r="D168" i="1"/>
  <c r="I156" i="1"/>
  <c r="B156" i="1"/>
  <c r="C156" i="1"/>
  <c r="D156" i="1"/>
  <c r="I144" i="1"/>
  <c r="B144" i="1"/>
  <c r="C144" i="1"/>
  <c r="D144" i="1"/>
  <c r="I132" i="1"/>
  <c r="B132" i="1"/>
  <c r="C132" i="1"/>
  <c r="D132" i="1"/>
  <c r="I120" i="1"/>
  <c r="B120" i="1"/>
  <c r="C120" i="1"/>
  <c r="D120" i="1"/>
  <c r="I108" i="1"/>
  <c r="B108" i="1"/>
  <c r="C108" i="1"/>
  <c r="D108" i="1"/>
  <c r="I96" i="1"/>
  <c r="B96" i="1"/>
  <c r="C96" i="1"/>
  <c r="D96" i="1"/>
  <c r="I84" i="1"/>
  <c r="B84" i="1"/>
  <c r="C84" i="1"/>
  <c r="D84" i="1"/>
  <c r="I72" i="1"/>
  <c r="B72" i="1"/>
  <c r="C72" i="1"/>
  <c r="D72" i="1"/>
  <c r="I60" i="1"/>
  <c r="B60" i="1"/>
  <c r="C60" i="1"/>
  <c r="D60" i="1"/>
  <c r="I48" i="1"/>
  <c r="B48" i="1"/>
  <c r="C48" i="1"/>
  <c r="D48" i="1"/>
  <c r="I36" i="1"/>
  <c r="B36" i="1"/>
  <c r="C36" i="1"/>
  <c r="D36" i="1"/>
  <c r="I24" i="1"/>
  <c r="B24" i="1"/>
  <c r="C24" i="1"/>
  <c r="D24" i="1"/>
  <c r="B202" i="1"/>
  <c r="B182" i="1"/>
  <c r="B170" i="1"/>
  <c r="C158" i="1"/>
  <c r="D146" i="1"/>
  <c r="B82" i="1"/>
  <c r="B62" i="1"/>
  <c r="D50" i="1"/>
  <c r="I203" i="1"/>
  <c r="B203" i="1"/>
  <c r="C203" i="1"/>
  <c r="I191" i="1"/>
  <c r="B191" i="1"/>
  <c r="C191" i="1"/>
  <c r="I179" i="1"/>
  <c r="B179" i="1"/>
  <c r="C179" i="1"/>
  <c r="I167" i="1"/>
  <c r="B167" i="1"/>
  <c r="C167" i="1"/>
  <c r="I155" i="1"/>
  <c r="B155" i="1"/>
  <c r="C155" i="1"/>
  <c r="I143" i="1"/>
  <c r="B143" i="1"/>
  <c r="C143" i="1"/>
  <c r="I131" i="1"/>
  <c r="B131" i="1"/>
  <c r="C131" i="1"/>
  <c r="I119" i="1"/>
  <c r="B119" i="1"/>
  <c r="C119" i="1"/>
  <c r="I107" i="1"/>
  <c r="B107" i="1"/>
  <c r="C107" i="1"/>
  <c r="I95" i="1"/>
  <c r="B95" i="1"/>
  <c r="C95" i="1"/>
  <c r="I83" i="1"/>
  <c r="B83" i="1"/>
  <c r="C83" i="1"/>
  <c r="I71" i="1"/>
  <c r="B71" i="1"/>
  <c r="C71" i="1"/>
  <c r="I59" i="1"/>
  <c r="B59" i="1"/>
  <c r="C59" i="1"/>
  <c r="I47" i="1"/>
  <c r="B47" i="1"/>
  <c r="C47" i="1"/>
  <c r="I35" i="1"/>
  <c r="B35" i="1"/>
  <c r="C35" i="1"/>
  <c r="I23" i="1"/>
  <c r="B23" i="1"/>
  <c r="C23" i="1"/>
  <c r="I11" i="1"/>
  <c r="B11" i="1"/>
  <c r="C11" i="1"/>
  <c r="D190" i="1"/>
  <c r="D179" i="1"/>
  <c r="D167" i="1"/>
  <c r="B158" i="1"/>
  <c r="C146" i="1"/>
  <c r="D134" i="1"/>
  <c r="D59" i="1"/>
  <c r="C50" i="1"/>
  <c r="I172" i="1"/>
  <c r="B172" i="1"/>
  <c r="C172" i="1"/>
  <c r="D172" i="1"/>
  <c r="I171" i="1"/>
  <c r="B171" i="1"/>
  <c r="C171" i="1"/>
  <c r="D166" i="1"/>
  <c r="I177" i="1"/>
  <c r="B177" i="1"/>
  <c r="C177" i="1"/>
  <c r="D177" i="1"/>
  <c r="I141" i="1"/>
  <c r="B141" i="1"/>
  <c r="C141" i="1"/>
  <c r="D141" i="1"/>
  <c r="I105" i="1"/>
  <c r="B105" i="1"/>
  <c r="C105" i="1"/>
  <c r="D105" i="1"/>
  <c r="I69" i="1"/>
  <c r="B69" i="1"/>
  <c r="C69" i="1"/>
  <c r="D69" i="1"/>
  <c r="I33" i="1"/>
  <c r="B33" i="1"/>
  <c r="C33" i="1"/>
  <c r="D33" i="1"/>
  <c r="I21" i="1"/>
  <c r="B21" i="1"/>
  <c r="C21" i="1"/>
  <c r="D21" i="1"/>
  <c r="C178" i="1"/>
  <c r="C122" i="1"/>
  <c r="I200" i="1"/>
  <c r="B200" i="1"/>
  <c r="C200" i="1"/>
  <c r="I176" i="1"/>
  <c r="B176" i="1"/>
  <c r="C176" i="1"/>
  <c r="D176" i="1"/>
  <c r="I140" i="1"/>
  <c r="B140" i="1"/>
  <c r="C140" i="1"/>
  <c r="D140" i="1"/>
  <c r="I128" i="1"/>
  <c r="B128" i="1"/>
  <c r="C128" i="1"/>
  <c r="D128" i="1"/>
  <c r="I116" i="1"/>
  <c r="B116" i="1"/>
  <c r="C116" i="1"/>
  <c r="D116" i="1"/>
  <c r="I104" i="1"/>
  <c r="B104" i="1"/>
  <c r="C104" i="1"/>
  <c r="D104" i="1"/>
  <c r="I92" i="1"/>
  <c r="B92" i="1"/>
  <c r="C92" i="1"/>
  <c r="D92" i="1"/>
  <c r="I80" i="1"/>
  <c r="B80" i="1"/>
  <c r="C80" i="1"/>
  <c r="D80" i="1"/>
  <c r="I68" i="1"/>
  <c r="B68" i="1"/>
  <c r="C68" i="1"/>
  <c r="D68" i="1"/>
  <c r="I56" i="1"/>
  <c r="B56" i="1"/>
  <c r="C56" i="1"/>
  <c r="D56" i="1"/>
  <c r="I44" i="1"/>
  <c r="B44" i="1"/>
  <c r="C44" i="1"/>
  <c r="D44" i="1"/>
  <c r="I32" i="1"/>
  <c r="B32" i="1"/>
  <c r="C32" i="1"/>
  <c r="D32" i="1"/>
  <c r="I20" i="1"/>
  <c r="B20" i="1"/>
  <c r="C20" i="1"/>
  <c r="D20" i="1"/>
  <c r="I8" i="1"/>
  <c r="B8" i="1"/>
  <c r="C8" i="1"/>
  <c r="D8" i="1"/>
  <c r="D207" i="1"/>
  <c r="B178" i="1"/>
  <c r="B166" i="1"/>
  <c r="C154" i="1"/>
  <c r="D142" i="1"/>
  <c r="D131" i="1"/>
  <c r="B122" i="1"/>
  <c r="C110" i="1"/>
  <c r="D98" i="1"/>
  <c r="B38" i="1"/>
  <c r="D26" i="1"/>
  <c r="I196" i="1"/>
  <c r="B196" i="1"/>
  <c r="C196" i="1"/>
  <c r="I195" i="1"/>
  <c r="B195" i="1"/>
  <c r="C195" i="1"/>
  <c r="I159" i="1"/>
  <c r="B159" i="1"/>
  <c r="C159" i="1"/>
  <c r="D171" i="1"/>
  <c r="B194" i="1"/>
  <c r="D182" i="1"/>
  <c r="D170" i="1"/>
  <c r="B74" i="1"/>
  <c r="D62" i="1"/>
  <c r="C182" i="1"/>
  <c r="C190" i="1"/>
  <c r="D178" i="1"/>
  <c r="B146" i="1"/>
  <c r="C134" i="1"/>
  <c r="D122" i="1"/>
  <c r="B50" i="1"/>
  <c r="D38" i="1"/>
  <c r="I201" i="1"/>
  <c r="B201" i="1"/>
  <c r="C201" i="1"/>
  <c r="D201" i="1"/>
  <c r="I189" i="1"/>
  <c r="B189" i="1"/>
  <c r="C189" i="1"/>
  <c r="D189" i="1"/>
  <c r="I165" i="1"/>
  <c r="B165" i="1"/>
  <c r="C165" i="1"/>
  <c r="D165" i="1"/>
  <c r="I153" i="1"/>
  <c r="B153" i="1"/>
  <c r="C153" i="1"/>
  <c r="D153" i="1"/>
  <c r="I129" i="1"/>
  <c r="B129" i="1"/>
  <c r="C129" i="1"/>
  <c r="D129" i="1"/>
  <c r="I117" i="1"/>
  <c r="B117" i="1"/>
  <c r="C117" i="1"/>
  <c r="D117" i="1"/>
  <c r="I93" i="1"/>
  <c r="B93" i="1"/>
  <c r="C93" i="1"/>
  <c r="D93" i="1"/>
  <c r="I81" i="1"/>
  <c r="B81" i="1"/>
  <c r="C81" i="1"/>
  <c r="D81" i="1"/>
  <c r="I57" i="1"/>
  <c r="B57" i="1"/>
  <c r="C57" i="1"/>
  <c r="D57" i="1"/>
  <c r="I45" i="1"/>
  <c r="B45" i="1"/>
  <c r="C45" i="1"/>
  <c r="D45" i="1"/>
  <c r="B190" i="1"/>
  <c r="C166" i="1"/>
  <c r="D154" i="1"/>
  <c r="D143" i="1"/>
  <c r="B134" i="1"/>
  <c r="D110" i="1"/>
  <c r="C38" i="1"/>
  <c r="I2" i="1"/>
  <c r="D2" i="1"/>
  <c r="C2" i="1"/>
  <c r="I188" i="1"/>
  <c r="B188" i="1"/>
  <c r="C188" i="1"/>
  <c r="I164" i="1"/>
  <c r="B164" i="1"/>
  <c r="C164" i="1"/>
  <c r="D164" i="1"/>
  <c r="I211" i="1"/>
  <c r="B211" i="1"/>
  <c r="C211" i="1"/>
  <c r="I199" i="1"/>
  <c r="B199" i="1"/>
  <c r="C199" i="1"/>
  <c r="I175" i="1"/>
  <c r="B175" i="1"/>
  <c r="C175" i="1"/>
  <c r="I163" i="1"/>
  <c r="B163" i="1"/>
  <c r="C163" i="1"/>
  <c r="I139" i="1"/>
  <c r="B139" i="1"/>
  <c r="C139" i="1"/>
  <c r="I127" i="1"/>
  <c r="B127" i="1"/>
  <c r="C127" i="1"/>
  <c r="I115" i="1"/>
  <c r="B115" i="1"/>
  <c r="C115" i="1"/>
  <c r="I91" i="1"/>
  <c r="B91" i="1"/>
  <c r="C91" i="1"/>
  <c r="I79" i="1"/>
  <c r="B79" i="1"/>
  <c r="C79" i="1"/>
  <c r="I55" i="1"/>
  <c r="B55" i="1"/>
  <c r="C55" i="1"/>
  <c r="I43" i="1"/>
  <c r="B43" i="1"/>
  <c r="C43" i="1"/>
  <c r="I19" i="1"/>
  <c r="B19" i="1"/>
  <c r="C19" i="1"/>
  <c r="D35" i="1"/>
  <c r="C206" i="1"/>
  <c r="D196" i="1"/>
  <c r="D186" i="1"/>
  <c r="D174" i="1"/>
  <c r="D162" i="1"/>
  <c r="B142" i="1"/>
  <c r="C130" i="1"/>
  <c r="D118" i="1"/>
  <c r="D107" i="1"/>
  <c r="B98" i="1"/>
  <c r="D86" i="1"/>
  <c r="B66" i="1"/>
  <c r="D54" i="1"/>
  <c r="B26" i="1"/>
  <c r="D14" i="1"/>
  <c r="I208" i="1"/>
  <c r="B208" i="1"/>
  <c r="C208" i="1"/>
  <c r="I183" i="1"/>
  <c r="B183" i="1"/>
  <c r="C183" i="1"/>
  <c r="C170" i="1"/>
  <c r="I204" i="1"/>
  <c r="B204" i="1"/>
  <c r="C204" i="1"/>
  <c r="I152" i="1"/>
  <c r="B152" i="1"/>
  <c r="C152" i="1"/>
  <c r="D152" i="1"/>
  <c r="I187" i="1"/>
  <c r="B187" i="1"/>
  <c r="C187" i="1"/>
  <c r="I151" i="1"/>
  <c r="B151" i="1"/>
  <c r="C151" i="1"/>
  <c r="I103" i="1"/>
  <c r="B103" i="1"/>
  <c r="C103" i="1"/>
  <c r="I67" i="1"/>
  <c r="B67" i="1"/>
  <c r="C67" i="1"/>
  <c r="I31" i="1"/>
  <c r="B31" i="1"/>
  <c r="C31" i="1"/>
  <c r="I7" i="1"/>
  <c r="B7" i="1"/>
  <c r="C7" i="1"/>
  <c r="D206" i="1"/>
  <c r="D187" i="1"/>
  <c r="D175" i="1"/>
  <c r="D163" i="1"/>
  <c r="B154" i="1"/>
  <c r="C142" i="1"/>
  <c r="D130" i="1"/>
  <c r="D119" i="1"/>
  <c r="B110" i="1"/>
  <c r="C98" i="1"/>
  <c r="D55" i="1"/>
  <c r="C26" i="1"/>
  <c r="I209" i="1"/>
  <c r="B209" i="1"/>
  <c r="C209" i="1"/>
  <c r="D209" i="1"/>
  <c r="I197" i="1"/>
  <c r="B197" i="1"/>
  <c r="C197" i="1"/>
  <c r="D197" i="1"/>
  <c r="I185" i="1"/>
  <c r="B185" i="1"/>
  <c r="C185" i="1"/>
  <c r="D185" i="1"/>
  <c r="I173" i="1"/>
  <c r="B173" i="1"/>
  <c r="C173" i="1"/>
  <c r="D173" i="1"/>
  <c r="B206" i="1"/>
  <c r="D195" i="1"/>
  <c r="C186" i="1"/>
  <c r="D139" i="1"/>
  <c r="B130" i="1"/>
  <c r="C118" i="1"/>
  <c r="D106" i="1"/>
  <c r="D95" i="1"/>
  <c r="C86" i="1"/>
  <c r="D43" i="1"/>
  <c r="D23" i="1"/>
  <c r="C14" i="1"/>
  <c r="D205" i="1"/>
  <c r="D193" i="1"/>
  <c r="D181" i="1"/>
  <c r="D169" i="1"/>
  <c r="D161" i="1"/>
  <c r="D157" i="1"/>
  <c r="D149" i="1"/>
  <c r="D145" i="1"/>
  <c r="D137" i="1"/>
  <c r="D133" i="1"/>
  <c r="D125" i="1"/>
  <c r="D121" i="1"/>
  <c r="D113" i="1"/>
  <c r="D109" i="1"/>
  <c r="D101" i="1"/>
  <c r="D97" i="1"/>
  <c r="D89" i="1"/>
  <c r="D85" i="1"/>
  <c r="D77" i="1"/>
  <c r="D73" i="1"/>
  <c r="D65" i="1"/>
  <c r="D61" i="1"/>
  <c r="D53" i="1"/>
  <c r="D49" i="1"/>
  <c r="D41" i="1"/>
  <c r="D37" i="1"/>
  <c r="D29" i="1"/>
  <c r="D25" i="1"/>
  <c r="D17" i="1"/>
  <c r="D13" i="1"/>
  <c r="D9" i="1"/>
  <c r="D5" i="1"/>
  <c r="C205" i="1"/>
  <c r="C193" i="1"/>
  <c r="C181" i="1"/>
  <c r="C169" i="1"/>
  <c r="C161" i="1"/>
  <c r="C157" i="1"/>
  <c r="C149" i="1"/>
  <c r="C145" i="1"/>
  <c r="C137" i="1"/>
  <c r="C133" i="1"/>
  <c r="C125" i="1"/>
  <c r="C121" i="1"/>
  <c r="C113" i="1"/>
  <c r="C109" i="1"/>
  <c r="C101" i="1"/>
  <c r="C97" i="1"/>
  <c r="C89" i="1"/>
  <c r="C85" i="1"/>
  <c r="C77" i="1"/>
  <c r="C73" i="1"/>
  <c r="C65" i="1"/>
  <c r="C61" i="1"/>
  <c r="C53" i="1"/>
  <c r="C49" i="1"/>
  <c r="C41" i="1"/>
  <c r="C37" i="1"/>
  <c r="C29" i="1"/>
  <c r="C25" i="1"/>
  <c r="C17" i="1"/>
  <c r="C13" i="1"/>
  <c r="C9" i="1"/>
  <c r="C5" i="1"/>
  <c r="B205" i="1"/>
  <c r="B193" i="1"/>
  <c r="B181" i="1"/>
  <c r="B169" i="1"/>
  <c r="B161" i="1"/>
  <c r="B157" i="1"/>
  <c r="B149" i="1"/>
  <c r="B145" i="1"/>
  <c r="B137" i="1"/>
  <c r="B133" i="1"/>
  <c r="B125" i="1"/>
  <c r="B121" i="1"/>
  <c r="B113" i="1"/>
  <c r="B109" i="1"/>
  <c r="B101" i="1"/>
  <c r="B97" i="1"/>
  <c r="B89" i="1"/>
  <c r="B85" i="1"/>
  <c r="B77" i="1"/>
  <c r="B73" i="1"/>
  <c r="B65" i="1"/>
  <c r="B61" i="1"/>
  <c r="B53" i="1"/>
  <c r="B49" i="1"/>
  <c r="B41" i="1"/>
  <c r="B37" i="1"/>
  <c r="B29" i="1"/>
  <c r="B25" i="1"/>
  <c r="B17" i="1"/>
  <c r="B13" i="1"/>
  <c r="B9" i="1"/>
  <c r="B5" i="1"/>
  <c r="D12" i="1"/>
  <c r="C160" i="1"/>
  <c r="C148" i="1"/>
  <c r="C136" i="1"/>
  <c r="C124" i="1"/>
  <c r="C112" i="1"/>
  <c r="C100" i="1"/>
  <c r="C88" i="1"/>
  <c r="C76" i="1"/>
  <c r="C64" i="1"/>
  <c r="C52" i="1"/>
  <c r="C40" i="1"/>
  <c r="C28" i="1"/>
  <c r="C16" i="1"/>
  <c r="C12" i="1"/>
  <c r="C4" i="1"/>
  <c r="B160" i="1"/>
  <c r="B148" i="1"/>
  <c r="B136" i="1"/>
  <c r="B124" i="1"/>
  <c r="B112" i="1"/>
  <c r="B100" i="1"/>
  <c r="B88" i="1"/>
  <c r="B76" i="1"/>
  <c r="B64" i="1"/>
  <c r="B52" i="1"/>
  <c r="B40" i="1"/>
  <c r="B28" i="1"/>
  <c r="B16" i="1"/>
  <c r="B12" i="1"/>
  <c r="B4" i="1"/>
  <c r="C147" i="1"/>
  <c r="C135" i="1"/>
  <c r="C123" i="1"/>
  <c r="C111" i="1"/>
  <c r="C99" i="1"/>
  <c r="B147" i="1"/>
  <c r="B135" i="1"/>
  <c r="B123" i="1"/>
  <c r="B111" i="1"/>
  <c r="B99" i="1"/>
  <c r="B87" i="1"/>
  <c r="B75" i="1"/>
  <c r="B63" i="1"/>
  <c r="B51" i="1"/>
  <c r="B39" i="1"/>
  <c r="B27" i="1"/>
  <c r="B15" i="1"/>
  <c r="B3" i="1"/>
</calcChain>
</file>

<file path=xl/sharedStrings.xml><?xml version="1.0" encoding="utf-8"?>
<sst xmlns="http://schemas.openxmlformats.org/spreadsheetml/2006/main" count="15" uniqueCount="11">
  <si>
    <t>Fecha</t>
  </si>
  <si>
    <t>shock_bloomberg</t>
  </si>
  <si>
    <t>shock_ois1m</t>
  </si>
  <si>
    <t>Shock_Colcap</t>
  </si>
  <si>
    <t>Fecha aplicada</t>
  </si>
  <si>
    <t>Año</t>
  </si>
  <si>
    <t>mes</t>
  </si>
  <si>
    <t>dia</t>
  </si>
  <si>
    <t>shock_bloomberg_media</t>
  </si>
  <si>
    <t>Shock_Bloomberg</t>
  </si>
  <si>
    <t>BEI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</si>
</sst>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Palatino Linotype"/>
      <family val="1"/>
    </font>
    <font>
      <sz val="11"/>
      <name val="Palatino Linotype"/>
      <family val="1"/>
    </font>
    <font>
      <sz val="11"/>
      <color theme="1"/>
      <name val="Aptos Narrow"/>
      <family val="2"/>
      <scheme val="minor"/>
    </font>
    <font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17" fontId="2" fillId="2" borderId="0" xfId="0" applyNumberFormat="1" applyFont="1" applyFill="1"/>
    <xf numFmtId="14" fontId="0" fillId="0" borderId="0" xfId="0" applyNumberFormat="1"/>
    <xf numFmtId="2" fontId="2" fillId="2" borderId="0" xfId="1" applyNumberFormat="1" applyFont="1" applyFill="1"/>
    <xf numFmtId="0" fontId="1" fillId="2" borderId="0" xfId="0" applyFont="1" applyFill="1"/>
    <xf numFmtId="164" fontId="4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ancodelarepublica-my.sharepoint.com/personal/ojaulime_banrep_gov_co/Documents/Documents/Research/MP%20transmission%20in%20Colombia/Monetary-Policy-Shocks-and-Central-bank-information-in-Colombia/Mercados%20financieros/Shocks%20COCALP.xlsx" TargetMode="External"/><Relationship Id="rId2" Type="http://schemas.microsoft.com/office/2019/04/relationships/externalLinkLongPath" Target="Shocks%20COCALP.xlsx?19F50F08" TargetMode="External"/><Relationship Id="rId1" Type="http://schemas.openxmlformats.org/officeDocument/2006/relationships/externalLinkPath" Target="file:///\\19F50F08\Shocks%20COCA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LCAP"/>
      <sheetName val="BEI"/>
    </sheetNames>
    <sheetDataSet>
      <sheetData sheetId="0"/>
      <sheetData sheetId="1">
        <row r="15">
          <cell r="A15">
            <v>37653</v>
          </cell>
          <cell r="B15">
            <v>37666</v>
          </cell>
          <cell r="C15">
            <v>37667</v>
          </cell>
          <cell r="D15">
            <v>37668</v>
          </cell>
          <cell r="E15">
            <v>37669</v>
          </cell>
          <cell r="F15">
            <v>37670</v>
          </cell>
          <cell r="G15">
            <v>8.0200000000000014</v>
          </cell>
          <cell r="H15" t="e">
            <v>#N/A</v>
          </cell>
          <cell r="I15" t="e">
            <v>#N/A</v>
          </cell>
          <cell r="J15">
            <v>7.7799999999999994</v>
          </cell>
          <cell r="K15">
            <v>7.76</v>
          </cell>
          <cell r="L15">
            <v>-0.24000000000000199</v>
          </cell>
        </row>
        <row r="16">
          <cell r="A16">
            <v>37681</v>
          </cell>
          <cell r="B16">
            <v>37694</v>
          </cell>
          <cell r="C16">
            <v>37695</v>
          </cell>
          <cell r="D16">
            <v>37696</v>
          </cell>
          <cell r="E16">
            <v>37697</v>
          </cell>
          <cell r="F16">
            <v>37698</v>
          </cell>
          <cell r="G16">
            <v>7.7499999999999991</v>
          </cell>
          <cell r="H16" t="e">
            <v>#N/A</v>
          </cell>
          <cell r="I16" t="e">
            <v>#N/A</v>
          </cell>
          <cell r="J16">
            <v>7.1999999999999993</v>
          </cell>
          <cell r="K16">
            <v>7.129999999999999</v>
          </cell>
          <cell r="L16">
            <v>-0.54999999999999982</v>
          </cell>
        </row>
        <row r="17">
          <cell r="A17">
            <v>37712</v>
          </cell>
          <cell r="B17">
            <v>37739</v>
          </cell>
          <cell r="C17">
            <v>37740</v>
          </cell>
          <cell r="D17">
            <v>37741</v>
          </cell>
          <cell r="E17">
            <v>37742</v>
          </cell>
          <cell r="F17">
            <v>37743</v>
          </cell>
          <cell r="G17">
            <v>6.0200000000000005</v>
          </cell>
          <cell r="H17">
            <v>6.1799999999999988</v>
          </cell>
          <cell r="I17">
            <v>6.17</v>
          </cell>
          <cell r="J17" t="e">
            <v>#N/A</v>
          </cell>
          <cell r="K17">
            <v>6.2099999999999991</v>
          </cell>
          <cell r="L17">
            <v>0.15999999999999837</v>
          </cell>
        </row>
        <row r="18">
          <cell r="A18">
            <v>37742</v>
          </cell>
          <cell r="B18">
            <v>37757</v>
          </cell>
          <cell r="C18">
            <v>37758</v>
          </cell>
          <cell r="D18">
            <v>37759</v>
          </cell>
          <cell r="E18">
            <v>37760</v>
          </cell>
          <cell r="F18">
            <v>37761</v>
          </cell>
          <cell r="G18">
            <v>7.03</v>
          </cell>
          <cell r="H18" t="e">
            <v>#N/A</v>
          </cell>
          <cell r="I18" t="e">
            <v>#N/A</v>
          </cell>
          <cell r="J18">
            <v>5.9999999999999991</v>
          </cell>
          <cell r="K18">
            <v>6.37</v>
          </cell>
          <cell r="L18">
            <v>-1.0300000000000011</v>
          </cell>
        </row>
        <row r="19">
          <cell r="A19">
            <v>37773</v>
          </cell>
          <cell r="B19">
            <v>37792</v>
          </cell>
          <cell r="C19">
            <v>37793</v>
          </cell>
          <cell r="D19">
            <v>37794</v>
          </cell>
          <cell r="E19">
            <v>37795</v>
          </cell>
          <cell r="F19">
            <v>37796</v>
          </cell>
          <cell r="G19">
            <v>5.3500000000000005</v>
          </cell>
          <cell r="H19" t="e">
            <v>#N/A</v>
          </cell>
          <cell r="I19" t="e">
            <v>#N/A</v>
          </cell>
          <cell r="J19" t="e">
            <v>#N/A</v>
          </cell>
          <cell r="K19">
            <v>5.67</v>
          </cell>
          <cell r="L19">
            <v>0.3199999999999994</v>
          </cell>
        </row>
        <row r="20">
          <cell r="A20">
            <v>37803</v>
          </cell>
          <cell r="B20">
            <v>37827</v>
          </cell>
          <cell r="C20">
            <v>37828</v>
          </cell>
          <cell r="D20">
            <v>37829</v>
          </cell>
          <cell r="E20">
            <v>37830</v>
          </cell>
          <cell r="F20">
            <v>37831</v>
          </cell>
          <cell r="G20">
            <v>5.1499999999999995</v>
          </cell>
          <cell r="H20" t="e">
            <v>#N/A</v>
          </cell>
          <cell r="I20" t="e">
            <v>#N/A</v>
          </cell>
          <cell r="J20">
            <v>5.34</v>
          </cell>
          <cell r="K20">
            <v>5.4399999999999995</v>
          </cell>
          <cell r="L20">
            <v>0.19000000000000039</v>
          </cell>
        </row>
        <row r="21">
          <cell r="A21">
            <v>37834</v>
          </cell>
          <cell r="B21">
            <v>37848</v>
          </cell>
          <cell r="C21">
            <v>37849</v>
          </cell>
          <cell r="D21">
            <v>37850</v>
          </cell>
          <cell r="E21">
            <v>37851</v>
          </cell>
          <cell r="F21">
            <v>37852</v>
          </cell>
          <cell r="G21">
            <v>5.08</v>
          </cell>
          <cell r="H21" t="e">
            <v>#N/A</v>
          </cell>
          <cell r="I21" t="e">
            <v>#N/A</v>
          </cell>
          <cell r="J21" t="e">
            <v>#N/A</v>
          </cell>
          <cell r="K21">
            <v>5.05</v>
          </cell>
          <cell r="L21">
            <v>-3.0000000000000249E-2</v>
          </cell>
        </row>
        <row r="22">
          <cell r="A22">
            <v>37865</v>
          </cell>
          <cell r="B22">
            <v>37876</v>
          </cell>
          <cell r="C22">
            <v>37877</v>
          </cell>
          <cell r="D22">
            <v>37878</v>
          </cell>
          <cell r="E22">
            <v>37879</v>
          </cell>
          <cell r="F22">
            <v>37880</v>
          </cell>
          <cell r="G22">
            <v>5.8199999999999994</v>
          </cell>
          <cell r="H22" t="e">
            <v>#N/A</v>
          </cell>
          <cell r="I22" t="e">
            <v>#N/A</v>
          </cell>
          <cell r="J22">
            <v>5.7899999999999991</v>
          </cell>
          <cell r="K22">
            <v>5.9500000000000011</v>
          </cell>
          <cell r="L22">
            <v>-3.0000000000000249E-2</v>
          </cell>
        </row>
        <row r="23">
          <cell r="A23">
            <v>37895</v>
          </cell>
          <cell r="B23">
            <v>37918</v>
          </cell>
          <cell r="C23">
            <v>37919</v>
          </cell>
          <cell r="D23">
            <v>37920</v>
          </cell>
          <cell r="E23">
            <v>37921</v>
          </cell>
          <cell r="F23">
            <v>37922</v>
          </cell>
          <cell r="G23">
            <v>6.44</v>
          </cell>
          <cell r="H23" t="e">
            <v>#N/A</v>
          </cell>
          <cell r="I23" t="e">
            <v>#N/A</v>
          </cell>
          <cell r="J23">
            <v>6.2999999999999989</v>
          </cell>
          <cell r="K23">
            <v>6.8900000000000006</v>
          </cell>
          <cell r="L23">
            <v>-0.14000000000000146</v>
          </cell>
        </row>
        <row r="24">
          <cell r="A24">
            <v>37926</v>
          </cell>
          <cell r="B24">
            <v>37939</v>
          </cell>
          <cell r="C24">
            <v>37940</v>
          </cell>
          <cell r="D24">
            <v>37941</v>
          </cell>
          <cell r="E24">
            <v>37942</v>
          </cell>
          <cell r="F24">
            <v>37943</v>
          </cell>
          <cell r="G24">
            <v>6.2100000000000009</v>
          </cell>
          <cell r="H24" t="e">
            <v>#N/A</v>
          </cell>
          <cell r="I24" t="e">
            <v>#N/A</v>
          </cell>
          <cell r="J24" t="e">
            <v>#N/A</v>
          </cell>
          <cell r="K24">
            <v>6.7000000000000011</v>
          </cell>
          <cell r="L24">
            <v>0.49000000000000021</v>
          </cell>
        </row>
        <row r="25">
          <cell r="A25">
            <v>37956</v>
          </cell>
          <cell r="B25">
            <v>37974</v>
          </cell>
          <cell r="C25">
            <v>37975</v>
          </cell>
          <cell r="D25">
            <v>37976</v>
          </cell>
          <cell r="E25">
            <v>37977</v>
          </cell>
          <cell r="F25">
            <v>37978</v>
          </cell>
          <cell r="G25">
            <v>6.67</v>
          </cell>
          <cell r="H25" t="e">
            <v>#N/A</v>
          </cell>
          <cell r="I25" t="e">
            <v>#N/A</v>
          </cell>
          <cell r="J25">
            <v>6.85</v>
          </cell>
          <cell r="K25">
            <v>5.910000000000001</v>
          </cell>
          <cell r="L25">
            <v>0.17999999999999972</v>
          </cell>
        </row>
        <row r="26">
          <cell r="A26">
            <v>37987</v>
          </cell>
          <cell r="B26">
            <v>38009</v>
          </cell>
          <cell r="C26">
            <v>38010</v>
          </cell>
          <cell r="D26">
            <v>38011</v>
          </cell>
          <cell r="E26">
            <v>38012</v>
          </cell>
          <cell r="F26">
            <v>38013</v>
          </cell>
          <cell r="G26">
            <v>7.6</v>
          </cell>
          <cell r="H26" t="e">
            <v>#N/A</v>
          </cell>
          <cell r="I26" t="e">
            <v>#N/A</v>
          </cell>
          <cell r="J26">
            <v>7.51</v>
          </cell>
          <cell r="K26">
            <v>7.48</v>
          </cell>
          <cell r="L26">
            <v>-8.9999999999999858E-2</v>
          </cell>
        </row>
        <row r="27">
          <cell r="A27">
            <v>38018</v>
          </cell>
          <cell r="B27">
            <v>38037</v>
          </cell>
          <cell r="C27">
            <v>38038</v>
          </cell>
          <cell r="D27">
            <v>38039</v>
          </cell>
          <cell r="E27">
            <v>38040</v>
          </cell>
          <cell r="F27">
            <v>38041</v>
          </cell>
          <cell r="G27">
            <v>6.92</v>
          </cell>
          <cell r="H27" t="e">
            <v>#N/A</v>
          </cell>
          <cell r="I27" t="e">
            <v>#N/A</v>
          </cell>
          <cell r="J27">
            <v>6.99</v>
          </cell>
          <cell r="K27">
            <v>6.7499999999999991</v>
          </cell>
          <cell r="L27">
            <v>7.0000000000000284E-2</v>
          </cell>
        </row>
        <row r="28">
          <cell r="A28">
            <v>38047</v>
          </cell>
          <cell r="B28">
            <v>38065</v>
          </cell>
          <cell r="C28">
            <v>38066</v>
          </cell>
          <cell r="D28">
            <v>38067</v>
          </cell>
          <cell r="E28">
            <v>38068</v>
          </cell>
          <cell r="F28">
            <v>38069</v>
          </cell>
          <cell r="G28">
            <v>6.57</v>
          </cell>
          <cell r="H28" t="e">
            <v>#N/A</v>
          </cell>
          <cell r="I28" t="e">
            <v>#N/A</v>
          </cell>
          <cell r="J28" t="e">
            <v>#N/A</v>
          </cell>
          <cell r="K28">
            <v>6.57</v>
          </cell>
          <cell r="L28">
            <v>0</v>
          </cell>
        </row>
        <row r="29">
          <cell r="A29">
            <v>38078</v>
          </cell>
          <cell r="B29">
            <v>38100</v>
          </cell>
          <cell r="C29">
            <v>38101</v>
          </cell>
          <cell r="D29">
            <v>38102</v>
          </cell>
          <cell r="E29">
            <v>38103</v>
          </cell>
          <cell r="F29">
            <v>38104</v>
          </cell>
          <cell r="G29">
            <v>5.73</v>
          </cell>
          <cell r="H29" t="e">
            <v>#N/A</v>
          </cell>
          <cell r="I29" t="e">
            <v>#N/A</v>
          </cell>
          <cell r="J29">
            <v>5.62</v>
          </cell>
          <cell r="K29">
            <v>5.49</v>
          </cell>
          <cell r="L29">
            <v>-0.11000000000000032</v>
          </cell>
        </row>
        <row r="30">
          <cell r="A30">
            <v>38108</v>
          </cell>
          <cell r="B30">
            <v>38121</v>
          </cell>
          <cell r="C30">
            <v>38122</v>
          </cell>
          <cell r="D30">
            <v>38123</v>
          </cell>
          <cell r="E30">
            <v>38124</v>
          </cell>
          <cell r="F30">
            <v>38125</v>
          </cell>
          <cell r="G30">
            <v>5.0699999999999994</v>
          </cell>
          <cell r="H30" t="e">
            <v>#N/A</v>
          </cell>
          <cell r="I30" t="e">
            <v>#N/A</v>
          </cell>
          <cell r="J30">
            <v>4.6000000000000005</v>
          </cell>
          <cell r="K30">
            <v>4.58</v>
          </cell>
          <cell r="L30">
            <v>-0.46999999999999886</v>
          </cell>
        </row>
        <row r="31">
          <cell r="A31">
            <v>38139</v>
          </cell>
          <cell r="B31">
            <v>38156</v>
          </cell>
          <cell r="C31">
            <v>38157</v>
          </cell>
          <cell r="D31">
            <v>38158</v>
          </cell>
          <cell r="E31">
            <v>38159</v>
          </cell>
          <cell r="F31">
            <v>38160</v>
          </cell>
          <cell r="G31">
            <v>5.3100000000000005</v>
          </cell>
          <cell r="H31" t="e">
            <v>#N/A</v>
          </cell>
          <cell r="I31" t="e">
            <v>#N/A</v>
          </cell>
          <cell r="J31" t="e">
            <v>#N/A</v>
          </cell>
          <cell r="K31">
            <v>5.54</v>
          </cell>
          <cell r="L31">
            <v>0.22999999999999954</v>
          </cell>
        </row>
        <row r="32">
          <cell r="A32">
            <v>38169</v>
          </cell>
          <cell r="B32">
            <v>38191</v>
          </cell>
          <cell r="C32">
            <v>38192</v>
          </cell>
          <cell r="D32">
            <v>38193</v>
          </cell>
          <cell r="E32">
            <v>38194</v>
          </cell>
          <cell r="F32">
            <v>38195</v>
          </cell>
          <cell r="G32">
            <v>5.92</v>
          </cell>
          <cell r="H32" t="e">
            <v>#N/A</v>
          </cell>
          <cell r="I32" t="e">
            <v>#N/A</v>
          </cell>
          <cell r="J32">
            <v>6.18</v>
          </cell>
          <cell r="K32">
            <v>5.7899999999999991</v>
          </cell>
          <cell r="L32">
            <v>0.25999999999999979</v>
          </cell>
        </row>
        <row r="33">
          <cell r="A33">
            <v>38200</v>
          </cell>
          <cell r="B33">
            <v>38219</v>
          </cell>
          <cell r="C33">
            <v>38220</v>
          </cell>
          <cell r="D33">
            <v>38221</v>
          </cell>
          <cell r="E33">
            <v>38222</v>
          </cell>
          <cell r="F33">
            <v>38223</v>
          </cell>
          <cell r="G33">
            <v>6.05</v>
          </cell>
          <cell r="H33" t="e">
            <v>#N/A</v>
          </cell>
          <cell r="I33" t="e">
            <v>#N/A</v>
          </cell>
          <cell r="J33">
            <v>5.7700000000000005</v>
          </cell>
          <cell r="K33">
            <v>5.6399999999999988</v>
          </cell>
          <cell r="L33">
            <v>-0.27999999999999936</v>
          </cell>
        </row>
        <row r="34">
          <cell r="A34">
            <v>38231</v>
          </cell>
          <cell r="B34">
            <v>38247</v>
          </cell>
          <cell r="C34">
            <v>38248</v>
          </cell>
          <cell r="D34">
            <v>38249</v>
          </cell>
          <cell r="E34">
            <v>38250</v>
          </cell>
          <cell r="F34">
            <v>38251</v>
          </cell>
          <cell r="G34">
            <v>3.8299999999999992</v>
          </cell>
          <cell r="H34" t="e">
            <v>#N/A</v>
          </cell>
          <cell r="I34" t="e">
            <v>#N/A</v>
          </cell>
          <cell r="J34">
            <v>3.4300000000000006</v>
          </cell>
          <cell r="K34">
            <v>5.6</v>
          </cell>
          <cell r="L34">
            <v>-0.39999999999999858</v>
          </cell>
        </row>
        <row r="35">
          <cell r="A35">
            <v>38261</v>
          </cell>
          <cell r="B35">
            <v>38282</v>
          </cell>
          <cell r="C35">
            <v>38283</v>
          </cell>
          <cell r="D35">
            <v>38284</v>
          </cell>
          <cell r="E35">
            <v>38285</v>
          </cell>
          <cell r="F35">
            <v>38286</v>
          </cell>
          <cell r="G35">
            <v>6.4499999999999993</v>
          </cell>
          <cell r="H35" t="e">
            <v>#N/A</v>
          </cell>
          <cell r="I35" t="e">
            <v>#N/A</v>
          </cell>
          <cell r="J35">
            <v>6.19</v>
          </cell>
          <cell r="K35">
            <v>6.24</v>
          </cell>
          <cell r="L35">
            <v>-0.2599999999999989</v>
          </cell>
        </row>
        <row r="36">
          <cell r="A36">
            <v>38292</v>
          </cell>
          <cell r="B36">
            <v>38310</v>
          </cell>
          <cell r="C36">
            <v>38311</v>
          </cell>
          <cell r="D36">
            <v>38312</v>
          </cell>
          <cell r="E36">
            <v>38313</v>
          </cell>
          <cell r="F36">
            <v>38314</v>
          </cell>
          <cell r="G36">
            <v>6.3400000000000007</v>
          </cell>
          <cell r="H36" t="e">
            <v>#N/A</v>
          </cell>
          <cell r="I36" t="e">
            <v>#N/A</v>
          </cell>
          <cell r="J36">
            <v>6.3699999999999992</v>
          </cell>
          <cell r="K36">
            <v>5.9200000000000008</v>
          </cell>
          <cell r="L36">
            <v>2.9999999999998472E-2</v>
          </cell>
        </row>
        <row r="37">
          <cell r="A37">
            <v>38322</v>
          </cell>
          <cell r="B37">
            <v>38338</v>
          </cell>
          <cell r="C37">
            <v>38339</v>
          </cell>
          <cell r="D37">
            <v>38340</v>
          </cell>
          <cell r="E37">
            <v>38341</v>
          </cell>
          <cell r="F37">
            <v>38342</v>
          </cell>
          <cell r="G37">
            <v>6.61</v>
          </cell>
          <cell r="H37" t="e">
            <v>#N/A</v>
          </cell>
          <cell r="I37" t="e">
            <v>#N/A</v>
          </cell>
          <cell r="J37">
            <v>6.67</v>
          </cell>
          <cell r="K37">
            <v>6.43</v>
          </cell>
          <cell r="L37">
            <v>5.9999999999999609E-2</v>
          </cell>
        </row>
        <row r="38">
          <cell r="A38">
            <v>38353</v>
          </cell>
          <cell r="B38">
            <v>38373</v>
          </cell>
          <cell r="C38">
            <v>38374</v>
          </cell>
          <cell r="D38">
            <v>38375</v>
          </cell>
          <cell r="E38">
            <v>38376</v>
          </cell>
          <cell r="F38">
            <v>38377</v>
          </cell>
          <cell r="G38">
            <v>5.7299999999999995</v>
          </cell>
          <cell r="H38" t="e">
            <v>#N/A</v>
          </cell>
          <cell r="I38" t="e">
            <v>#N/A</v>
          </cell>
          <cell r="J38">
            <v>5.83</v>
          </cell>
          <cell r="K38">
            <v>5.42</v>
          </cell>
          <cell r="L38">
            <v>0.10000000000000053</v>
          </cell>
        </row>
        <row r="39">
          <cell r="A39">
            <v>38384</v>
          </cell>
          <cell r="B39">
            <v>38401</v>
          </cell>
          <cell r="C39">
            <v>38402</v>
          </cell>
          <cell r="D39">
            <v>38403</v>
          </cell>
          <cell r="E39">
            <v>38404</v>
          </cell>
          <cell r="F39">
            <v>38405</v>
          </cell>
          <cell r="G39">
            <v>5.99</v>
          </cell>
          <cell r="H39" t="e">
            <v>#N/A</v>
          </cell>
          <cell r="I39" t="e">
            <v>#N/A</v>
          </cell>
          <cell r="J39">
            <v>6.02</v>
          </cell>
          <cell r="K39">
            <v>6.21</v>
          </cell>
          <cell r="L39">
            <v>2.9999999999999361E-2</v>
          </cell>
        </row>
        <row r="40">
          <cell r="A40">
            <v>38412</v>
          </cell>
          <cell r="B40">
            <v>38429</v>
          </cell>
          <cell r="C40">
            <v>38430</v>
          </cell>
          <cell r="D40">
            <v>38431</v>
          </cell>
          <cell r="E40">
            <v>38432</v>
          </cell>
          <cell r="F40">
            <v>38433</v>
          </cell>
          <cell r="G40">
            <v>5.4</v>
          </cell>
          <cell r="H40" t="e">
            <v>#N/A</v>
          </cell>
          <cell r="I40" t="e">
            <v>#N/A</v>
          </cell>
          <cell r="J40" t="e">
            <v>#N/A</v>
          </cell>
          <cell r="K40">
            <v>7.7</v>
          </cell>
          <cell r="L40">
            <v>2.2999999999999998</v>
          </cell>
        </row>
        <row r="41">
          <cell r="A41">
            <v>38443</v>
          </cell>
          <cell r="B41">
            <v>38464</v>
          </cell>
          <cell r="C41">
            <v>38465</v>
          </cell>
          <cell r="D41">
            <v>38466</v>
          </cell>
          <cell r="E41">
            <v>38467</v>
          </cell>
          <cell r="F41">
            <v>38468</v>
          </cell>
          <cell r="G41">
            <v>4.7899999999999991</v>
          </cell>
          <cell r="H41" t="e">
            <v>#N/A</v>
          </cell>
          <cell r="I41" t="e">
            <v>#N/A</v>
          </cell>
          <cell r="J41">
            <v>4.91</v>
          </cell>
          <cell r="K41">
            <v>4.87</v>
          </cell>
          <cell r="L41">
            <v>0.12000000000000099</v>
          </cell>
        </row>
        <row r="42">
          <cell r="A42">
            <v>38473</v>
          </cell>
          <cell r="B42">
            <v>38492</v>
          </cell>
          <cell r="C42">
            <v>38493</v>
          </cell>
          <cell r="D42">
            <v>38494</v>
          </cell>
          <cell r="E42">
            <v>38495</v>
          </cell>
          <cell r="F42">
            <v>38496</v>
          </cell>
          <cell r="G42">
            <v>5.12</v>
          </cell>
          <cell r="H42" t="e">
            <v>#N/A</v>
          </cell>
          <cell r="I42" t="e">
            <v>#N/A</v>
          </cell>
          <cell r="J42">
            <v>5.0600000000000005</v>
          </cell>
          <cell r="K42">
            <v>5.05</v>
          </cell>
          <cell r="L42">
            <v>-5.9999999999999609E-2</v>
          </cell>
        </row>
        <row r="43">
          <cell r="A43">
            <v>38504</v>
          </cell>
          <cell r="B43">
            <v>38513</v>
          </cell>
          <cell r="C43">
            <v>38514</v>
          </cell>
          <cell r="D43">
            <v>38515</v>
          </cell>
          <cell r="E43">
            <v>38516</v>
          </cell>
          <cell r="F43">
            <v>38517</v>
          </cell>
          <cell r="G43">
            <v>4.92</v>
          </cell>
          <cell r="H43" t="e">
            <v>#N/A</v>
          </cell>
          <cell r="I43" t="e">
            <v>#N/A</v>
          </cell>
          <cell r="J43">
            <v>4.58</v>
          </cell>
          <cell r="K43">
            <v>4.58</v>
          </cell>
          <cell r="L43">
            <v>-0.33999999999999986</v>
          </cell>
        </row>
        <row r="44">
          <cell r="A44">
            <v>38534</v>
          </cell>
          <cell r="B44">
            <v>38555</v>
          </cell>
          <cell r="C44">
            <v>38556</v>
          </cell>
          <cell r="D44">
            <v>38557</v>
          </cell>
          <cell r="E44">
            <v>38558</v>
          </cell>
          <cell r="F44">
            <v>38559</v>
          </cell>
          <cell r="G44">
            <v>4.92</v>
          </cell>
          <cell r="H44" t="e">
            <v>#N/A</v>
          </cell>
          <cell r="I44" t="e">
            <v>#N/A</v>
          </cell>
          <cell r="J44">
            <v>4.3000000000000007</v>
          </cell>
          <cell r="K44">
            <v>4.67</v>
          </cell>
          <cell r="L44">
            <v>-0.61999999999999922</v>
          </cell>
        </row>
        <row r="45">
          <cell r="A45">
            <v>38565</v>
          </cell>
          <cell r="B45">
            <v>38583</v>
          </cell>
          <cell r="C45">
            <v>38584</v>
          </cell>
          <cell r="D45">
            <v>38585</v>
          </cell>
          <cell r="E45">
            <v>38586</v>
          </cell>
          <cell r="F45">
            <v>38587</v>
          </cell>
          <cell r="G45">
            <v>4.17</v>
          </cell>
          <cell r="H45" t="e">
            <v>#N/A</v>
          </cell>
          <cell r="I45" t="e">
            <v>#N/A</v>
          </cell>
          <cell r="J45">
            <v>4.18</v>
          </cell>
          <cell r="K45">
            <v>4.1500000000000004</v>
          </cell>
          <cell r="L45">
            <v>9.9999999999997868E-3</v>
          </cell>
        </row>
        <row r="46">
          <cell r="A46">
            <v>38596</v>
          </cell>
          <cell r="B46">
            <v>38611</v>
          </cell>
          <cell r="C46">
            <v>38612</v>
          </cell>
          <cell r="D46">
            <v>38613</v>
          </cell>
          <cell r="E46">
            <v>38614</v>
          </cell>
          <cell r="F46">
            <v>38615</v>
          </cell>
          <cell r="G46">
            <v>2.5100000000000002</v>
          </cell>
          <cell r="H46" t="e">
            <v>#N/A</v>
          </cell>
          <cell r="I46" t="e">
            <v>#N/A</v>
          </cell>
          <cell r="J46">
            <v>2.44</v>
          </cell>
          <cell r="K46">
            <v>3.08</v>
          </cell>
          <cell r="L46">
            <v>-7.0000000000000284E-2</v>
          </cell>
        </row>
        <row r="47">
          <cell r="A47">
            <v>38626</v>
          </cell>
          <cell r="B47">
            <v>38653</v>
          </cell>
          <cell r="C47">
            <v>38654</v>
          </cell>
          <cell r="D47">
            <v>38655</v>
          </cell>
          <cell r="E47">
            <v>38656</v>
          </cell>
          <cell r="F47">
            <v>38657</v>
          </cell>
          <cell r="G47">
            <v>5.25</v>
          </cell>
          <cell r="H47" t="e">
            <v>#N/A</v>
          </cell>
          <cell r="I47" t="e">
            <v>#N/A</v>
          </cell>
          <cell r="J47">
            <v>5</v>
          </cell>
          <cell r="K47">
            <v>5.2899999999999991</v>
          </cell>
          <cell r="L47">
            <v>-0.25</v>
          </cell>
        </row>
        <row r="48">
          <cell r="A48">
            <v>38657</v>
          </cell>
          <cell r="B48">
            <v>38674</v>
          </cell>
          <cell r="C48">
            <v>38675</v>
          </cell>
          <cell r="D48">
            <v>38676</v>
          </cell>
          <cell r="E48">
            <v>38677</v>
          </cell>
          <cell r="F48">
            <v>38678</v>
          </cell>
          <cell r="G48">
            <v>5.32</v>
          </cell>
          <cell r="H48" t="e">
            <v>#N/A</v>
          </cell>
          <cell r="I48" t="e">
            <v>#N/A</v>
          </cell>
          <cell r="J48">
            <v>5.28</v>
          </cell>
          <cell r="K48">
            <v>5.1099999999999994</v>
          </cell>
          <cell r="L48">
            <v>-4.0000000000000036E-2</v>
          </cell>
        </row>
        <row r="49">
          <cell r="A49">
            <v>38687</v>
          </cell>
          <cell r="B49">
            <v>38702</v>
          </cell>
          <cell r="C49">
            <v>38703</v>
          </cell>
          <cell r="D49">
            <v>38704</v>
          </cell>
          <cell r="E49">
            <v>38705</v>
          </cell>
          <cell r="F49">
            <v>38706</v>
          </cell>
          <cell r="G49">
            <v>5.38</v>
          </cell>
          <cell r="H49" t="e">
            <v>#N/A</v>
          </cell>
          <cell r="I49" t="e">
            <v>#N/A</v>
          </cell>
          <cell r="J49">
            <v>6.08</v>
          </cell>
          <cell r="K49">
            <v>6.11</v>
          </cell>
          <cell r="L49">
            <v>0.70000000000000018</v>
          </cell>
        </row>
        <row r="50">
          <cell r="A50">
            <v>38718</v>
          </cell>
          <cell r="B50">
            <v>38744</v>
          </cell>
          <cell r="C50">
            <v>38745</v>
          </cell>
          <cell r="D50">
            <v>38746</v>
          </cell>
          <cell r="E50">
            <v>38747</v>
          </cell>
          <cell r="F50">
            <v>38748</v>
          </cell>
          <cell r="G50">
            <v>5.22</v>
          </cell>
          <cell r="H50" t="e">
            <v>#N/A</v>
          </cell>
          <cell r="I50" t="e">
            <v>#N/A</v>
          </cell>
          <cell r="J50">
            <v>5.29</v>
          </cell>
          <cell r="K50">
            <v>6.09</v>
          </cell>
          <cell r="L50">
            <v>7.0000000000000284E-2</v>
          </cell>
        </row>
        <row r="51">
          <cell r="A51">
            <v>38749</v>
          </cell>
          <cell r="B51">
            <v>38765</v>
          </cell>
          <cell r="C51">
            <v>38766</v>
          </cell>
          <cell r="D51">
            <v>38767</v>
          </cell>
          <cell r="E51">
            <v>38768</v>
          </cell>
          <cell r="F51">
            <v>38769</v>
          </cell>
          <cell r="G51">
            <v>6.04</v>
          </cell>
          <cell r="H51" t="e">
            <v>#N/A</v>
          </cell>
          <cell r="I51" t="e">
            <v>#N/A</v>
          </cell>
          <cell r="J51">
            <v>6.04</v>
          </cell>
          <cell r="K51">
            <v>5.46</v>
          </cell>
          <cell r="L51">
            <v>0</v>
          </cell>
        </row>
        <row r="52">
          <cell r="A52">
            <v>38777</v>
          </cell>
          <cell r="B52">
            <v>38793</v>
          </cell>
          <cell r="C52">
            <v>38794</v>
          </cell>
          <cell r="D52">
            <v>38795</v>
          </cell>
          <cell r="E52">
            <v>38796</v>
          </cell>
          <cell r="F52">
            <v>38797</v>
          </cell>
          <cell r="G52">
            <v>4.9399999999999995</v>
          </cell>
          <cell r="H52" t="e">
            <v>#N/A</v>
          </cell>
          <cell r="I52" t="e">
            <v>#N/A</v>
          </cell>
          <cell r="J52" t="e">
            <v>#N/A</v>
          </cell>
          <cell r="K52">
            <v>5.07</v>
          </cell>
          <cell r="L52">
            <v>0.13000000000000078</v>
          </cell>
        </row>
        <row r="53">
          <cell r="A53">
            <v>38808</v>
          </cell>
          <cell r="B53">
            <v>38835</v>
          </cell>
          <cell r="C53">
            <v>38836</v>
          </cell>
          <cell r="D53">
            <v>38837</v>
          </cell>
          <cell r="E53">
            <v>38838</v>
          </cell>
          <cell r="F53">
            <v>38839</v>
          </cell>
          <cell r="G53">
            <v>4.7700000000000005</v>
          </cell>
          <cell r="H53" t="e">
            <v>#N/A</v>
          </cell>
          <cell r="I53" t="e">
            <v>#N/A</v>
          </cell>
          <cell r="J53" t="e">
            <v>#N/A</v>
          </cell>
          <cell r="K53">
            <v>6.59</v>
          </cell>
          <cell r="L53">
            <v>1.8199999999999994</v>
          </cell>
        </row>
        <row r="54">
          <cell r="A54">
            <v>38838</v>
          </cell>
          <cell r="B54">
            <v>38863</v>
          </cell>
          <cell r="C54">
            <v>38864</v>
          </cell>
          <cell r="D54">
            <v>38865</v>
          </cell>
          <cell r="E54">
            <v>38866</v>
          </cell>
          <cell r="F54">
            <v>38867</v>
          </cell>
          <cell r="G54">
            <v>5.5600000000000005</v>
          </cell>
          <cell r="H54" t="e">
            <v>#N/A</v>
          </cell>
          <cell r="I54" t="e">
            <v>#N/A</v>
          </cell>
          <cell r="J54" t="e">
            <v>#N/A</v>
          </cell>
          <cell r="K54">
            <v>4.5399999999999991</v>
          </cell>
          <cell r="L54">
            <v>-1.0200000000000014</v>
          </cell>
        </row>
        <row r="55">
          <cell r="A55">
            <v>38869</v>
          </cell>
          <cell r="B55">
            <v>38888</v>
          </cell>
          <cell r="C55">
            <v>38889</v>
          </cell>
          <cell r="D55">
            <v>38890</v>
          </cell>
          <cell r="E55">
            <v>38891</v>
          </cell>
          <cell r="F55">
            <v>38892</v>
          </cell>
          <cell r="G55">
            <v>8.42</v>
          </cell>
          <cell r="H55">
            <v>8.32</v>
          </cell>
          <cell r="I55">
            <v>8.36</v>
          </cell>
          <cell r="J55">
            <v>5.84</v>
          </cell>
          <cell r="K55" t="e">
            <v>#N/A</v>
          </cell>
          <cell r="L55">
            <v>-9.9999999999999645E-2</v>
          </cell>
        </row>
        <row r="56">
          <cell r="A56">
            <v>38899</v>
          </cell>
          <cell r="B56">
            <v>38925</v>
          </cell>
          <cell r="C56">
            <v>38926</v>
          </cell>
          <cell r="D56">
            <v>38927</v>
          </cell>
          <cell r="E56">
            <v>38928</v>
          </cell>
          <cell r="F56">
            <v>38929</v>
          </cell>
          <cell r="G56">
            <v>4.07</v>
          </cell>
          <cell r="H56" t="e">
            <v>#N/A</v>
          </cell>
          <cell r="I56" t="e">
            <v>#N/A</v>
          </cell>
          <cell r="J56" t="e">
            <v>#N/A</v>
          </cell>
          <cell r="K56">
            <v>2.67</v>
          </cell>
          <cell r="L56">
            <v>-1.4000000000000004</v>
          </cell>
        </row>
        <row r="57">
          <cell r="A57">
            <v>38930</v>
          </cell>
          <cell r="B57">
            <v>38947</v>
          </cell>
          <cell r="C57">
            <v>38948</v>
          </cell>
          <cell r="D57">
            <v>38949</v>
          </cell>
          <cell r="E57">
            <v>38950</v>
          </cell>
          <cell r="F57">
            <v>38951</v>
          </cell>
          <cell r="G57">
            <v>4.7600000000000007</v>
          </cell>
          <cell r="H57" t="e">
            <v>#N/A</v>
          </cell>
          <cell r="I57" t="e">
            <v>#N/A</v>
          </cell>
          <cell r="J57" t="e">
            <v>#N/A</v>
          </cell>
          <cell r="K57">
            <v>4.6199999999999992</v>
          </cell>
          <cell r="L57">
            <v>-0.14000000000000146</v>
          </cell>
        </row>
        <row r="58">
          <cell r="A58">
            <v>38961</v>
          </cell>
          <cell r="B58">
            <v>38989</v>
          </cell>
          <cell r="C58">
            <v>38990</v>
          </cell>
          <cell r="D58">
            <v>38991</v>
          </cell>
          <cell r="E58">
            <v>38992</v>
          </cell>
          <cell r="F58">
            <v>38993</v>
          </cell>
          <cell r="G58">
            <v>8.2200000000000006</v>
          </cell>
          <cell r="H58" t="e">
            <v>#N/A</v>
          </cell>
          <cell r="I58" t="e">
            <v>#N/A</v>
          </cell>
          <cell r="J58">
            <v>8.17</v>
          </cell>
          <cell r="K58">
            <v>8.15</v>
          </cell>
          <cell r="L58">
            <v>-5.0000000000000711E-2</v>
          </cell>
        </row>
        <row r="59">
          <cell r="A59">
            <v>38991</v>
          </cell>
          <cell r="B59">
            <v>39017</v>
          </cell>
          <cell r="C59">
            <v>39018</v>
          </cell>
          <cell r="D59">
            <v>39019</v>
          </cell>
          <cell r="E59">
            <v>39020</v>
          </cell>
          <cell r="F59">
            <v>39021</v>
          </cell>
          <cell r="G59">
            <v>4.99</v>
          </cell>
          <cell r="H59" t="e">
            <v>#N/A</v>
          </cell>
          <cell r="I59" t="e">
            <v>#N/A</v>
          </cell>
          <cell r="J59">
            <v>5.39</v>
          </cell>
          <cell r="K59">
            <v>8.06</v>
          </cell>
          <cell r="L59">
            <v>0.39999999999999947</v>
          </cell>
        </row>
        <row r="60">
          <cell r="A60">
            <v>39022</v>
          </cell>
          <cell r="B60">
            <v>39038</v>
          </cell>
          <cell r="C60">
            <v>39039</v>
          </cell>
          <cell r="D60">
            <v>39040</v>
          </cell>
          <cell r="E60">
            <v>39041</v>
          </cell>
          <cell r="F60">
            <v>39042</v>
          </cell>
          <cell r="G60">
            <v>7.89</v>
          </cell>
          <cell r="H60" t="e">
            <v>#N/A</v>
          </cell>
          <cell r="I60" t="e">
            <v>#N/A</v>
          </cell>
          <cell r="J60">
            <v>7.87</v>
          </cell>
          <cell r="K60">
            <v>5.84</v>
          </cell>
          <cell r="L60">
            <v>-1.9999999999999574E-2</v>
          </cell>
        </row>
        <row r="61">
          <cell r="A61">
            <v>39052</v>
          </cell>
          <cell r="B61">
            <v>39066</v>
          </cell>
          <cell r="C61">
            <v>39067</v>
          </cell>
          <cell r="D61">
            <v>39068</v>
          </cell>
          <cell r="E61">
            <v>39069</v>
          </cell>
          <cell r="F61">
            <v>39070</v>
          </cell>
          <cell r="G61">
            <v>7.9</v>
          </cell>
          <cell r="H61" t="e">
            <v>#N/A</v>
          </cell>
          <cell r="I61" t="e">
            <v>#N/A</v>
          </cell>
          <cell r="J61">
            <v>7.92</v>
          </cell>
          <cell r="K61">
            <v>7.95</v>
          </cell>
          <cell r="L61">
            <v>1.9999999999999574E-2</v>
          </cell>
        </row>
        <row r="62">
          <cell r="A62">
            <v>39083</v>
          </cell>
          <cell r="B62">
            <v>39108</v>
          </cell>
          <cell r="C62">
            <v>39109</v>
          </cell>
          <cell r="D62">
            <v>39110</v>
          </cell>
          <cell r="E62">
            <v>39111</v>
          </cell>
          <cell r="F62">
            <v>39112</v>
          </cell>
          <cell r="G62">
            <v>6.4500000000000011</v>
          </cell>
          <cell r="H62" t="e">
            <v>#N/A</v>
          </cell>
          <cell r="I62" t="e">
            <v>#N/A</v>
          </cell>
          <cell r="J62">
            <v>5.5299999999999994</v>
          </cell>
          <cell r="K62">
            <v>6.33</v>
          </cell>
          <cell r="L62">
            <v>-0.92000000000000171</v>
          </cell>
        </row>
        <row r="63">
          <cell r="A63">
            <v>39114</v>
          </cell>
          <cell r="B63">
            <v>39136</v>
          </cell>
          <cell r="C63">
            <v>39137</v>
          </cell>
          <cell r="D63">
            <v>39138</v>
          </cell>
          <cell r="E63">
            <v>39139</v>
          </cell>
          <cell r="F63">
            <v>39140</v>
          </cell>
          <cell r="G63">
            <v>8.73</v>
          </cell>
          <cell r="H63" t="e">
            <v>#N/A</v>
          </cell>
          <cell r="I63" t="e">
            <v>#N/A</v>
          </cell>
          <cell r="J63">
            <v>6.49</v>
          </cell>
          <cell r="K63">
            <v>6.5499999999999989</v>
          </cell>
          <cell r="L63">
            <v>-2.2400000000000002</v>
          </cell>
        </row>
        <row r="64">
          <cell r="A64">
            <v>39142</v>
          </cell>
          <cell r="B64">
            <v>39164</v>
          </cell>
          <cell r="C64">
            <v>39165</v>
          </cell>
          <cell r="D64">
            <v>39166</v>
          </cell>
          <cell r="E64">
            <v>39167</v>
          </cell>
          <cell r="F64">
            <v>39168</v>
          </cell>
          <cell r="G64">
            <v>6.44</v>
          </cell>
          <cell r="H64" t="e">
            <v>#N/A</v>
          </cell>
          <cell r="I64" t="e">
            <v>#N/A</v>
          </cell>
          <cell r="J64">
            <v>5.73</v>
          </cell>
          <cell r="K64">
            <v>5.8699999999999992</v>
          </cell>
          <cell r="L64">
            <v>-0.71</v>
          </cell>
        </row>
        <row r="65">
          <cell r="A65">
            <v>39173</v>
          </cell>
          <cell r="B65">
            <v>39202</v>
          </cell>
          <cell r="C65">
            <v>39203</v>
          </cell>
          <cell r="D65">
            <v>39204</v>
          </cell>
          <cell r="E65">
            <v>39205</v>
          </cell>
          <cell r="F65">
            <v>39206</v>
          </cell>
          <cell r="G65">
            <v>9.15</v>
          </cell>
          <cell r="H65" t="e">
            <v>#N/A</v>
          </cell>
          <cell r="I65">
            <v>9.27</v>
          </cell>
          <cell r="J65">
            <v>5.83</v>
          </cell>
          <cell r="K65">
            <v>9.16</v>
          </cell>
          <cell r="L65">
            <v>0.11999999999999922</v>
          </cell>
        </row>
        <row r="66">
          <cell r="A66">
            <v>39203</v>
          </cell>
          <cell r="B66">
            <v>39220</v>
          </cell>
          <cell r="C66">
            <v>39221</v>
          </cell>
          <cell r="D66">
            <v>39222</v>
          </cell>
          <cell r="E66">
            <v>39223</v>
          </cell>
          <cell r="F66">
            <v>39224</v>
          </cell>
          <cell r="G66">
            <v>9.23</v>
          </cell>
          <cell r="H66" t="e">
            <v>#N/A</v>
          </cell>
          <cell r="I66" t="e">
            <v>#N/A</v>
          </cell>
          <cell r="J66" t="e">
            <v>#N/A</v>
          </cell>
          <cell r="K66">
            <v>3.92</v>
          </cell>
          <cell r="L66">
            <v>-5.3100000000000005</v>
          </cell>
        </row>
        <row r="67">
          <cell r="A67">
            <v>39234</v>
          </cell>
          <cell r="B67">
            <v>39262</v>
          </cell>
          <cell r="C67">
            <v>39263</v>
          </cell>
          <cell r="D67">
            <v>39264</v>
          </cell>
          <cell r="E67">
            <v>39265</v>
          </cell>
          <cell r="F67">
            <v>39266</v>
          </cell>
          <cell r="G67">
            <v>6.44</v>
          </cell>
          <cell r="H67" t="e">
            <v>#N/A</v>
          </cell>
          <cell r="I67" t="e">
            <v>#N/A</v>
          </cell>
          <cell r="J67" t="e">
            <v>#N/A</v>
          </cell>
          <cell r="K67">
            <v>4.2700000000000005</v>
          </cell>
          <cell r="L67">
            <v>-2.17</v>
          </cell>
        </row>
        <row r="68">
          <cell r="A68">
            <v>39264</v>
          </cell>
          <cell r="B68">
            <v>39290</v>
          </cell>
          <cell r="C68">
            <v>39291</v>
          </cell>
          <cell r="D68">
            <v>39292</v>
          </cell>
          <cell r="E68">
            <v>39293</v>
          </cell>
          <cell r="F68">
            <v>39294</v>
          </cell>
          <cell r="G68">
            <v>5.1400000000000006</v>
          </cell>
          <cell r="H68" t="e">
            <v>#N/A</v>
          </cell>
          <cell r="I68" t="e">
            <v>#N/A</v>
          </cell>
          <cell r="J68">
            <v>5.16</v>
          </cell>
          <cell r="K68">
            <v>3.5500000000000007</v>
          </cell>
          <cell r="L68">
            <v>1.9999999999999574E-2</v>
          </cell>
        </row>
        <row r="69">
          <cell r="A69">
            <v>39295</v>
          </cell>
          <cell r="B69">
            <v>39318</v>
          </cell>
          <cell r="C69">
            <v>39319</v>
          </cell>
          <cell r="D69">
            <v>39320</v>
          </cell>
          <cell r="E69">
            <v>39321</v>
          </cell>
          <cell r="F69">
            <v>39322</v>
          </cell>
          <cell r="G69">
            <v>4.3000000000000007</v>
          </cell>
          <cell r="H69" t="e">
            <v>#N/A</v>
          </cell>
          <cell r="I69" t="e">
            <v>#N/A</v>
          </cell>
          <cell r="J69">
            <v>4.8100000000000005</v>
          </cell>
          <cell r="K69">
            <v>3.8099999999999996</v>
          </cell>
          <cell r="L69">
            <v>0.50999999999999979</v>
          </cell>
        </row>
        <row r="70">
          <cell r="A70">
            <v>39326</v>
          </cell>
          <cell r="B70">
            <v>39346</v>
          </cell>
          <cell r="C70">
            <v>39347</v>
          </cell>
          <cell r="D70">
            <v>39348</v>
          </cell>
          <cell r="E70">
            <v>39349</v>
          </cell>
          <cell r="F70">
            <v>39350</v>
          </cell>
          <cell r="G70">
            <v>9.64</v>
          </cell>
          <cell r="H70" t="e">
            <v>#N/A</v>
          </cell>
          <cell r="I70" t="e">
            <v>#N/A</v>
          </cell>
          <cell r="J70">
            <v>4.5299999999999994</v>
          </cell>
          <cell r="K70">
            <v>4.08</v>
          </cell>
          <cell r="L70">
            <v>-5.1100000000000012</v>
          </cell>
        </row>
        <row r="71">
          <cell r="A71">
            <v>39356</v>
          </cell>
          <cell r="B71">
            <v>39381</v>
          </cell>
          <cell r="C71">
            <v>39382</v>
          </cell>
          <cell r="D71">
            <v>39383</v>
          </cell>
          <cell r="E71">
            <v>39384</v>
          </cell>
          <cell r="F71">
            <v>39385</v>
          </cell>
          <cell r="G71">
            <v>9.57</v>
          </cell>
          <cell r="H71" t="e">
            <v>#N/A</v>
          </cell>
          <cell r="I71" t="e">
            <v>#N/A</v>
          </cell>
          <cell r="J71">
            <v>3.9799999999999995</v>
          </cell>
          <cell r="K71">
            <v>9.59</v>
          </cell>
          <cell r="L71">
            <v>-5.5900000000000007</v>
          </cell>
        </row>
        <row r="72">
          <cell r="A72">
            <v>39387</v>
          </cell>
          <cell r="B72">
            <v>39409</v>
          </cell>
          <cell r="C72">
            <v>39410</v>
          </cell>
          <cell r="D72">
            <v>39411</v>
          </cell>
          <cell r="E72">
            <v>39412</v>
          </cell>
          <cell r="F72">
            <v>39413</v>
          </cell>
          <cell r="G72">
            <v>4.5</v>
          </cell>
          <cell r="H72" t="e">
            <v>#N/A</v>
          </cell>
          <cell r="I72" t="e">
            <v>#N/A</v>
          </cell>
          <cell r="J72">
            <v>4.4799999999999995</v>
          </cell>
          <cell r="K72">
            <v>4.54</v>
          </cell>
          <cell r="L72">
            <v>-2.0000000000000462E-2</v>
          </cell>
        </row>
        <row r="73">
          <cell r="A73">
            <v>39417</v>
          </cell>
          <cell r="B73">
            <v>39430</v>
          </cell>
          <cell r="C73">
            <v>39431</v>
          </cell>
          <cell r="D73">
            <v>39432</v>
          </cell>
          <cell r="E73">
            <v>39433</v>
          </cell>
          <cell r="F73">
            <v>39434</v>
          </cell>
          <cell r="G73">
            <v>4.7300000000000004</v>
          </cell>
          <cell r="H73" t="e">
            <v>#N/A</v>
          </cell>
          <cell r="I73" t="e">
            <v>#N/A</v>
          </cell>
          <cell r="J73">
            <v>9.94</v>
          </cell>
          <cell r="K73">
            <v>4.8100000000000005</v>
          </cell>
          <cell r="L73">
            <v>5.2099999999999991</v>
          </cell>
        </row>
        <row r="74">
          <cell r="A74">
            <v>39448</v>
          </cell>
          <cell r="B74">
            <v>39472</v>
          </cell>
          <cell r="C74">
            <v>39473</v>
          </cell>
          <cell r="D74">
            <v>39474</v>
          </cell>
          <cell r="E74">
            <v>39475</v>
          </cell>
          <cell r="F74">
            <v>39476</v>
          </cell>
          <cell r="G74">
            <v>10.18</v>
          </cell>
          <cell r="H74" t="e">
            <v>#N/A</v>
          </cell>
          <cell r="I74" t="e">
            <v>#N/A</v>
          </cell>
          <cell r="J74">
            <v>10.26</v>
          </cell>
          <cell r="K74">
            <v>5.1100000000000003</v>
          </cell>
          <cell r="L74">
            <v>8.0000000000000071E-2</v>
          </cell>
        </row>
        <row r="75">
          <cell r="A75">
            <v>39479</v>
          </cell>
          <cell r="B75">
            <v>39500</v>
          </cell>
          <cell r="C75">
            <v>39501</v>
          </cell>
          <cell r="D75">
            <v>39502</v>
          </cell>
          <cell r="E75">
            <v>39503</v>
          </cell>
          <cell r="F75">
            <v>39504</v>
          </cell>
          <cell r="G75">
            <v>10.38</v>
          </cell>
          <cell r="H75" t="e">
            <v>#N/A</v>
          </cell>
          <cell r="I75" t="e">
            <v>#N/A</v>
          </cell>
          <cell r="J75">
            <v>10.41</v>
          </cell>
          <cell r="K75">
            <v>5.6700000000000008</v>
          </cell>
          <cell r="L75">
            <v>2.9999999999999361E-2</v>
          </cell>
        </row>
        <row r="76">
          <cell r="A76">
            <v>39508</v>
          </cell>
          <cell r="B76">
            <v>39535</v>
          </cell>
          <cell r="C76">
            <v>39536</v>
          </cell>
          <cell r="D76">
            <v>39537</v>
          </cell>
          <cell r="E76">
            <v>39538</v>
          </cell>
          <cell r="F76">
            <v>39539</v>
          </cell>
          <cell r="G76">
            <v>5.63</v>
          </cell>
          <cell r="H76" t="e">
            <v>#N/A</v>
          </cell>
          <cell r="I76" t="e">
            <v>#N/A</v>
          </cell>
          <cell r="J76">
            <v>10.63</v>
          </cell>
          <cell r="K76">
            <v>10.6</v>
          </cell>
          <cell r="L76">
            <v>5.0000000000000009</v>
          </cell>
        </row>
        <row r="77">
          <cell r="A77">
            <v>39539</v>
          </cell>
          <cell r="B77">
            <v>39563</v>
          </cell>
          <cell r="C77">
            <v>39564</v>
          </cell>
          <cell r="D77">
            <v>39565</v>
          </cell>
          <cell r="E77">
            <v>39566</v>
          </cell>
          <cell r="F77">
            <v>39567</v>
          </cell>
          <cell r="G77">
            <v>4.88</v>
          </cell>
          <cell r="H77" t="e">
            <v>#N/A</v>
          </cell>
          <cell r="I77" t="e">
            <v>#N/A</v>
          </cell>
          <cell r="J77">
            <v>10.41</v>
          </cell>
          <cell r="K77">
            <v>4.93</v>
          </cell>
          <cell r="L77">
            <v>5.53</v>
          </cell>
        </row>
        <row r="78">
          <cell r="A78">
            <v>39569</v>
          </cell>
          <cell r="B78">
            <v>39591</v>
          </cell>
          <cell r="C78">
            <v>39592</v>
          </cell>
          <cell r="D78">
            <v>39593</v>
          </cell>
          <cell r="E78">
            <v>39594</v>
          </cell>
          <cell r="F78">
            <v>39595</v>
          </cell>
          <cell r="G78">
            <v>10.72</v>
          </cell>
          <cell r="H78" t="e">
            <v>#N/A</v>
          </cell>
          <cell r="I78" t="e">
            <v>#N/A</v>
          </cell>
          <cell r="J78" t="e">
            <v>#N/A</v>
          </cell>
          <cell r="K78">
            <v>5.19</v>
          </cell>
          <cell r="L78">
            <v>-5.53</v>
          </cell>
        </row>
        <row r="79">
          <cell r="A79">
            <v>39600</v>
          </cell>
          <cell r="B79">
            <v>39619</v>
          </cell>
          <cell r="C79">
            <v>39620</v>
          </cell>
          <cell r="D79">
            <v>39621</v>
          </cell>
          <cell r="E79">
            <v>39622</v>
          </cell>
          <cell r="F79">
            <v>39623</v>
          </cell>
          <cell r="G79">
            <v>10.88</v>
          </cell>
          <cell r="H79" t="e">
            <v>#N/A</v>
          </cell>
          <cell r="I79" t="e">
            <v>#N/A</v>
          </cell>
          <cell r="J79">
            <v>5.4300000000000006</v>
          </cell>
          <cell r="K79">
            <v>10.69</v>
          </cell>
          <cell r="L79">
            <v>-5.45</v>
          </cell>
        </row>
        <row r="80">
          <cell r="A80">
            <v>39630</v>
          </cell>
          <cell r="B80">
            <v>39654</v>
          </cell>
          <cell r="C80">
            <v>39655</v>
          </cell>
          <cell r="D80">
            <v>39656</v>
          </cell>
          <cell r="E80">
            <v>39657</v>
          </cell>
          <cell r="F80">
            <v>39658</v>
          </cell>
          <cell r="G80">
            <v>5.85</v>
          </cell>
          <cell r="H80" t="e">
            <v>#N/A</v>
          </cell>
          <cell r="I80" t="e">
            <v>#N/A</v>
          </cell>
          <cell r="J80">
            <v>10.97</v>
          </cell>
          <cell r="K80">
            <v>5.9899999999999993</v>
          </cell>
          <cell r="L80">
            <v>5.120000000000001</v>
          </cell>
        </row>
        <row r="81">
          <cell r="A81">
            <v>39661</v>
          </cell>
          <cell r="B81">
            <v>39675</v>
          </cell>
          <cell r="C81">
            <v>39676</v>
          </cell>
          <cell r="D81">
            <v>39677</v>
          </cell>
          <cell r="E81">
            <v>39678</v>
          </cell>
          <cell r="F81">
            <v>39679</v>
          </cell>
          <cell r="G81">
            <v>10.8</v>
          </cell>
          <cell r="H81" t="e">
            <v>#N/A</v>
          </cell>
          <cell r="I81" t="e">
            <v>#N/A</v>
          </cell>
          <cell r="J81" t="e">
            <v>#N/A</v>
          </cell>
          <cell r="K81">
            <v>10.74</v>
          </cell>
          <cell r="L81">
            <v>-6.0000000000000497E-2</v>
          </cell>
        </row>
        <row r="82">
          <cell r="A82">
            <v>39692</v>
          </cell>
          <cell r="B82">
            <v>39710</v>
          </cell>
          <cell r="C82">
            <v>39711</v>
          </cell>
          <cell r="D82">
            <v>39712</v>
          </cell>
          <cell r="E82">
            <v>39713</v>
          </cell>
          <cell r="F82">
            <v>39714</v>
          </cell>
          <cell r="G82">
            <v>3.95</v>
          </cell>
          <cell r="H82" t="e">
            <v>#N/A</v>
          </cell>
          <cell r="I82" t="e">
            <v>#N/A</v>
          </cell>
          <cell r="J82">
            <v>4.3400000000000007</v>
          </cell>
          <cell r="K82">
            <v>4.4599999999999991</v>
          </cell>
          <cell r="L82">
            <v>0.39000000000000057</v>
          </cell>
        </row>
        <row r="83">
          <cell r="A83">
            <v>39722</v>
          </cell>
          <cell r="B83">
            <v>39745</v>
          </cell>
          <cell r="C83">
            <v>39746</v>
          </cell>
          <cell r="D83">
            <v>39747</v>
          </cell>
          <cell r="E83">
            <v>39748</v>
          </cell>
          <cell r="F83">
            <v>39749</v>
          </cell>
          <cell r="G83">
            <v>10.52</v>
          </cell>
          <cell r="H83" t="e">
            <v>#N/A</v>
          </cell>
          <cell r="I83" t="e">
            <v>#N/A</v>
          </cell>
          <cell r="J83">
            <v>4.3600000000000012</v>
          </cell>
          <cell r="K83">
            <v>4.6800000000000006</v>
          </cell>
          <cell r="L83">
            <v>-6.1599999999999984</v>
          </cell>
        </row>
        <row r="84">
          <cell r="A84">
            <v>39753</v>
          </cell>
          <cell r="B84">
            <v>39773</v>
          </cell>
          <cell r="C84">
            <v>39774</v>
          </cell>
          <cell r="D84">
            <v>39775</v>
          </cell>
          <cell r="E84">
            <v>39776</v>
          </cell>
          <cell r="F84">
            <v>39777</v>
          </cell>
          <cell r="G84">
            <v>10.26</v>
          </cell>
          <cell r="H84" t="e">
            <v>#N/A</v>
          </cell>
          <cell r="I84" t="e">
            <v>#N/A</v>
          </cell>
          <cell r="J84">
            <v>5.48</v>
          </cell>
          <cell r="K84">
            <v>5.2799999999999994</v>
          </cell>
          <cell r="L84">
            <v>-4.7799999999999994</v>
          </cell>
        </row>
        <row r="85">
          <cell r="A85">
            <v>39783</v>
          </cell>
          <cell r="B85">
            <v>39801</v>
          </cell>
          <cell r="C85">
            <v>39802</v>
          </cell>
          <cell r="D85">
            <v>39803</v>
          </cell>
          <cell r="E85">
            <v>39804</v>
          </cell>
          <cell r="F85">
            <v>39805</v>
          </cell>
          <cell r="G85">
            <v>5.44</v>
          </cell>
          <cell r="H85" t="e">
            <v>#N/A</v>
          </cell>
          <cell r="I85" t="e">
            <v>#N/A</v>
          </cell>
          <cell r="J85">
            <v>9.5299999999999994</v>
          </cell>
          <cell r="K85">
            <v>5.27</v>
          </cell>
          <cell r="L85">
            <v>4.089999999999999</v>
          </cell>
        </row>
        <row r="86">
          <cell r="A86">
            <v>39814</v>
          </cell>
          <cell r="B86">
            <v>39843</v>
          </cell>
          <cell r="C86">
            <v>39844</v>
          </cell>
          <cell r="D86">
            <v>39845</v>
          </cell>
          <cell r="E86">
            <v>39846</v>
          </cell>
          <cell r="F86">
            <v>39847</v>
          </cell>
          <cell r="G86">
            <v>9.0299999999999994</v>
          </cell>
          <cell r="H86" t="e">
            <v>#N/A</v>
          </cell>
          <cell r="I86" t="e">
            <v>#N/A</v>
          </cell>
          <cell r="J86">
            <v>5.67</v>
          </cell>
          <cell r="K86">
            <v>9.01</v>
          </cell>
          <cell r="L86">
            <v>-3.3599999999999994</v>
          </cell>
        </row>
        <row r="87">
          <cell r="A87">
            <v>39845</v>
          </cell>
          <cell r="B87">
            <v>39871</v>
          </cell>
          <cell r="C87">
            <v>39872</v>
          </cell>
          <cell r="D87">
            <v>39873</v>
          </cell>
          <cell r="E87">
            <v>39874</v>
          </cell>
          <cell r="F87">
            <v>39875</v>
          </cell>
          <cell r="G87">
            <v>4.8199999999999994</v>
          </cell>
          <cell r="H87" t="e">
            <v>#N/A</v>
          </cell>
          <cell r="I87" t="e">
            <v>#N/A</v>
          </cell>
          <cell r="J87">
            <v>4.6800000000000015</v>
          </cell>
          <cell r="K87">
            <v>5.0100000000000007</v>
          </cell>
          <cell r="L87">
            <v>-0.1399999999999979</v>
          </cell>
        </row>
        <row r="88">
          <cell r="A88">
            <v>39873</v>
          </cell>
          <cell r="B88">
            <v>39892</v>
          </cell>
          <cell r="C88">
            <v>39893</v>
          </cell>
          <cell r="D88">
            <v>39894</v>
          </cell>
          <cell r="E88">
            <v>39895</v>
          </cell>
          <cell r="F88">
            <v>39896</v>
          </cell>
          <cell r="G88">
            <v>4.5599999999999996</v>
          </cell>
          <cell r="H88" t="e">
            <v>#N/A</v>
          </cell>
          <cell r="I88" t="e">
            <v>#N/A</v>
          </cell>
          <cell r="J88" t="e">
            <v>#N/A</v>
          </cell>
          <cell r="K88">
            <v>4.43</v>
          </cell>
          <cell r="L88">
            <v>-0.12999999999999989</v>
          </cell>
        </row>
        <row r="89">
          <cell r="A89">
            <v>39904</v>
          </cell>
          <cell r="B89">
            <v>39933</v>
          </cell>
          <cell r="C89">
            <v>39934</v>
          </cell>
          <cell r="D89">
            <v>39935</v>
          </cell>
          <cell r="E89">
            <v>39936</v>
          </cell>
          <cell r="F89">
            <v>39937</v>
          </cell>
          <cell r="G89">
            <v>3.4999999999999996</v>
          </cell>
          <cell r="H89" t="e">
            <v>#N/A</v>
          </cell>
          <cell r="I89" t="e">
            <v>#N/A</v>
          </cell>
          <cell r="J89" t="e">
            <v>#N/A</v>
          </cell>
          <cell r="K89">
            <v>2.96</v>
          </cell>
          <cell r="L89">
            <v>-0.53999999999999959</v>
          </cell>
        </row>
        <row r="90">
          <cell r="A90">
            <v>39934</v>
          </cell>
          <cell r="B90">
            <v>39962</v>
          </cell>
          <cell r="C90">
            <v>39963</v>
          </cell>
          <cell r="D90">
            <v>39964</v>
          </cell>
          <cell r="E90">
            <v>39965</v>
          </cell>
          <cell r="F90">
            <v>39966</v>
          </cell>
          <cell r="G90">
            <v>2.85</v>
          </cell>
          <cell r="H90" t="e">
            <v>#N/A</v>
          </cell>
          <cell r="I90" t="e">
            <v>#N/A</v>
          </cell>
          <cell r="J90">
            <v>2.84</v>
          </cell>
          <cell r="K90">
            <v>6.09</v>
          </cell>
          <cell r="L90">
            <v>-1.0000000000000231E-2</v>
          </cell>
        </row>
        <row r="91">
          <cell r="A91">
            <v>39965</v>
          </cell>
          <cell r="B91">
            <v>39983</v>
          </cell>
          <cell r="C91">
            <v>39984</v>
          </cell>
          <cell r="D91">
            <v>39985</v>
          </cell>
          <cell r="E91">
            <v>39986</v>
          </cell>
          <cell r="F91">
            <v>39987</v>
          </cell>
          <cell r="G91">
            <v>1.9600000000000004</v>
          </cell>
          <cell r="H91" t="e">
            <v>#N/A</v>
          </cell>
          <cell r="I91" t="e">
            <v>#N/A</v>
          </cell>
          <cell r="J91" t="e">
            <v>#N/A</v>
          </cell>
          <cell r="K91">
            <v>-3.1100000000000003</v>
          </cell>
          <cell r="L91">
            <v>-5.07</v>
          </cell>
        </row>
        <row r="92">
          <cell r="A92">
            <v>39995</v>
          </cell>
          <cell r="B92">
            <v>40018</v>
          </cell>
          <cell r="C92">
            <v>40019</v>
          </cell>
          <cell r="D92">
            <v>40020</v>
          </cell>
          <cell r="E92">
            <v>40021</v>
          </cell>
          <cell r="F92">
            <v>40022</v>
          </cell>
          <cell r="G92">
            <v>1.5700000000000003</v>
          </cell>
          <cell r="H92" t="e">
            <v>#N/A</v>
          </cell>
          <cell r="I92" t="e">
            <v>#N/A</v>
          </cell>
          <cell r="J92">
            <v>1.7599999999999998</v>
          </cell>
          <cell r="K92">
            <v>1.88</v>
          </cell>
          <cell r="L92">
            <v>0.1899999999999995</v>
          </cell>
        </row>
        <row r="93">
          <cell r="A93">
            <v>40026</v>
          </cell>
          <cell r="B93">
            <v>40053</v>
          </cell>
          <cell r="C93">
            <v>40054</v>
          </cell>
          <cell r="D93">
            <v>40055</v>
          </cell>
          <cell r="E93">
            <v>40056</v>
          </cell>
          <cell r="F93">
            <v>40057</v>
          </cell>
          <cell r="G93">
            <v>2.68</v>
          </cell>
          <cell r="H93" t="e">
            <v>#N/A</v>
          </cell>
          <cell r="I93" t="e">
            <v>#N/A</v>
          </cell>
          <cell r="J93">
            <v>2.46</v>
          </cell>
          <cell r="K93">
            <v>2.66</v>
          </cell>
          <cell r="L93">
            <v>-0.2200000000000002</v>
          </cell>
        </row>
        <row r="94">
          <cell r="A94">
            <v>40057</v>
          </cell>
          <cell r="B94">
            <v>40081</v>
          </cell>
          <cell r="C94">
            <v>40082</v>
          </cell>
          <cell r="D94">
            <v>40083</v>
          </cell>
          <cell r="E94">
            <v>40084</v>
          </cell>
          <cell r="F94">
            <v>40085</v>
          </cell>
          <cell r="G94">
            <v>3.31</v>
          </cell>
          <cell r="H94" t="e">
            <v>#N/A</v>
          </cell>
          <cell r="I94" t="e">
            <v>#N/A</v>
          </cell>
          <cell r="J94">
            <v>2.8899999999999997</v>
          </cell>
          <cell r="K94">
            <v>3.09</v>
          </cell>
          <cell r="L94">
            <v>-0.42000000000000037</v>
          </cell>
        </row>
        <row r="95">
          <cell r="A95">
            <v>40087</v>
          </cell>
          <cell r="B95">
            <v>40109</v>
          </cell>
          <cell r="C95">
            <v>40110</v>
          </cell>
          <cell r="D95">
            <v>40111</v>
          </cell>
          <cell r="E95">
            <v>40112</v>
          </cell>
          <cell r="F95">
            <v>40113</v>
          </cell>
          <cell r="G95">
            <v>3.0700000000000003</v>
          </cell>
          <cell r="H95" t="e">
            <v>#N/A</v>
          </cell>
          <cell r="I95" t="e">
            <v>#N/A</v>
          </cell>
          <cell r="J95">
            <v>3.0500000000000003</v>
          </cell>
          <cell r="K95">
            <v>3.1300000000000003</v>
          </cell>
          <cell r="L95">
            <v>-2.0000000000000018E-2</v>
          </cell>
        </row>
        <row r="96">
          <cell r="A96">
            <v>40118</v>
          </cell>
          <cell r="B96">
            <v>40140</v>
          </cell>
          <cell r="C96">
            <v>40141</v>
          </cell>
          <cell r="D96">
            <v>40142</v>
          </cell>
          <cell r="E96">
            <v>40143</v>
          </cell>
          <cell r="F96">
            <v>40144</v>
          </cell>
          <cell r="G96">
            <v>3.69</v>
          </cell>
          <cell r="H96">
            <v>2.2599999999999998</v>
          </cell>
          <cell r="I96">
            <v>1.9800000000000002</v>
          </cell>
          <cell r="J96">
            <v>2.37</v>
          </cell>
          <cell r="K96">
            <v>1.9000000000000001</v>
          </cell>
          <cell r="L96">
            <v>-1.4300000000000002</v>
          </cell>
        </row>
        <row r="97">
          <cell r="A97">
            <v>40148</v>
          </cell>
          <cell r="B97">
            <v>40165</v>
          </cell>
          <cell r="C97">
            <v>40166</v>
          </cell>
          <cell r="D97">
            <v>40167</v>
          </cell>
          <cell r="E97">
            <v>40168</v>
          </cell>
          <cell r="F97">
            <v>40169</v>
          </cell>
          <cell r="G97">
            <v>2.42</v>
          </cell>
          <cell r="H97" t="e">
            <v>#N/A</v>
          </cell>
          <cell r="I97" t="e">
            <v>#N/A</v>
          </cell>
          <cell r="J97">
            <v>2.6799999999999997</v>
          </cell>
          <cell r="K97">
            <v>2.66</v>
          </cell>
          <cell r="L97">
            <v>0.25999999999999979</v>
          </cell>
        </row>
        <row r="98">
          <cell r="A98">
            <v>40179</v>
          </cell>
          <cell r="B98">
            <v>40207</v>
          </cell>
          <cell r="C98">
            <v>40208</v>
          </cell>
          <cell r="D98">
            <v>40209</v>
          </cell>
          <cell r="E98">
            <v>40210</v>
          </cell>
          <cell r="F98">
            <v>40211</v>
          </cell>
          <cell r="G98">
            <v>3.5100000000000002</v>
          </cell>
          <cell r="H98" t="e">
            <v>#N/A</v>
          </cell>
          <cell r="I98" t="e">
            <v>#N/A</v>
          </cell>
          <cell r="J98">
            <v>3.6400000000000006</v>
          </cell>
          <cell r="K98">
            <v>3.59</v>
          </cell>
          <cell r="L98">
            <v>0.13000000000000034</v>
          </cell>
        </row>
        <row r="99">
          <cell r="A99">
            <v>40210</v>
          </cell>
          <cell r="B99">
            <v>40235</v>
          </cell>
          <cell r="C99">
            <v>40236</v>
          </cell>
          <cell r="D99">
            <v>40237</v>
          </cell>
          <cell r="E99">
            <v>40238</v>
          </cell>
          <cell r="F99">
            <v>40239</v>
          </cell>
          <cell r="G99">
            <v>3.08</v>
          </cell>
          <cell r="H99" t="e">
            <v>#N/A</v>
          </cell>
          <cell r="I99" t="e">
            <v>#N/A</v>
          </cell>
          <cell r="J99">
            <v>3.6999999999999997</v>
          </cell>
          <cell r="K99">
            <v>2.92</v>
          </cell>
          <cell r="L99">
            <v>0.61999999999999966</v>
          </cell>
        </row>
        <row r="100">
          <cell r="A100">
            <v>40238</v>
          </cell>
          <cell r="B100">
            <v>40263</v>
          </cell>
          <cell r="C100">
            <v>40264</v>
          </cell>
          <cell r="D100">
            <v>40265</v>
          </cell>
          <cell r="E100">
            <v>40266</v>
          </cell>
          <cell r="F100">
            <v>40267</v>
          </cell>
          <cell r="G100">
            <v>3.17</v>
          </cell>
          <cell r="H100" t="e">
            <v>#N/A</v>
          </cell>
          <cell r="I100" t="e">
            <v>#N/A</v>
          </cell>
          <cell r="J100">
            <v>3.17</v>
          </cell>
          <cell r="K100">
            <v>3.01</v>
          </cell>
          <cell r="L100">
            <v>0</v>
          </cell>
        </row>
        <row r="101">
          <cell r="A101">
            <v>40269</v>
          </cell>
          <cell r="B101">
            <v>40298</v>
          </cell>
          <cell r="C101">
            <v>40299</v>
          </cell>
          <cell r="D101">
            <v>40300</v>
          </cell>
          <cell r="E101">
            <v>40301</v>
          </cell>
          <cell r="F101">
            <v>40302</v>
          </cell>
          <cell r="G101">
            <v>2.1100000000000003</v>
          </cell>
          <cell r="H101" t="e">
            <v>#N/A</v>
          </cell>
          <cell r="I101" t="e">
            <v>#N/A</v>
          </cell>
          <cell r="J101">
            <v>1.85</v>
          </cell>
          <cell r="K101">
            <v>1.62</v>
          </cell>
          <cell r="L101">
            <v>-0.26000000000000023</v>
          </cell>
        </row>
        <row r="102">
          <cell r="A102">
            <v>40299</v>
          </cell>
          <cell r="B102">
            <v>40325</v>
          </cell>
          <cell r="C102">
            <v>40326</v>
          </cell>
          <cell r="D102">
            <v>40327</v>
          </cell>
          <cell r="E102">
            <v>40328</v>
          </cell>
          <cell r="F102">
            <v>40329</v>
          </cell>
          <cell r="G102">
            <v>2.0100000000000002</v>
          </cell>
          <cell r="H102">
            <v>1.92</v>
          </cell>
          <cell r="I102" t="e">
            <v>#N/A</v>
          </cell>
          <cell r="J102" t="e">
            <v>#N/A</v>
          </cell>
          <cell r="K102">
            <v>1.94</v>
          </cell>
          <cell r="L102">
            <v>-9.0000000000000302E-2</v>
          </cell>
        </row>
        <row r="103">
          <cell r="A103">
            <v>40330</v>
          </cell>
          <cell r="B103">
            <v>40347</v>
          </cell>
          <cell r="C103">
            <v>40348</v>
          </cell>
          <cell r="D103">
            <v>40349</v>
          </cell>
          <cell r="E103">
            <v>40350</v>
          </cell>
          <cell r="F103">
            <v>40351</v>
          </cell>
          <cell r="G103">
            <v>1.42</v>
          </cell>
          <cell r="H103" t="e">
            <v>#N/A</v>
          </cell>
          <cell r="I103" t="e">
            <v>#N/A</v>
          </cell>
          <cell r="J103">
            <v>1.3299999999999996</v>
          </cell>
          <cell r="K103">
            <v>1.37</v>
          </cell>
          <cell r="L103">
            <v>-9.0000000000000302E-2</v>
          </cell>
        </row>
        <row r="104">
          <cell r="A104">
            <v>40360</v>
          </cell>
          <cell r="B104">
            <v>40382</v>
          </cell>
          <cell r="C104">
            <v>40383</v>
          </cell>
          <cell r="D104">
            <v>40384</v>
          </cell>
          <cell r="E104">
            <v>40385</v>
          </cell>
          <cell r="F104">
            <v>40386</v>
          </cell>
          <cell r="G104">
            <v>2.3899999999999997</v>
          </cell>
          <cell r="H104" t="e">
            <v>#N/A</v>
          </cell>
          <cell r="I104" t="e">
            <v>#N/A</v>
          </cell>
          <cell r="J104">
            <v>2.3200000000000003</v>
          </cell>
          <cell r="K104">
            <v>1.8299999999999996</v>
          </cell>
          <cell r="L104">
            <v>-6.9999999999999396E-2</v>
          </cell>
        </row>
        <row r="105">
          <cell r="A105">
            <v>40391</v>
          </cell>
          <cell r="B105">
            <v>40410</v>
          </cell>
          <cell r="C105">
            <v>40411</v>
          </cell>
          <cell r="D105">
            <v>40412</v>
          </cell>
          <cell r="E105">
            <v>40413</v>
          </cell>
          <cell r="F105">
            <v>40414</v>
          </cell>
          <cell r="G105">
            <v>1.4</v>
          </cell>
          <cell r="H105" t="e">
            <v>#N/A</v>
          </cell>
          <cell r="I105" t="e">
            <v>#N/A</v>
          </cell>
          <cell r="J105">
            <v>4.29</v>
          </cell>
          <cell r="K105">
            <v>2.59</v>
          </cell>
          <cell r="L105">
            <v>2.89</v>
          </cell>
        </row>
        <row r="106">
          <cell r="A106">
            <v>40422</v>
          </cell>
          <cell r="B106">
            <v>40445</v>
          </cell>
          <cell r="C106">
            <v>40446</v>
          </cell>
          <cell r="D106">
            <v>40447</v>
          </cell>
          <cell r="E106">
            <v>40448</v>
          </cell>
          <cell r="F106">
            <v>40449</v>
          </cell>
          <cell r="G106">
            <v>2.85</v>
          </cell>
          <cell r="H106" t="e">
            <v>#N/A</v>
          </cell>
          <cell r="I106" t="e">
            <v>#N/A</v>
          </cell>
          <cell r="J106">
            <v>1.1300000000000003</v>
          </cell>
          <cell r="K106">
            <v>2.3999999999999995</v>
          </cell>
          <cell r="L106">
            <v>-1.7199999999999998</v>
          </cell>
        </row>
        <row r="107">
          <cell r="A107">
            <v>40452</v>
          </cell>
          <cell r="B107">
            <v>40480</v>
          </cell>
          <cell r="C107">
            <v>40481</v>
          </cell>
          <cell r="D107">
            <v>40482</v>
          </cell>
          <cell r="E107">
            <v>40483</v>
          </cell>
          <cell r="F107">
            <v>40484</v>
          </cell>
          <cell r="G107">
            <v>1.99</v>
          </cell>
          <cell r="H107" t="e">
            <v>#N/A</v>
          </cell>
          <cell r="I107" t="e">
            <v>#N/A</v>
          </cell>
          <cell r="J107" t="e">
            <v>#N/A</v>
          </cell>
          <cell r="K107">
            <v>2.0300000000000002</v>
          </cell>
          <cell r="L107">
            <v>4.0000000000000258E-2</v>
          </cell>
        </row>
        <row r="108">
          <cell r="A108">
            <v>40483</v>
          </cell>
          <cell r="B108">
            <v>40501</v>
          </cell>
          <cell r="C108">
            <v>40502</v>
          </cell>
          <cell r="D108">
            <v>40503</v>
          </cell>
          <cell r="E108">
            <v>40504</v>
          </cell>
          <cell r="F108">
            <v>40505</v>
          </cell>
          <cell r="G108">
            <v>2.1399999999999997</v>
          </cell>
          <cell r="H108" t="e">
            <v>#N/A</v>
          </cell>
          <cell r="I108" t="e">
            <v>#N/A</v>
          </cell>
          <cell r="J108">
            <v>3.99</v>
          </cell>
          <cell r="K108">
            <v>2.4400000000000004</v>
          </cell>
          <cell r="L108">
            <v>1.8500000000000005</v>
          </cell>
        </row>
        <row r="109">
          <cell r="A109">
            <v>40513</v>
          </cell>
          <cell r="B109">
            <v>40529</v>
          </cell>
          <cell r="C109">
            <v>40530</v>
          </cell>
          <cell r="D109">
            <v>40531</v>
          </cell>
          <cell r="E109">
            <v>40532</v>
          </cell>
          <cell r="F109">
            <v>40533</v>
          </cell>
          <cell r="G109">
            <v>3.45</v>
          </cell>
          <cell r="H109" t="e">
            <v>#N/A</v>
          </cell>
          <cell r="I109" t="e">
            <v>#N/A</v>
          </cell>
          <cell r="J109">
            <v>3.3</v>
          </cell>
          <cell r="K109">
            <v>3.26</v>
          </cell>
          <cell r="L109">
            <v>-0.15000000000000036</v>
          </cell>
        </row>
        <row r="110">
          <cell r="A110">
            <v>40544</v>
          </cell>
          <cell r="B110">
            <v>40574</v>
          </cell>
          <cell r="C110">
            <v>40575</v>
          </cell>
          <cell r="D110">
            <v>40576</v>
          </cell>
          <cell r="E110">
            <v>40577</v>
          </cell>
          <cell r="F110">
            <v>40578</v>
          </cell>
          <cell r="G110">
            <v>3.21</v>
          </cell>
          <cell r="H110">
            <v>3.3400000000000003</v>
          </cell>
          <cell r="I110">
            <v>3.5300000000000002</v>
          </cell>
          <cell r="J110">
            <v>3.5200000000000005</v>
          </cell>
          <cell r="K110">
            <v>3.5399999999999996</v>
          </cell>
          <cell r="L110">
            <v>0.13000000000000034</v>
          </cell>
        </row>
        <row r="111">
          <cell r="A111">
            <v>40575</v>
          </cell>
          <cell r="B111">
            <v>40599</v>
          </cell>
          <cell r="C111">
            <v>40600</v>
          </cell>
          <cell r="D111">
            <v>40601</v>
          </cell>
          <cell r="E111">
            <v>40602</v>
          </cell>
          <cell r="F111">
            <v>40603</v>
          </cell>
          <cell r="G111">
            <v>3.6899999999999995</v>
          </cell>
          <cell r="H111" t="e">
            <v>#N/A</v>
          </cell>
          <cell r="I111" t="e">
            <v>#N/A</v>
          </cell>
          <cell r="J111">
            <v>3.84</v>
          </cell>
          <cell r="K111">
            <v>3.7</v>
          </cell>
          <cell r="L111">
            <v>0.15000000000000036</v>
          </cell>
        </row>
        <row r="112">
          <cell r="A112">
            <v>40603</v>
          </cell>
          <cell r="B112">
            <v>40620</v>
          </cell>
          <cell r="C112">
            <v>40621</v>
          </cell>
          <cell r="D112">
            <v>40622</v>
          </cell>
          <cell r="E112">
            <v>40623</v>
          </cell>
          <cell r="F112">
            <v>40624</v>
          </cell>
          <cell r="G112">
            <v>2.74</v>
          </cell>
          <cell r="H112" t="e">
            <v>#N/A</v>
          </cell>
          <cell r="I112" t="e">
            <v>#N/A</v>
          </cell>
          <cell r="J112" t="e">
            <v>#N/A</v>
          </cell>
          <cell r="K112">
            <v>5.04</v>
          </cell>
          <cell r="L112">
            <v>2.2999999999999998</v>
          </cell>
        </row>
        <row r="113">
          <cell r="A113">
            <v>40634</v>
          </cell>
          <cell r="B113">
            <v>40662</v>
          </cell>
          <cell r="C113">
            <v>40663</v>
          </cell>
          <cell r="D113">
            <v>40664</v>
          </cell>
          <cell r="E113">
            <v>40665</v>
          </cell>
          <cell r="F113">
            <v>40666</v>
          </cell>
          <cell r="G113">
            <v>3.08</v>
          </cell>
          <cell r="H113" t="e">
            <v>#N/A</v>
          </cell>
          <cell r="I113" t="e">
            <v>#N/A</v>
          </cell>
          <cell r="J113">
            <v>3.0600000000000005</v>
          </cell>
          <cell r="K113">
            <v>2.92</v>
          </cell>
          <cell r="L113">
            <v>-1.9999999999999574E-2</v>
          </cell>
        </row>
        <row r="114">
          <cell r="A114">
            <v>40664</v>
          </cell>
          <cell r="B114">
            <v>40693</v>
          </cell>
          <cell r="C114">
            <v>40694</v>
          </cell>
          <cell r="D114">
            <v>40695</v>
          </cell>
          <cell r="E114">
            <v>40696</v>
          </cell>
          <cell r="F114">
            <v>40697</v>
          </cell>
          <cell r="G114">
            <v>2.88</v>
          </cell>
          <cell r="H114">
            <v>3.16</v>
          </cell>
          <cell r="I114">
            <v>2.87</v>
          </cell>
          <cell r="J114">
            <v>2.92</v>
          </cell>
          <cell r="K114">
            <v>2.97</v>
          </cell>
          <cell r="L114">
            <v>0.28000000000000025</v>
          </cell>
        </row>
        <row r="115">
          <cell r="A115">
            <v>40695</v>
          </cell>
          <cell r="B115">
            <v>40711</v>
          </cell>
          <cell r="C115">
            <v>40712</v>
          </cell>
          <cell r="D115">
            <v>40713</v>
          </cell>
          <cell r="E115">
            <v>40714</v>
          </cell>
          <cell r="F115">
            <v>40715</v>
          </cell>
          <cell r="G115">
            <v>3.1</v>
          </cell>
          <cell r="H115" t="e">
            <v>#N/A</v>
          </cell>
          <cell r="I115" t="e">
            <v>#N/A</v>
          </cell>
          <cell r="J115">
            <v>3.1199999999999997</v>
          </cell>
          <cell r="K115">
            <v>3.05</v>
          </cell>
          <cell r="L115">
            <v>1.9999999999999574E-2</v>
          </cell>
        </row>
        <row r="116">
          <cell r="A116">
            <v>40725</v>
          </cell>
          <cell r="B116">
            <v>40753</v>
          </cell>
          <cell r="C116">
            <v>40754</v>
          </cell>
          <cell r="D116">
            <v>40755</v>
          </cell>
          <cell r="E116">
            <v>40756</v>
          </cell>
          <cell r="F116">
            <v>40757</v>
          </cell>
          <cell r="G116">
            <v>3.2</v>
          </cell>
          <cell r="H116" t="e">
            <v>#N/A</v>
          </cell>
          <cell r="I116" t="e">
            <v>#N/A</v>
          </cell>
          <cell r="J116">
            <v>3.1599999999999997</v>
          </cell>
          <cell r="K116">
            <v>3.18</v>
          </cell>
          <cell r="L116">
            <v>-4.000000000000048E-2</v>
          </cell>
        </row>
        <row r="117">
          <cell r="A117">
            <v>40756</v>
          </cell>
          <cell r="B117">
            <v>40774</v>
          </cell>
          <cell r="C117">
            <v>40775</v>
          </cell>
          <cell r="D117">
            <v>40776</v>
          </cell>
          <cell r="E117">
            <v>40777</v>
          </cell>
          <cell r="F117">
            <v>40778</v>
          </cell>
          <cell r="G117">
            <v>5.31</v>
          </cell>
          <cell r="H117" t="e">
            <v>#N/A</v>
          </cell>
          <cell r="I117" t="e">
            <v>#N/A</v>
          </cell>
          <cell r="J117">
            <v>3.16</v>
          </cell>
          <cell r="K117">
            <v>3.11</v>
          </cell>
          <cell r="L117">
            <v>-2.1499999999999995</v>
          </cell>
        </row>
        <row r="118">
          <cell r="A118">
            <v>40787</v>
          </cell>
          <cell r="B118">
            <v>40816</v>
          </cell>
          <cell r="C118">
            <v>40817</v>
          </cell>
          <cell r="D118">
            <v>40818</v>
          </cell>
          <cell r="E118">
            <v>40819</v>
          </cell>
          <cell r="F118">
            <v>40820</v>
          </cell>
          <cell r="G118">
            <v>5.16</v>
          </cell>
          <cell r="H118" t="e">
            <v>#N/A</v>
          </cell>
          <cell r="I118" t="e">
            <v>#N/A</v>
          </cell>
          <cell r="J118">
            <v>5.0199999999999996</v>
          </cell>
          <cell r="K118">
            <v>5.17</v>
          </cell>
          <cell r="L118">
            <v>-0.14000000000000057</v>
          </cell>
        </row>
        <row r="119">
          <cell r="A119">
            <v>40817</v>
          </cell>
          <cell r="B119">
            <v>40844</v>
          </cell>
          <cell r="C119">
            <v>40845</v>
          </cell>
          <cell r="D119">
            <v>40846</v>
          </cell>
          <cell r="E119">
            <v>40847</v>
          </cell>
          <cell r="F119">
            <v>40848</v>
          </cell>
          <cell r="G119">
            <v>3.83</v>
          </cell>
          <cell r="H119" t="e">
            <v>#N/A</v>
          </cell>
          <cell r="I119" t="e">
            <v>#N/A</v>
          </cell>
          <cell r="J119">
            <v>3.7499999999999996</v>
          </cell>
          <cell r="K119">
            <v>3.77</v>
          </cell>
          <cell r="L119">
            <v>-8.0000000000000515E-2</v>
          </cell>
        </row>
        <row r="120">
          <cell r="A120">
            <v>40848</v>
          </cell>
          <cell r="B120">
            <v>40872</v>
          </cell>
          <cell r="C120">
            <v>40873</v>
          </cell>
          <cell r="D120">
            <v>40874</v>
          </cell>
          <cell r="E120">
            <v>40875</v>
          </cell>
          <cell r="F120">
            <v>40876</v>
          </cell>
          <cell r="G120">
            <v>3.8400000000000007</v>
          </cell>
          <cell r="H120" t="e">
            <v>#N/A</v>
          </cell>
          <cell r="I120" t="e">
            <v>#N/A</v>
          </cell>
          <cell r="J120">
            <v>3.6999999999999997</v>
          </cell>
          <cell r="K120">
            <v>3.83</v>
          </cell>
          <cell r="L120">
            <v>-0.14000000000000101</v>
          </cell>
        </row>
        <row r="121">
          <cell r="A121">
            <v>40878</v>
          </cell>
          <cell r="B121">
            <v>40903</v>
          </cell>
          <cell r="C121">
            <v>40904</v>
          </cell>
          <cell r="D121">
            <v>40905</v>
          </cell>
          <cell r="E121">
            <v>40906</v>
          </cell>
          <cell r="F121">
            <v>40907</v>
          </cell>
          <cell r="G121">
            <v>4.05</v>
          </cell>
          <cell r="H121">
            <v>4.0599999999999996</v>
          </cell>
          <cell r="I121">
            <v>4.1099999999999994</v>
          </cell>
          <cell r="J121">
            <v>5.58</v>
          </cell>
          <cell r="K121" t="e">
            <v>#N/A</v>
          </cell>
          <cell r="L121">
            <v>9.9999999999997868E-3</v>
          </cell>
        </row>
        <row r="122">
          <cell r="A122">
            <v>40909</v>
          </cell>
          <cell r="B122">
            <v>40938</v>
          </cell>
          <cell r="C122">
            <v>40939</v>
          </cell>
          <cell r="D122">
            <v>40940</v>
          </cell>
          <cell r="E122">
            <v>40941</v>
          </cell>
          <cell r="F122">
            <v>40942</v>
          </cell>
          <cell r="G122">
            <v>3.67</v>
          </cell>
          <cell r="H122">
            <v>3.8</v>
          </cell>
          <cell r="I122">
            <v>5.58</v>
          </cell>
          <cell r="J122">
            <v>3.63</v>
          </cell>
          <cell r="K122">
            <v>3.6799999999999997</v>
          </cell>
          <cell r="L122">
            <v>0.12999999999999989</v>
          </cell>
        </row>
        <row r="123">
          <cell r="A123">
            <v>40940</v>
          </cell>
          <cell r="B123">
            <v>40963</v>
          </cell>
          <cell r="C123">
            <v>40964</v>
          </cell>
          <cell r="D123">
            <v>40965</v>
          </cell>
          <cell r="E123">
            <v>40966</v>
          </cell>
          <cell r="F123">
            <v>40967</v>
          </cell>
          <cell r="G123">
            <v>3.7800000000000002</v>
          </cell>
          <cell r="H123" t="e">
            <v>#N/A</v>
          </cell>
          <cell r="I123" t="e">
            <v>#N/A</v>
          </cell>
          <cell r="J123">
            <v>3.83</v>
          </cell>
          <cell r="K123">
            <v>3.7300000000000004</v>
          </cell>
          <cell r="L123">
            <v>4.9999999999999822E-2</v>
          </cell>
        </row>
        <row r="124">
          <cell r="A124">
            <v>40969</v>
          </cell>
          <cell r="B124">
            <v>40991</v>
          </cell>
          <cell r="C124">
            <v>40992</v>
          </cell>
          <cell r="D124">
            <v>40993</v>
          </cell>
          <cell r="E124">
            <v>40994</v>
          </cell>
          <cell r="F124">
            <v>40995</v>
          </cell>
          <cell r="G124">
            <v>3.3600000000000003</v>
          </cell>
          <cell r="H124" t="e">
            <v>#N/A</v>
          </cell>
          <cell r="I124" t="e">
            <v>#N/A</v>
          </cell>
          <cell r="J124">
            <v>3.25</v>
          </cell>
          <cell r="K124">
            <v>3.25</v>
          </cell>
          <cell r="L124">
            <v>-0.11000000000000032</v>
          </cell>
        </row>
        <row r="125">
          <cell r="A125">
            <v>41000</v>
          </cell>
          <cell r="B125">
            <v>41029</v>
          </cell>
          <cell r="C125">
            <v>41030</v>
          </cell>
          <cell r="D125">
            <v>41031</v>
          </cell>
          <cell r="E125">
            <v>41032</v>
          </cell>
          <cell r="F125">
            <v>41033</v>
          </cell>
          <cell r="G125">
            <v>2.6400000000000006</v>
          </cell>
          <cell r="H125" t="e">
            <v>#N/A</v>
          </cell>
          <cell r="I125">
            <v>2.5599999999999996</v>
          </cell>
          <cell r="J125">
            <v>2.65</v>
          </cell>
          <cell r="K125">
            <v>2.7</v>
          </cell>
          <cell r="L125">
            <v>-8.0000000000000959E-2</v>
          </cell>
        </row>
        <row r="126">
          <cell r="A126">
            <v>41030</v>
          </cell>
          <cell r="B126">
            <v>41057</v>
          </cell>
          <cell r="C126">
            <v>41058</v>
          </cell>
          <cell r="D126">
            <v>41059</v>
          </cell>
          <cell r="E126">
            <v>41060</v>
          </cell>
          <cell r="F126">
            <v>41061</v>
          </cell>
          <cell r="G126">
            <v>5.57</v>
          </cell>
          <cell r="H126">
            <v>2.5100000000000002</v>
          </cell>
          <cell r="I126">
            <v>5.5</v>
          </cell>
          <cell r="J126">
            <v>2.5</v>
          </cell>
          <cell r="K126">
            <v>5.5</v>
          </cell>
          <cell r="L126">
            <v>-3.06</v>
          </cell>
        </row>
        <row r="127">
          <cell r="A127">
            <v>41061</v>
          </cell>
          <cell r="B127">
            <v>41089</v>
          </cell>
          <cell r="C127">
            <v>41090</v>
          </cell>
          <cell r="D127">
            <v>41091</v>
          </cell>
          <cell r="E127">
            <v>41092</v>
          </cell>
          <cell r="F127">
            <v>41093</v>
          </cell>
          <cell r="G127">
            <v>2.6399999999999997</v>
          </cell>
          <cell r="H127" t="e">
            <v>#N/A</v>
          </cell>
          <cell r="I127" t="e">
            <v>#N/A</v>
          </cell>
          <cell r="J127" t="e">
            <v>#N/A</v>
          </cell>
          <cell r="K127">
            <v>2.6500000000000004</v>
          </cell>
          <cell r="L127">
            <v>1.0000000000000675E-2</v>
          </cell>
        </row>
        <row r="128">
          <cell r="A128">
            <v>41091</v>
          </cell>
          <cell r="B128">
            <v>41117</v>
          </cell>
          <cell r="C128">
            <v>41118</v>
          </cell>
          <cell r="D128">
            <v>41119</v>
          </cell>
          <cell r="E128">
            <v>41120</v>
          </cell>
          <cell r="F128">
            <v>41121</v>
          </cell>
          <cell r="G128">
            <v>2.3400000000000003</v>
          </cell>
          <cell r="H128" t="e">
            <v>#N/A</v>
          </cell>
          <cell r="I128" t="e">
            <v>#N/A</v>
          </cell>
          <cell r="J128">
            <v>2.2399999999999998</v>
          </cell>
          <cell r="K128">
            <v>2.1299999999999994</v>
          </cell>
          <cell r="L128">
            <v>-0.10000000000000053</v>
          </cell>
        </row>
        <row r="129">
          <cell r="A129">
            <v>41122</v>
          </cell>
          <cell r="B129">
            <v>41145</v>
          </cell>
          <cell r="C129">
            <v>41146</v>
          </cell>
          <cell r="D129">
            <v>41147</v>
          </cell>
          <cell r="E129">
            <v>41148</v>
          </cell>
          <cell r="F129">
            <v>41149</v>
          </cell>
          <cell r="G129">
            <v>2.4399999999999995</v>
          </cell>
          <cell r="H129" t="e">
            <v>#N/A</v>
          </cell>
          <cell r="I129" t="e">
            <v>#N/A</v>
          </cell>
          <cell r="J129">
            <v>2.46</v>
          </cell>
          <cell r="K129">
            <v>2.46</v>
          </cell>
          <cell r="L129">
            <v>2.0000000000000462E-2</v>
          </cell>
        </row>
        <row r="130">
          <cell r="A130">
            <v>41153</v>
          </cell>
          <cell r="B130">
            <v>41180</v>
          </cell>
          <cell r="C130">
            <v>41181</v>
          </cell>
          <cell r="D130">
            <v>41182</v>
          </cell>
          <cell r="E130">
            <v>41183</v>
          </cell>
          <cell r="F130">
            <v>41184</v>
          </cell>
          <cell r="G130">
            <v>4.7699999999999996</v>
          </cell>
          <cell r="H130" t="e">
            <v>#N/A</v>
          </cell>
          <cell r="I130" t="e">
            <v>#N/A</v>
          </cell>
          <cell r="J130">
            <v>2.6899999999999995</v>
          </cell>
          <cell r="K130">
            <v>2.83</v>
          </cell>
          <cell r="L130">
            <v>-2.08</v>
          </cell>
        </row>
        <row r="131">
          <cell r="A131">
            <v>41183</v>
          </cell>
          <cell r="B131">
            <v>41208</v>
          </cell>
          <cell r="C131">
            <v>41209</v>
          </cell>
          <cell r="D131">
            <v>41210</v>
          </cell>
          <cell r="E131">
            <v>41211</v>
          </cell>
          <cell r="F131">
            <v>41212</v>
          </cell>
          <cell r="G131">
            <v>3.45</v>
          </cell>
          <cell r="H131" t="e">
            <v>#N/A</v>
          </cell>
          <cell r="I131" t="e">
            <v>#N/A</v>
          </cell>
          <cell r="J131">
            <v>3.52</v>
          </cell>
          <cell r="K131">
            <v>3.47</v>
          </cell>
          <cell r="L131">
            <v>6.999999999999984E-2</v>
          </cell>
        </row>
        <row r="132">
          <cell r="A132">
            <v>41214</v>
          </cell>
          <cell r="B132">
            <v>41236</v>
          </cell>
          <cell r="C132">
            <v>41237</v>
          </cell>
          <cell r="D132">
            <v>41238</v>
          </cell>
          <cell r="E132">
            <v>41239</v>
          </cell>
          <cell r="F132">
            <v>41240</v>
          </cell>
          <cell r="G132">
            <v>5.17</v>
          </cell>
          <cell r="H132" t="e">
            <v>#N/A</v>
          </cell>
          <cell r="I132" t="e">
            <v>#N/A</v>
          </cell>
          <cell r="J132">
            <v>3.7199999999999998</v>
          </cell>
          <cell r="K132">
            <v>5</v>
          </cell>
          <cell r="L132">
            <v>-1.4500000000000002</v>
          </cell>
        </row>
        <row r="133">
          <cell r="A133">
            <v>41244</v>
          </cell>
          <cell r="B133">
            <v>41264</v>
          </cell>
          <cell r="C133">
            <v>41265</v>
          </cell>
          <cell r="D133">
            <v>41266</v>
          </cell>
          <cell r="E133">
            <v>41267</v>
          </cell>
          <cell r="F133">
            <v>41268</v>
          </cell>
          <cell r="G133">
            <v>4.57</v>
          </cell>
          <cell r="H133" t="e">
            <v>#N/A</v>
          </cell>
          <cell r="I133" t="e">
            <v>#N/A</v>
          </cell>
          <cell r="J133">
            <v>4.5999999999999996</v>
          </cell>
          <cell r="K133" t="e">
            <v>#N/A</v>
          </cell>
          <cell r="L133">
            <v>2.9999999999999361E-2</v>
          </cell>
        </row>
        <row r="134">
          <cell r="A134">
            <v>41275</v>
          </cell>
          <cell r="B134">
            <v>41302</v>
          </cell>
          <cell r="C134">
            <v>41303</v>
          </cell>
          <cell r="D134">
            <v>41304</v>
          </cell>
          <cell r="E134">
            <v>41305</v>
          </cell>
          <cell r="F134">
            <v>41306</v>
          </cell>
          <cell r="G134">
            <v>2.42</v>
          </cell>
          <cell r="H134">
            <v>2.46</v>
          </cell>
          <cell r="I134">
            <v>2.3499999999999996</v>
          </cell>
          <cell r="J134">
            <v>2.2599999999999998</v>
          </cell>
          <cell r="K134">
            <v>2.5300000000000002</v>
          </cell>
          <cell r="L134">
            <v>4.0000000000000036E-2</v>
          </cell>
        </row>
        <row r="135">
          <cell r="A135">
            <v>41306</v>
          </cell>
          <cell r="B135">
            <v>41327</v>
          </cell>
          <cell r="C135">
            <v>41328</v>
          </cell>
          <cell r="D135">
            <v>41329</v>
          </cell>
          <cell r="E135">
            <v>41330</v>
          </cell>
          <cell r="F135">
            <v>41331</v>
          </cell>
          <cell r="G135">
            <v>2.3000000000000003</v>
          </cell>
          <cell r="H135" t="e">
            <v>#N/A</v>
          </cell>
          <cell r="I135" t="e">
            <v>#N/A</v>
          </cell>
          <cell r="J135">
            <v>4.04</v>
          </cell>
          <cell r="K135">
            <v>2.4699999999999998</v>
          </cell>
          <cell r="L135">
            <v>1.7399999999999998</v>
          </cell>
        </row>
        <row r="136">
          <cell r="A136">
            <v>41334</v>
          </cell>
          <cell r="B136">
            <v>41355</v>
          </cell>
          <cell r="C136">
            <v>41356</v>
          </cell>
          <cell r="D136">
            <v>41357</v>
          </cell>
          <cell r="E136">
            <v>41358</v>
          </cell>
          <cell r="F136">
            <v>41359</v>
          </cell>
          <cell r="G136">
            <v>3.92</v>
          </cell>
          <cell r="H136" t="e">
            <v>#N/A</v>
          </cell>
          <cell r="I136" t="e">
            <v>#N/A</v>
          </cell>
          <cell r="J136" t="e">
            <v>#N/A</v>
          </cell>
          <cell r="K136">
            <v>2.37</v>
          </cell>
          <cell r="L136">
            <v>-1.5499999999999998</v>
          </cell>
        </row>
        <row r="137">
          <cell r="A137">
            <v>41365</v>
          </cell>
          <cell r="B137">
            <v>41390</v>
          </cell>
          <cell r="C137">
            <v>41391</v>
          </cell>
          <cell r="D137">
            <v>41392</v>
          </cell>
          <cell r="E137">
            <v>41393</v>
          </cell>
          <cell r="F137">
            <v>41394</v>
          </cell>
          <cell r="G137">
            <v>2.1800000000000002</v>
          </cell>
          <cell r="H137" t="e">
            <v>#N/A</v>
          </cell>
          <cell r="I137" t="e">
            <v>#N/A</v>
          </cell>
          <cell r="J137">
            <v>3.66</v>
          </cell>
          <cell r="K137">
            <v>2.25</v>
          </cell>
          <cell r="L137">
            <v>1.48</v>
          </cell>
        </row>
        <row r="138">
          <cell r="A138">
            <v>41395</v>
          </cell>
          <cell r="B138">
            <v>41425</v>
          </cell>
          <cell r="C138">
            <v>41426</v>
          </cell>
          <cell r="D138">
            <v>41427</v>
          </cell>
          <cell r="E138">
            <v>41428</v>
          </cell>
          <cell r="F138">
            <v>41429</v>
          </cell>
          <cell r="G138">
            <v>1.9300000000000002</v>
          </cell>
          <cell r="H138" t="e">
            <v>#N/A</v>
          </cell>
          <cell r="I138" t="e">
            <v>#N/A</v>
          </cell>
          <cell r="J138" t="e">
            <v>#N/A</v>
          </cell>
          <cell r="K138">
            <v>4.04</v>
          </cell>
          <cell r="L138">
            <v>2.11</v>
          </cell>
        </row>
        <row r="139">
          <cell r="A139">
            <v>41426</v>
          </cell>
          <cell r="B139">
            <v>41453</v>
          </cell>
          <cell r="C139">
            <v>41454</v>
          </cell>
          <cell r="D139">
            <v>41455</v>
          </cell>
          <cell r="E139">
            <v>41456</v>
          </cell>
          <cell r="F139">
            <v>41457</v>
          </cell>
          <cell r="G139">
            <v>1.81</v>
          </cell>
          <cell r="H139" t="e">
            <v>#N/A</v>
          </cell>
          <cell r="I139" t="e">
            <v>#N/A</v>
          </cell>
          <cell r="J139" t="e">
            <v>#N/A</v>
          </cell>
          <cell r="K139">
            <v>4.38</v>
          </cell>
          <cell r="L139">
            <v>2.57</v>
          </cell>
        </row>
        <row r="140">
          <cell r="A140">
            <v>41456</v>
          </cell>
          <cell r="B140">
            <v>41481</v>
          </cell>
          <cell r="C140">
            <v>41482</v>
          </cell>
          <cell r="D140">
            <v>41483</v>
          </cell>
          <cell r="E140">
            <v>41484</v>
          </cell>
          <cell r="F140">
            <v>41485</v>
          </cell>
          <cell r="G140">
            <v>2.2199999999999998</v>
          </cell>
          <cell r="H140" t="e">
            <v>#N/A</v>
          </cell>
          <cell r="I140" t="e">
            <v>#N/A</v>
          </cell>
          <cell r="J140">
            <v>4.25</v>
          </cell>
          <cell r="K140">
            <v>4.3099999999999996</v>
          </cell>
          <cell r="L140">
            <v>2.0300000000000002</v>
          </cell>
        </row>
        <row r="141">
          <cell r="A141">
            <v>41487</v>
          </cell>
          <cell r="B141">
            <v>41516</v>
          </cell>
          <cell r="C141">
            <v>41517</v>
          </cell>
          <cell r="D141">
            <v>41518</v>
          </cell>
          <cell r="E141">
            <v>41519</v>
          </cell>
          <cell r="F141">
            <v>41520</v>
          </cell>
          <cell r="G141">
            <v>4.55</v>
          </cell>
          <cell r="H141" t="e">
            <v>#N/A</v>
          </cell>
          <cell r="I141" t="e">
            <v>#N/A</v>
          </cell>
          <cell r="J141">
            <v>2.66</v>
          </cell>
          <cell r="K141">
            <v>2.5799999999999996</v>
          </cell>
          <cell r="L141">
            <v>-1.8899999999999997</v>
          </cell>
        </row>
        <row r="142">
          <cell r="A142">
            <v>41518</v>
          </cell>
          <cell r="B142">
            <v>41544</v>
          </cell>
          <cell r="C142">
            <v>41545</v>
          </cell>
          <cell r="D142">
            <v>41546</v>
          </cell>
          <cell r="E142">
            <v>41547</v>
          </cell>
          <cell r="F142">
            <v>41548</v>
          </cell>
          <cell r="G142">
            <v>2.3500000000000005</v>
          </cell>
          <cell r="H142" t="e">
            <v>#N/A</v>
          </cell>
          <cell r="I142" t="e">
            <v>#N/A</v>
          </cell>
          <cell r="J142">
            <v>2.3499999999999996</v>
          </cell>
          <cell r="K142">
            <v>2.3499999999999996</v>
          </cell>
          <cell r="L142">
            <v>-8.8817841970012523E-16</v>
          </cell>
        </row>
        <row r="143">
          <cell r="A143">
            <v>41548</v>
          </cell>
          <cell r="B143">
            <v>41572</v>
          </cell>
          <cell r="C143">
            <v>41573</v>
          </cell>
          <cell r="D143">
            <v>41574</v>
          </cell>
          <cell r="E143">
            <v>41575</v>
          </cell>
          <cell r="F143">
            <v>41576</v>
          </cell>
          <cell r="G143">
            <v>2.5099999999999998</v>
          </cell>
          <cell r="H143" t="e">
            <v>#N/A</v>
          </cell>
          <cell r="I143" t="e">
            <v>#N/A</v>
          </cell>
          <cell r="J143">
            <v>2.54</v>
          </cell>
          <cell r="K143">
            <v>2.5100000000000007</v>
          </cell>
          <cell r="L143">
            <v>3.0000000000000249E-2</v>
          </cell>
        </row>
        <row r="144">
          <cell r="A144">
            <v>41579</v>
          </cell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str">
            <v/>
          </cell>
        </row>
        <row r="145">
          <cell r="A145">
            <v>41609</v>
          </cell>
          <cell r="B145">
            <v>41628</v>
          </cell>
          <cell r="C145">
            <v>41629</v>
          </cell>
          <cell r="D145">
            <v>41630</v>
          </cell>
          <cell r="E145">
            <v>41631</v>
          </cell>
          <cell r="F145">
            <v>41632</v>
          </cell>
          <cell r="G145">
            <v>2.58</v>
          </cell>
          <cell r="H145" t="e">
            <v>#N/A</v>
          </cell>
          <cell r="I145" t="e">
            <v>#N/A</v>
          </cell>
          <cell r="J145">
            <v>2.62</v>
          </cell>
          <cell r="K145">
            <v>2.33</v>
          </cell>
          <cell r="L145">
            <v>4.0000000000000036E-2</v>
          </cell>
        </row>
        <row r="146">
          <cell r="A146">
            <v>41640</v>
          </cell>
          <cell r="B146">
            <v>41670</v>
          </cell>
          <cell r="C146">
            <v>41671</v>
          </cell>
          <cell r="D146">
            <v>41672</v>
          </cell>
          <cell r="E146">
            <v>41673</v>
          </cell>
          <cell r="F146">
            <v>41674</v>
          </cell>
          <cell r="G146">
            <v>2.8</v>
          </cell>
          <cell r="H146" t="e">
            <v>#N/A</v>
          </cell>
          <cell r="I146" t="e">
            <v>#N/A</v>
          </cell>
          <cell r="J146">
            <v>2.87</v>
          </cell>
          <cell r="K146">
            <v>2.77</v>
          </cell>
          <cell r="L146">
            <v>7.0000000000000284E-2</v>
          </cell>
        </row>
        <row r="147">
          <cell r="A147">
            <v>41671</v>
          </cell>
          <cell r="B147">
            <v>41698</v>
          </cell>
          <cell r="C147">
            <v>41699</v>
          </cell>
          <cell r="D147">
            <v>41700</v>
          </cell>
          <cell r="E147">
            <v>41701</v>
          </cell>
          <cell r="F147">
            <v>41702</v>
          </cell>
          <cell r="G147">
            <v>2.96</v>
          </cell>
          <cell r="H147" t="e">
            <v>#N/A</v>
          </cell>
          <cell r="I147" t="e">
            <v>#N/A</v>
          </cell>
          <cell r="J147">
            <v>2.9400000000000004</v>
          </cell>
          <cell r="K147">
            <v>2.9200000000000004</v>
          </cell>
          <cell r="L147">
            <v>-1.9999999999999574E-2</v>
          </cell>
        </row>
        <row r="148">
          <cell r="A148">
            <v>41699</v>
          </cell>
          <cell r="B148">
            <v>41719</v>
          </cell>
          <cell r="C148">
            <v>41720</v>
          </cell>
          <cell r="D148">
            <v>41721</v>
          </cell>
          <cell r="E148">
            <v>41722</v>
          </cell>
          <cell r="F148">
            <v>41723</v>
          </cell>
          <cell r="G148">
            <v>2.5699999999999994</v>
          </cell>
          <cell r="H148" t="e">
            <v>#N/A</v>
          </cell>
          <cell r="I148" t="e">
            <v>#N/A</v>
          </cell>
          <cell r="J148" t="e">
            <v>#N/A</v>
          </cell>
          <cell r="K148">
            <v>2.57</v>
          </cell>
          <cell r="L148">
            <v>4.4408920985006262E-16</v>
          </cell>
        </row>
        <row r="149">
          <cell r="A149">
            <v>41730</v>
          </cell>
          <cell r="B149">
            <v>41754</v>
          </cell>
          <cell r="C149">
            <v>41755</v>
          </cell>
          <cell r="D149">
            <v>41756</v>
          </cell>
          <cell r="E149">
            <v>41757</v>
          </cell>
          <cell r="F149">
            <v>41758</v>
          </cell>
          <cell r="G149">
            <v>2.6199999999999997</v>
          </cell>
          <cell r="H149" t="e">
            <v>#N/A</v>
          </cell>
          <cell r="I149" t="e">
            <v>#N/A</v>
          </cell>
          <cell r="J149">
            <v>2.57</v>
          </cell>
          <cell r="K149">
            <v>2.4800000000000004</v>
          </cell>
          <cell r="L149">
            <v>-4.9999999999999822E-2</v>
          </cell>
        </row>
        <row r="150">
          <cell r="A150">
            <v>41760</v>
          </cell>
          <cell r="B150">
            <v>41789</v>
          </cell>
          <cell r="C150">
            <v>41790</v>
          </cell>
          <cell r="D150">
            <v>41791</v>
          </cell>
          <cell r="E150">
            <v>41792</v>
          </cell>
          <cell r="F150">
            <v>41793</v>
          </cell>
          <cell r="G150">
            <v>2.5000000000000004</v>
          </cell>
          <cell r="H150" t="e">
            <v>#N/A</v>
          </cell>
          <cell r="I150" t="e">
            <v>#N/A</v>
          </cell>
          <cell r="J150" t="e">
            <v>#N/A</v>
          </cell>
          <cell r="K150">
            <v>2.6800000000000006</v>
          </cell>
          <cell r="L150">
            <v>0.18000000000000016</v>
          </cell>
        </row>
        <row r="151">
          <cell r="A151">
            <v>41791</v>
          </cell>
          <cell r="B151">
            <v>41810</v>
          </cell>
          <cell r="C151">
            <v>41811</v>
          </cell>
          <cell r="D151">
            <v>41812</v>
          </cell>
          <cell r="E151">
            <v>41813</v>
          </cell>
          <cell r="F151">
            <v>41814</v>
          </cell>
          <cell r="G151">
            <v>2.92</v>
          </cell>
          <cell r="H151" t="e">
            <v>#N/A</v>
          </cell>
          <cell r="I151" t="e">
            <v>#N/A</v>
          </cell>
          <cell r="J151" t="e">
            <v>#N/A</v>
          </cell>
          <cell r="K151">
            <v>2.84</v>
          </cell>
          <cell r="L151">
            <v>-8.0000000000000071E-2</v>
          </cell>
        </row>
        <row r="152">
          <cell r="A152">
            <v>41821</v>
          </cell>
          <cell r="B152">
            <v>41851</v>
          </cell>
          <cell r="C152">
            <v>41852</v>
          </cell>
          <cell r="D152">
            <v>41853</v>
          </cell>
          <cell r="E152">
            <v>41854</v>
          </cell>
          <cell r="F152">
            <v>41855</v>
          </cell>
          <cell r="G152">
            <v>3.51</v>
          </cell>
          <cell r="H152">
            <v>3.6799999999999997</v>
          </cell>
          <cell r="I152" t="e">
            <v>#N/A</v>
          </cell>
          <cell r="J152" t="e">
            <v>#N/A</v>
          </cell>
          <cell r="K152">
            <v>2.8899999999999997</v>
          </cell>
          <cell r="L152">
            <v>0.16999999999999993</v>
          </cell>
        </row>
        <row r="153">
          <cell r="A153">
            <v>41852</v>
          </cell>
          <cell r="B153">
            <v>41880</v>
          </cell>
          <cell r="C153">
            <v>41881</v>
          </cell>
          <cell r="D153">
            <v>41882</v>
          </cell>
          <cell r="E153">
            <v>41883</v>
          </cell>
          <cell r="F153">
            <v>41884</v>
          </cell>
          <cell r="G153">
            <v>2.7299999999999995</v>
          </cell>
          <cell r="H153" t="e">
            <v>#N/A</v>
          </cell>
          <cell r="I153" t="e">
            <v>#N/A</v>
          </cell>
          <cell r="J153">
            <v>2.6799999999999997</v>
          </cell>
          <cell r="K153">
            <v>2.6399999999999997</v>
          </cell>
          <cell r="L153">
            <v>-4.9999999999999822E-2</v>
          </cell>
        </row>
        <row r="154">
          <cell r="A154">
            <v>41883</v>
          </cell>
          <cell r="B154">
            <v>41908</v>
          </cell>
          <cell r="C154">
            <v>41909</v>
          </cell>
          <cell r="D154">
            <v>41910</v>
          </cell>
          <cell r="E154">
            <v>41911</v>
          </cell>
          <cell r="F154">
            <v>41912</v>
          </cell>
          <cell r="G154">
            <v>2.71</v>
          </cell>
          <cell r="H154" t="e">
            <v>#N/A</v>
          </cell>
          <cell r="I154" t="e">
            <v>#N/A</v>
          </cell>
          <cell r="J154">
            <v>2.8</v>
          </cell>
          <cell r="K154">
            <v>2.73</v>
          </cell>
          <cell r="L154">
            <v>8.9999999999999858E-2</v>
          </cell>
        </row>
        <row r="155">
          <cell r="A155">
            <v>41913</v>
          </cell>
          <cell r="B155">
            <v>41942</v>
          </cell>
          <cell r="C155">
            <v>41943</v>
          </cell>
          <cell r="D155">
            <v>41944</v>
          </cell>
          <cell r="E155">
            <v>41945</v>
          </cell>
          <cell r="F155">
            <v>41946</v>
          </cell>
          <cell r="G155">
            <v>3.01</v>
          </cell>
          <cell r="H155">
            <v>2.6799999999999997</v>
          </cell>
          <cell r="I155" t="e">
            <v>#N/A</v>
          </cell>
          <cell r="J155" t="e">
            <v>#N/A</v>
          </cell>
          <cell r="K155" t="e">
            <v>#N/A</v>
          </cell>
          <cell r="L155">
            <v>-0.33000000000000007</v>
          </cell>
        </row>
        <row r="156">
          <cell r="A156">
            <v>41944</v>
          </cell>
          <cell r="B156">
            <v>41971</v>
          </cell>
          <cell r="C156">
            <v>41972</v>
          </cell>
          <cell r="D156">
            <v>41973</v>
          </cell>
          <cell r="E156">
            <v>41974</v>
          </cell>
          <cell r="F156">
            <v>41975</v>
          </cell>
          <cell r="G156">
            <v>3.6400000000000006</v>
          </cell>
          <cell r="H156" t="e">
            <v>#N/A</v>
          </cell>
          <cell r="I156" t="e">
            <v>#N/A</v>
          </cell>
          <cell r="J156">
            <v>3.62</v>
          </cell>
          <cell r="K156">
            <v>3.7600000000000002</v>
          </cell>
          <cell r="L156">
            <v>-2.0000000000000462E-2</v>
          </cell>
        </row>
        <row r="157">
          <cell r="A157">
            <v>41974</v>
          </cell>
          <cell r="B157">
            <v>41992</v>
          </cell>
          <cell r="C157">
            <v>41993</v>
          </cell>
          <cell r="D157">
            <v>41994</v>
          </cell>
          <cell r="E157">
            <v>41995</v>
          </cell>
          <cell r="F157">
            <v>41996</v>
          </cell>
          <cell r="G157">
            <v>4.2</v>
          </cell>
          <cell r="H157" t="e">
            <v>#N/A</v>
          </cell>
          <cell r="I157" t="e">
            <v>#N/A</v>
          </cell>
          <cell r="J157">
            <v>3.5000000000000004</v>
          </cell>
          <cell r="K157">
            <v>3.59</v>
          </cell>
          <cell r="L157">
            <v>-0.69999999999999973</v>
          </cell>
        </row>
        <row r="158">
          <cell r="A158">
            <v>42005</v>
          </cell>
          <cell r="B158">
            <v>42034</v>
          </cell>
          <cell r="C158">
            <v>42035</v>
          </cell>
          <cell r="D158">
            <v>42036</v>
          </cell>
          <cell r="E158">
            <v>42037</v>
          </cell>
          <cell r="F158">
            <v>42038</v>
          </cell>
          <cell r="G158">
            <v>4.0199999999999996</v>
          </cell>
          <cell r="H158" t="e">
            <v>#N/A</v>
          </cell>
          <cell r="I158" t="e">
            <v>#N/A</v>
          </cell>
          <cell r="J158">
            <v>4.0599999999999996</v>
          </cell>
          <cell r="K158">
            <v>4.09</v>
          </cell>
          <cell r="L158">
            <v>4.0000000000000036E-2</v>
          </cell>
        </row>
        <row r="159">
          <cell r="A159">
            <v>42036</v>
          </cell>
          <cell r="B159">
            <v>42055</v>
          </cell>
          <cell r="C159">
            <v>42056</v>
          </cell>
          <cell r="D159">
            <v>42057</v>
          </cell>
          <cell r="E159">
            <v>42058</v>
          </cell>
          <cell r="F159">
            <v>42059</v>
          </cell>
          <cell r="G159">
            <v>4.08</v>
          </cell>
          <cell r="H159" t="e">
            <v>#N/A</v>
          </cell>
          <cell r="I159" t="e">
            <v>#N/A</v>
          </cell>
          <cell r="J159">
            <v>4.0699999999999994</v>
          </cell>
          <cell r="K159">
            <v>4.0299999999999994</v>
          </cell>
          <cell r="L159">
            <v>-1.0000000000000675E-2</v>
          </cell>
        </row>
        <row r="160">
          <cell r="A160">
            <v>42064</v>
          </cell>
          <cell r="B160">
            <v>42083</v>
          </cell>
          <cell r="C160">
            <v>42084</v>
          </cell>
          <cell r="D160">
            <v>42085</v>
          </cell>
          <cell r="E160">
            <v>42086</v>
          </cell>
          <cell r="F160">
            <v>42087</v>
          </cell>
          <cell r="G160">
            <v>4.2799999999999994</v>
          </cell>
          <cell r="H160" t="e">
            <v>#N/A</v>
          </cell>
          <cell r="I160" t="e">
            <v>#N/A</v>
          </cell>
          <cell r="J160" t="e">
            <v>#N/A</v>
          </cell>
          <cell r="K160">
            <v>4.22</v>
          </cell>
          <cell r="L160">
            <v>-5.9999999999999609E-2</v>
          </cell>
        </row>
        <row r="161">
          <cell r="A161">
            <v>42095</v>
          </cell>
          <cell r="B161">
            <v>42118</v>
          </cell>
          <cell r="C161">
            <v>42119</v>
          </cell>
          <cell r="D161">
            <v>42120</v>
          </cell>
          <cell r="E161">
            <v>42121</v>
          </cell>
          <cell r="F161">
            <v>42122</v>
          </cell>
          <cell r="G161">
            <v>3.2700000000000005</v>
          </cell>
          <cell r="H161" t="e">
            <v>#N/A</v>
          </cell>
          <cell r="I161" t="e">
            <v>#N/A</v>
          </cell>
          <cell r="J161">
            <v>3.54</v>
          </cell>
          <cell r="K161">
            <v>3.3899999999999997</v>
          </cell>
          <cell r="L161">
            <v>0.26999999999999957</v>
          </cell>
        </row>
        <row r="162">
          <cell r="A162">
            <v>42125</v>
          </cell>
          <cell r="B162">
            <v>42146</v>
          </cell>
          <cell r="C162">
            <v>42147</v>
          </cell>
          <cell r="D162">
            <v>42148</v>
          </cell>
          <cell r="E162">
            <v>42149</v>
          </cell>
          <cell r="F162">
            <v>42150</v>
          </cell>
          <cell r="G162">
            <v>3.79</v>
          </cell>
          <cell r="H162" t="e">
            <v>#N/A</v>
          </cell>
          <cell r="I162" t="e">
            <v>#N/A</v>
          </cell>
          <cell r="J162">
            <v>3.5500000000000003</v>
          </cell>
          <cell r="K162">
            <v>3.6999999999999997</v>
          </cell>
          <cell r="L162">
            <v>-0.23999999999999977</v>
          </cell>
        </row>
        <row r="163">
          <cell r="A163">
            <v>42156</v>
          </cell>
          <cell r="B163">
            <v>42179</v>
          </cell>
          <cell r="C163">
            <v>42180</v>
          </cell>
          <cell r="D163">
            <v>42181</v>
          </cell>
          <cell r="E163">
            <v>42182</v>
          </cell>
          <cell r="F163">
            <v>42183</v>
          </cell>
          <cell r="G163">
            <v>3.4600000000000004</v>
          </cell>
          <cell r="H163">
            <v>3.3900000000000006</v>
          </cell>
          <cell r="I163">
            <v>3.3100000000000005</v>
          </cell>
          <cell r="J163" t="e">
            <v>#N/A</v>
          </cell>
          <cell r="K163" t="e">
            <v>#N/A</v>
          </cell>
          <cell r="L163">
            <v>-6.999999999999984E-2</v>
          </cell>
        </row>
        <row r="164">
          <cell r="A164">
            <v>42186</v>
          </cell>
          <cell r="B164">
            <v>42216</v>
          </cell>
          <cell r="C164">
            <v>42217</v>
          </cell>
          <cell r="D164">
            <v>42218</v>
          </cell>
          <cell r="E164">
            <v>42219</v>
          </cell>
          <cell r="F164">
            <v>42220</v>
          </cell>
          <cell r="G164">
            <v>3.3699999999999997</v>
          </cell>
          <cell r="H164" t="e">
            <v>#N/A</v>
          </cell>
          <cell r="I164" t="e">
            <v>#N/A</v>
          </cell>
          <cell r="J164">
            <v>3.7</v>
          </cell>
          <cell r="K164">
            <v>3.76</v>
          </cell>
          <cell r="L164">
            <v>0.33000000000000052</v>
          </cell>
        </row>
        <row r="165">
          <cell r="A165">
            <v>42217</v>
          </cell>
          <cell r="B165">
            <v>42237</v>
          </cell>
          <cell r="C165">
            <v>42238</v>
          </cell>
          <cell r="D165">
            <v>42239</v>
          </cell>
          <cell r="E165">
            <v>42240</v>
          </cell>
          <cell r="F165">
            <v>42241</v>
          </cell>
          <cell r="G165">
            <v>4.01</v>
          </cell>
          <cell r="H165" t="e">
            <v>#N/A</v>
          </cell>
          <cell r="I165" t="e">
            <v>#N/A</v>
          </cell>
          <cell r="J165">
            <v>3.9799999999999995</v>
          </cell>
          <cell r="K165">
            <v>4.03</v>
          </cell>
          <cell r="L165">
            <v>-3.0000000000000249E-2</v>
          </cell>
        </row>
        <row r="166">
          <cell r="A166">
            <v>42248</v>
          </cell>
          <cell r="B166">
            <v>42272</v>
          </cell>
          <cell r="C166">
            <v>42273</v>
          </cell>
          <cell r="D166">
            <v>42274</v>
          </cell>
          <cell r="E166">
            <v>42275</v>
          </cell>
          <cell r="F166">
            <v>42276</v>
          </cell>
          <cell r="G166">
            <v>4.4400000000000004</v>
          </cell>
          <cell r="H166" t="e">
            <v>#N/A</v>
          </cell>
          <cell r="I166" t="e">
            <v>#N/A</v>
          </cell>
          <cell r="J166">
            <v>4.5199999999999996</v>
          </cell>
          <cell r="K166">
            <v>4.7300000000000004</v>
          </cell>
          <cell r="L166">
            <v>7.9999999999999183E-2</v>
          </cell>
        </row>
        <row r="167">
          <cell r="A167">
            <v>42278</v>
          </cell>
          <cell r="B167">
            <v>42307</v>
          </cell>
          <cell r="C167">
            <v>42308</v>
          </cell>
          <cell r="D167">
            <v>42309</v>
          </cell>
          <cell r="E167">
            <v>42310</v>
          </cell>
          <cell r="F167">
            <v>42311</v>
          </cell>
          <cell r="G167">
            <v>4.63</v>
          </cell>
          <cell r="H167" t="e">
            <v>#N/A</v>
          </cell>
          <cell r="I167" t="e">
            <v>#N/A</v>
          </cell>
          <cell r="J167" t="e">
            <v>#N/A</v>
          </cell>
          <cell r="K167">
            <v>4.9000000000000004</v>
          </cell>
          <cell r="L167">
            <v>0.27000000000000046</v>
          </cell>
        </row>
        <row r="168">
          <cell r="A168">
            <v>42309</v>
          </cell>
          <cell r="B168">
            <v>42335</v>
          </cell>
          <cell r="C168">
            <v>42336</v>
          </cell>
          <cell r="D168">
            <v>42337</v>
          </cell>
          <cell r="E168">
            <v>42338</v>
          </cell>
          <cell r="F168">
            <v>42339</v>
          </cell>
          <cell r="G168">
            <v>5.08</v>
          </cell>
          <cell r="H168" t="e">
            <v>#N/A</v>
          </cell>
          <cell r="I168" t="e">
            <v>#N/A</v>
          </cell>
          <cell r="J168">
            <v>5.0500000000000007</v>
          </cell>
          <cell r="K168">
            <v>5.15</v>
          </cell>
          <cell r="L168">
            <v>-2.9999999999999361E-2</v>
          </cell>
        </row>
        <row r="169">
          <cell r="A169">
            <v>42339</v>
          </cell>
          <cell r="B169">
            <v>42356</v>
          </cell>
          <cell r="C169">
            <v>42357</v>
          </cell>
          <cell r="D169">
            <v>42358</v>
          </cell>
          <cell r="E169">
            <v>42359</v>
          </cell>
          <cell r="F169">
            <v>42360</v>
          </cell>
          <cell r="G169">
            <v>5.35</v>
          </cell>
          <cell r="H169" t="e">
            <v>#N/A</v>
          </cell>
          <cell r="I169" t="e">
            <v>#N/A</v>
          </cell>
          <cell r="J169">
            <v>5.38</v>
          </cell>
          <cell r="K169">
            <v>5.2900000000000009</v>
          </cell>
          <cell r="L169">
            <v>3.0000000000000249E-2</v>
          </cell>
        </row>
        <row r="170">
          <cell r="A170">
            <v>42370</v>
          </cell>
          <cell r="B170">
            <v>42398</v>
          </cell>
          <cell r="C170">
            <v>42399</v>
          </cell>
          <cell r="D170">
            <v>42400</v>
          </cell>
          <cell r="E170">
            <v>42401</v>
          </cell>
          <cell r="F170">
            <v>42402</v>
          </cell>
          <cell r="G170">
            <v>5.27</v>
          </cell>
          <cell r="H170" t="e">
            <v>#N/A</v>
          </cell>
          <cell r="I170" t="e">
            <v>#N/A</v>
          </cell>
          <cell r="J170">
            <v>5.2600000000000007</v>
          </cell>
          <cell r="K170">
            <v>5.29</v>
          </cell>
          <cell r="L170">
            <v>-9.9999999999988987E-3</v>
          </cell>
        </row>
        <row r="171">
          <cell r="A171">
            <v>42401</v>
          </cell>
          <cell r="B171">
            <v>42419</v>
          </cell>
          <cell r="C171">
            <v>42420</v>
          </cell>
          <cell r="D171">
            <v>42421</v>
          </cell>
          <cell r="E171">
            <v>42422</v>
          </cell>
          <cell r="F171">
            <v>42423</v>
          </cell>
          <cell r="G171">
            <v>5.55</v>
          </cell>
          <cell r="H171" t="e">
            <v>#N/A</v>
          </cell>
          <cell r="I171" t="e">
            <v>#N/A</v>
          </cell>
          <cell r="J171">
            <v>5.5</v>
          </cell>
          <cell r="K171">
            <v>5.48</v>
          </cell>
          <cell r="L171">
            <v>-4.9999999999999822E-2</v>
          </cell>
        </row>
        <row r="172">
          <cell r="A172">
            <v>42430</v>
          </cell>
          <cell r="B172">
            <v>42447</v>
          </cell>
          <cell r="C172">
            <v>42448</v>
          </cell>
          <cell r="D172">
            <v>42449</v>
          </cell>
          <cell r="E172">
            <v>42450</v>
          </cell>
          <cell r="F172">
            <v>42451</v>
          </cell>
          <cell r="G172">
            <v>5.07</v>
          </cell>
          <cell r="H172" t="e">
            <v>#N/A</v>
          </cell>
          <cell r="I172" t="e">
            <v>#N/A</v>
          </cell>
          <cell r="J172" t="e">
            <v>#N/A</v>
          </cell>
          <cell r="K172">
            <v>5.16</v>
          </cell>
          <cell r="L172">
            <v>8.9999999999999858E-2</v>
          </cell>
        </row>
        <row r="173">
          <cell r="A173">
            <v>42461</v>
          </cell>
          <cell r="B173">
            <v>42489</v>
          </cell>
          <cell r="C173">
            <v>42490</v>
          </cell>
          <cell r="D173">
            <v>42491</v>
          </cell>
          <cell r="E173">
            <v>42492</v>
          </cell>
          <cell r="F173">
            <v>42493</v>
          </cell>
          <cell r="G173">
            <v>5.1400000000000006</v>
          </cell>
          <cell r="H173" t="e">
            <v>#N/A</v>
          </cell>
          <cell r="I173" t="e">
            <v>#N/A</v>
          </cell>
          <cell r="J173">
            <v>5.25</v>
          </cell>
          <cell r="K173">
            <v>5.3000000000000007</v>
          </cell>
          <cell r="L173">
            <v>0.10999999999999943</v>
          </cell>
        </row>
        <row r="174">
          <cell r="A174">
            <v>42491</v>
          </cell>
          <cell r="B174">
            <v>42517</v>
          </cell>
          <cell r="C174">
            <v>42518</v>
          </cell>
          <cell r="D174">
            <v>42519</v>
          </cell>
          <cell r="E174">
            <v>42520</v>
          </cell>
          <cell r="F174">
            <v>42521</v>
          </cell>
          <cell r="G174">
            <v>5.0400000000000009</v>
          </cell>
          <cell r="H174" t="e">
            <v>#N/A</v>
          </cell>
          <cell r="I174" t="e">
            <v>#N/A</v>
          </cell>
          <cell r="J174" t="e">
            <v>#N/A</v>
          </cell>
          <cell r="K174">
            <v>5.09</v>
          </cell>
          <cell r="L174">
            <v>4.9999999999998934E-2</v>
          </cell>
        </row>
        <row r="175">
          <cell r="A175">
            <v>42522</v>
          </cell>
          <cell r="B175">
            <v>42543</v>
          </cell>
          <cell r="C175">
            <v>42544</v>
          </cell>
          <cell r="D175">
            <v>42545</v>
          </cell>
          <cell r="E175">
            <v>42546</v>
          </cell>
          <cell r="F175">
            <v>42547</v>
          </cell>
          <cell r="G175">
            <v>4.84</v>
          </cell>
          <cell r="H175">
            <v>4.82</v>
          </cell>
          <cell r="I175">
            <v>4.75</v>
          </cell>
          <cell r="J175" t="e">
            <v>#N/A</v>
          </cell>
          <cell r="K175" t="e">
            <v>#N/A</v>
          </cell>
          <cell r="L175">
            <v>-1.9999999999999574E-2</v>
          </cell>
        </row>
        <row r="176">
          <cell r="A176">
            <v>42552</v>
          </cell>
          <cell r="B176">
            <v>42580</v>
          </cell>
          <cell r="C176">
            <v>42581</v>
          </cell>
          <cell r="D176">
            <v>42582</v>
          </cell>
          <cell r="E176">
            <v>42583</v>
          </cell>
          <cell r="F176">
            <v>42584</v>
          </cell>
          <cell r="G176">
            <v>4.82</v>
          </cell>
          <cell r="H176" t="e">
            <v>#N/A</v>
          </cell>
          <cell r="I176" t="e">
            <v>#N/A</v>
          </cell>
          <cell r="J176">
            <v>4.2</v>
          </cell>
          <cell r="K176">
            <v>4.8499999999999996</v>
          </cell>
          <cell r="L176">
            <v>-0.62000000000000011</v>
          </cell>
        </row>
        <row r="177">
          <cell r="A177">
            <v>42583</v>
          </cell>
          <cell r="B177">
            <v>42613</v>
          </cell>
          <cell r="C177">
            <v>42614</v>
          </cell>
          <cell r="D177">
            <v>42615</v>
          </cell>
          <cell r="E177">
            <v>42616</v>
          </cell>
          <cell r="F177">
            <v>42617</v>
          </cell>
          <cell r="G177">
            <v>4.8</v>
          </cell>
          <cell r="H177">
            <v>4.6500000000000004</v>
          </cell>
          <cell r="I177">
            <v>4.59</v>
          </cell>
          <cell r="J177" t="e">
            <v>#N/A</v>
          </cell>
          <cell r="K177" t="e">
            <v>#N/A</v>
          </cell>
          <cell r="L177">
            <v>-0.14999999999999947</v>
          </cell>
        </row>
        <row r="178">
          <cell r="A178">
            <v>42614</v>
          </cell>
          <cell r="B178">
            <v>42643</v>
          </cell>
          <cell r="C178">
            <v>42644</v>
          </cell>
          <cell r="D178">
            <v>42645</v>
          </cell>
          <cell r="E178">
            <v>42646</v>
          </cell>
          <cell r="F178">
            <v>42647</v>
          </cell>
          <cell r="G178">
            <v>3.34</v>
          </cell>
          <cell r="H178" t="e">
            <v>#N/A</v>
          </cell>
          <cell r="I178" t="e">
            <v>#N/A</v>
          </cell>
          <cell r="J178">
            <v>3.3000000000000003</v>
          </cell>
          <cell r="K178">
            <v>3.3200000000000003</v>
          </cell>
          <cell r="L178">
            <v>-3.9999999999999591E-2</v>
          </cell>
        </row>
        <row r="179">
          <cell r="A179">
            <v>42644</v>
          </cell>
          <cell r="B179">
            <v>42671</v>
          </cell>
          <cell r="C179">
            <v>42672</v>
          </cell>
          <cell r="D179">
            <v>42673</v>
          </cell>
          <cell r="E179">
            <v>42674</v>
          </cell>
          <cell r="F179">
            <v>42675</v>
          </cell>
          <cell r="G179">
            <v>4.4700000000000006</v>
          </cell>
          <cell r="H179" t="e">
            <v>#N/A</v>
          </cell>
          <cell r="I179" t="e">
            <v>#N/A</v>
          </cell>
          <cell r="J179">
            <v>4.4499999999999993</v>
          </cell>
          <cell r="K179">
            <v>4.43</v>
          </cell>
          <cell r="L179">
            <v>-2.000000000000135E-2</v>
          </cell>
        </row>
        <row r="180">
          <cell r="A180">
            <v>42675</v>
          </cell>
          <cell r="B180">
            <v>42699</v>
          </cell>
          <cell r="C180">
            <v>42700</v>
          </cell>
          <cell r="D180">
            <v>42701</v>
          </cell>
          <cell r="E180">
            <v>42702</v>
          </cell>
          <cell r="F180">
            <v>42703</v>
          </cell>
          <cell r="G180">
            <v>4.55</v>
          </cell>
          <cell r="H180" t="e">
            <v>#N/A</v>
          </cell>
          <cell r="I180" t="e">
            <v>#N/A</v>
          </cell>
          <cell r="J180">
            <v>4.6000000000000005</v>
          </cell>
          <cell r="K180">
            <v>4.6500000000000004</v>
          </cell>
          <cell r="L180">
            <v>5.0000000000000711E-2</v>
          </cell>
        </row>
        <row r="181">
          <cell r="A181">
            <v>42705</v>
          </cell>
          <cell r="B181">
            <v>42720</v>
          </cell>
          <cell r="C181">
            <v>42721</v>
          </cell>
          <cell r="D181">
            <v>42722</v>
          </cell>
          <cell r="E181">
            <v>42723</v>
          </cell>
          <cell r="F181">
            <v>42724</v>
          </cell>
          <cell r="G181">
            <v>5.1000000000000005</v>
          </cell>
          <cell r="H181" t="e">
            <v>#N/A</v>
          </cell>
          <cell r="I181" t="e">
            <v>#N/A</v>
          </cell>
          <cell r="J181">
            <v>5.05</v>
          </cell>
          <cell r="K181">
            <v>5.1100000000000003</v>
          </cell>
          <cell r="L181">
            <v>-5.0000000000000711E-2</v>
          </cell>
        </row>
        <row r="182">
          <cell r="A182">
            <v>42736</v>
          </cell>
          <cell r="B182">
            <v>42762</v>
          </cell>
          <cell r="C182">
            <v>42763</v>
          </cell>
          <cell r="D182">
            <v>42764</v>
          </cell>
          <cell r="E182">
            <v>42765</v>
          </cell>
          <cell r="F182">
            <v>42766</v>
          </cell>
          <cell r="G182">
            <v>5.4</v>
          </cell>
          <cell r="H182" t="e">
            <v>#N/A</v>
          </cell>
          <cell r="I182" t="e">
            <v>#N/A</v>
          </cell>
          <cell r="J182">
            <v>5.56</v>
          </cell>
          <cell r="K182">
            <v>5.61</v>
          </cell>
          <cell r="L182">
            <v>0.15999999999999925</v>
          </cell>
        </row>
        <row r="183">
          <cell r="A183">
            <v>42767</v>
          </cell>
          <cell r="B183">
            <v>42790</v>
          </cell>
          <cell r="C183">
            <v>42791</v>
          </cell>
          <cell r="D183">
            <v>42792</v>
          </cell>
          <cell r="E183">
            <v>42793</v>
          </cell>
          <cell r="F183">
            <v>42794</v>
          </cell>
          <cell r="G183">
            <v>5.08</v>
          </cell>
          <cell r="H183" t="e">
            <v>#N/A</v>
          </cell>
          <cell r="I183" t="e">
            <v>#N/A</v>
          </cell>
          <cell r="J183">
            <v>5.01</v>
          </cell>
          <cell r="K183">
            <v>4.93</v>
          </cell>
          <cell r="L183">
            <v>-7.0000000000000284E-2</v>
          </cell>
        </row>
        <row r="184">
          <cell r="A184">
            <v>42795</v>
          </cell>
          <cell r="B184">
            <v>42818</v>
          </cell>
          <cell r="C184">
            <v>42819</v>
          </cell>
          <cell r="D184">
            <v>42820</v>
          </cell>
          <cell r="E184">
            <v>42821</v>
          </cell>
          <cell r="F184">
            <v>42822</v>
          </cell>
          <cell r="G184">
            <v>3.7899999999999996</v>
          </cell>
          <cell r="H184" t="e">
            <v>#N/A</v>
          </cell>
          <cell r="I184" t="e">
            <v>#N/A</v>
          </cell>
          <cell r="J184">
            <v>3.78</v>
          </cell>
          <cell r="K184">
            <v>3.7199999999999998</v>
          </cell>
          <cell r="L184">
            <v>-9.9999999999997868E-3</v>
          </cell>
        </row>
        <row r="185">
          <cell r="A185">
            <v>42826</v>
          </cell>
          <cell r="B185">
            <v>42853</v>
          </cell>
          <cell r="C185">
            <v>42854</v>
          </cell>
          <cell r="D185">
            <v>42855</v>
          </cell>
          <cell r="E185">
            <v>42856</v>
          </cell>
          <cell r="F185">
            <v>42857</v>
          </cell>
          <cell r="G185">
            <v>3.3299999999999996</v>
          </cell>
          <cell r="H185" t="e">
            <v>#N/A</v>
          </cell>
          <cell r="I185" t="e">
            <v>#N/A</v>
          </cell>
          <cell r="J185" t="e">
            <v>#N/A</v>
          </cell>
          <cell r="K185">
            <v>3.1999999999999997</v>
          </cell>
          <cell r="L185">
            <v>-0.12999999999999989</v>
          </cell>
        </row>
        <row r="186">
          <cell r="A186">
            <v>42856</v>
          </cell>
          <cell r="B186">
            <v>42881</v>
          </cell>
          <cell r="C186">
            <v>42882</v>
          </cell>
          <cell r="D186">
            <v>42883</v>
          </cell>
          <cell r="E186">
            <v>42884</v>
          </cell>
          <cell r="F186">
            <v>42885</v>
          </cell>
          <cell r="G186">
            <v>3.1199999999999997</v>
          </cell>
          <cell r="H186" t="e">
            <v>#N/A</v>
          </cell>
          <cell r="I186" t="e">
            <v>#N/A</v>
          </cell>
          <cell r="J186" t="e">
            <v>#N/A</v>
          </cell>
          <cell r="K186">
            <v>3.11</v>
          </cell>
          <cell r="L186">
            <v>-9.9999999999997868E-3</v>
          </cell>
        </row>
        <row r="187">
          <cell r="A187">
            <v>42887</v>
          </cell>
          <cell r="B187">
            <v>42916</v>
          </cell>
          <cell r="C187">
            <v>42917</v>
          </cell>
          <cell r="D187">
            <v>42918</v>
          </cell>
          <cell r="E187">
            <v>42919</v>
          </cell>
          <cell r="F187">
            <v>42920</v>
          </cell>
          <cell r="G187">
            <v>2.67</v>
          </cell>
          <cell r="H187" t="e">
            <v>#N/A</v>
          </cell>
          <cell r="I187" t="e">
            <v>#N/A</v>
          </cell>
          <cell r="J187" t="e">
            <v>#N/A</v>
          </cell>
          <cell r="K187">
            <v>2.4300000000000002</v>
          </cell>
          <cell r="L187">
            <v>-0.23999999999999977</v>
          </cell>
        </row>
        <row r="188">
          <cell r="A188">
            <v>42917</v>
          </cell>
          <cell r="B188">
            <v>42943</v>
          </cell>
          <cell r="C188">
            <v>42944</v>
          </cell>
          <cell r="D188">
            <v>42945</v>
          </cell>
          <cell r="E188">
            <v>42946</v>
          </cell>
          <cell r="F188">
            <v>42947</v>
          </cell>
          <cell r="G188">
            <v>2.6</v>
          </cell>
          <cell r="H188">
            <v>2.5799999999999996</v>
          </cell>
          <cell r="I188" t="e">
            <v>#N/A</v>
          </cell>
          <cell r="J188" t="e">
            <v>#N/A</v>
          </cell>
          <cell r="K188">
            <v>2.9400000000000004</v>
          </cell>
          <cell r="L188">
            <v>-2.0000000000000462E-2</v>
          </cell>
        </row>
        <row r="189">
          <cell r="A189">
            <v>42948</v>
          </cell>
          <cell r="B189">
            <v>42978</v>
          </cell>
          <cell r="C189">
            <v>42979</v>
          </cell>
          <cell r="D189">
            <v>42980</v>
          </cell>
          <cell r="E189">
            <v>42981</v>
          </cell>
          <cell r="F189">
            <v>42982</v>
          </cell>
          <cell r="G189">
            <v>3.09</v>
          </cell>
          <cell r="H189">
            <v>3.1199999999999997</v>
          </cell>
          <cell r="I189" t="e">
            <v>#N/A</v>
          </cell>
          <cell r="J189" t="e">
            <v>#N/A</v>
          </cell>
          <cell r="K189">
            <v>3.3500000000000005</v>
          </cell>
          <cell r="L189">
            <v>2.9999999999999805E-2</v>
          </cell>
        </row>
        <row r="190">
          <cell r="A190">
            <v>42979</v>
          </cell>
          <cell r="B190">
            <v>43007</v>
          </cell>
          <cell r="C190">
            <v>43008</v>
          </cell>
          <cell r="D190">
            <v>43009</v>
          </cell>
          <cell r="E190">
            <v>43010</v>
          </cell>
          <cell r="F190">
            <v>43011</v>
          </cell>
          <cell r="G190">
            <v>3.0300000000000002</v>
          </cell>
          <cell r="H190" t="e">
            <v>#N/A</v>
          </cell>
          <cell r="I190" t="e">
            <v>#N/A</v>
          </cell>
          <cell r="J190">
            <v>3.0799999999999996</v>
          </cell>
          <cell r="K190">
            <v>3.13</v>
          </cell>
          <cell r="L190">
            <v>4.9999999999999378E-2</v>
          </cell>
        </row>
        <row r="191">
          <cell r="A191">
            <v>43009</v>
          </cell>
          <cell r="B191">
            <v>43035</v>
          </cell>
          <cell r="C191">
            <v>43036</v>
          </cell>
          <cell r="D191">
            <v>43037</v>
          </cell>
          <cell r="E191">
            <v>43038</v>
          </cell>
          <cell r="F191">
            <v>43039</v>
          </cell>
          <cell r="G191">
            <v>3.17</v>
          </cell>
          <cell r="H191" t="e">
            <v>#N/A</v>
          </cell>
          <cell r="I191" t="e">
            <v>#N/A</v>
          </cell>
          <cell r="J191">
            <v>3.08</v>
          </cell>
          <cell r="K191">
            <v>3.06</v>
          </cell>
          <cell r="L191">
            <v>-8.9999999999999858E-2</v>
          </cell>
        </row>
        <row r="192">
          <cell r="A192">
            <v>43040</v>
          </cell>
          <cell r="B192">
            <v>43063</v>
          </cell>
          <cell r="C192">
            <v>43064</v>
          </cell>
          <cell r="D192">
            <v>43065</v>
          </cell>
          <cell r="E192">
            <v>43066</v>
          </cell>
          <cell r="F192">
            <v>43067</v>
          </cell>
          <cell r="G192">
            <v>3.09</v>
          </cell>
          <cell r="H192" t="e">
            <v>#N/A</v>
          </cell>
          <cell r="I192" t="e">
            <v>#N/A</v>
          </cell>
          <cell r="J192">
            <v>3</v>
          </cell>
          <cell r="K192">
            <v>3.15</v>
          </cell>
          <cell r="L192">
            <v>-8.9999999999999858E-2</v>
          </cell>
        </row>
        <row r="193">
          <cell r="A193">
            <v>43070</v>
          </cell>
          <cell r="B193">
            <v>43083</v>
          </cell>
          <cell r="C193">
            <v>43084</v>
          </cell>
          <cell r="D193">
            <v>43085</v>
          </cell>
          <cell r="E193">
            <v>43086</v>
          </cell>
          <cell r="F193">
            <v>43087</v>
          </cell>
          <cell r="G193">
            <v>3.45</v>
          </cell>
          <cell r="H193">
            <v>3.4499999999999997</v>
          </cell>
          <cell r="I193" t="e">
            <v>#N/A</v>
          </cell>
          <cell r="J193" t="e">
            <v>#N/A</v>
          </cell>
          <cell r="K193">
            <v>3.45</v>
          </cell>
          <cell r="L193">
            <v>-4.4408920985006262E-16</v>
          </cell>
        </row>
        <row r="194">
          <cell r="A194">
            <v>43101</v>
          </cell>
          <cell r="B194">
            <v>43129</v>
          </cell>
          <cell r="C194">
            <v>43130</v>
          </cell>
          <cell r="D194">
            <v>43131</v>
          </cell>
          <cell r="E194">
            <v>43132</v>
          </cell>
          <cell r="F194">
            <v>43133</v>
          </cell>
          <cell r="G194">
            <v>3.5</v>
          </cell>
          <cell r="H194">
            <v>3.55</v>
          </cell>
          <cell r="I194">
            <v>3.46</v>
          </cell>
          <cell r="J194">
            <v>3.42</v>
          </cell>
          <cell r="K194">
            <v>3.4000000000000004</v>
          </cell>
          <cell r="L194">
            <v>4.9999999999999822E-2</v>
          </cell>
        </row>
        <row r="195">
          <cell r="A195">
            <v>43132</v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e">
            <v>#N/A</v>
          </cell>
          <cell r="H195" t="e">
            <v>#N/A</v>
          </cell>
          <cell r="I195" t="e">
            <v>#N/A</v>
          </cell>
          <cell r="J195" t="e">
            <v>#N/A</v>
          </cell>
          <cell r="K195" t="e">
            <v>#N/A</v>
          </cell>
          <cell r="L195" t="str">
            <v/>
          </cell>
        </row>
        <row r="196">
          <cell r="A196">
            <v>43160</v>
          </cell>
          <cell r="B196">
            <v>43179</v>
          </cell>
          <cell r="C196">
            <v>43180</v>
          </cell>
          <cell r="D196">
            <v>43181</v>
          </cell>
          <cell r="E196">
            <v>43182</v>
          </cell>
          <cell r="F196">
            <v>43183</v>
          </cell>
          <cell r="G196">
            <v>3.3600000000000003</v>
          </cell>
          <cell r="H196">
            <v>3.3400000000000003</v>
          </cell>
          <cell r="I196">
            <v>3.3</v>
          </cell>
          <cell r="J196">
            <v>3.3099999999999996</v>
          </cell>
          <cell r="K196" t="e">
            <v>#N/A</v>
          </cell>
          <cell r="L196">
            <v>-2.0000000000000018E-2</v>
          </cell>
        </row>
        <row r="197">
          <cell r="A197">
            <v>43191</v>
          </cell>
          <cell r="B197">
            <v>43217</v>
          </cell>
          <cell r="C197">
            <v>43218</v>
          </cell>
          <cell r="D197">
            <v>43219</v>
          </cell>
          <cell r="E197">
            <v>43220</v>
          </cell>
          <cell r="F197">
            <v>43221</v>
          </cell>
          <cell r="G197">
            <v>2.7</v>
          </cell>
          <cell r="H197" t="e">
            <v>#N/A</v>
          </cell>
          <cell r="I197" t="e">
            <v>#N/A</v>
          </cell>
          <cell r="J197">
            <v>2.76</v>
          </cell>
          <cell r="K197" t="e">
            <v>#N/A</v>
          </cell>
          <cell r="L197">
            <v>5.9999999999999609E-2</v>
          </cell>
        </row>
        <row r="198">
          <cell r="A198">
            <v>43221</v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e">
            <v>#N/A</v>
          </cell>
          <cell r="H198" t="e">
            <v>#N/A</v>
          </cell>
          <cell r="I198" t="e">
            <v>#N/A</v>
          </cell>
          <cell r="J198" t="e">
            <v>#N/A</v>
          </cell>
          <cell r="K198" t="e">
            <v>#N/A</v>
          </cell>
          <cell r="L198" t="str">
            <v/>
          </cell>
        </row>
        <row r="199">
          <cell r="A199">
            <v>43252</v>
          </cell>
          <cell r="B199">
            <v>43280</v>
          </cell>
          <cell r="C199">
            <v>43281</v>
          </cell>
          <cell r="D199">
            <v>43282</v>
          </cell>
          <cell r="E199">
            <v>43283</v>
          </cell>
          <cell r="F199">
            <v>43284</v>
          </cell>
          <cell r="G199">
            <v>2.95</v>
          </cell>
          <cell r="H199" t="e">
            <v>#N/A</v>
          </cell>
          <cell r="I199" t="e">
            <v>#N/A</v>
          </cell>
          <cell r="J199" t="e">
            <v>#N/A</v>
          </cell>
          <cell r="K199">
            <v>2.74</v>
          </cell>
          <cell r="L199">
            <v>-0.20999999999999996</v>
          </cell>
        </row>
        <row r="200">
          <cell r="A200">
            <v>43282</v>
          </cell>
          <cell r="B200">
            <v>43308</v>
          </cell>
          <cell r="C200">
            <v>43309</v>
          </cell>
          <cell r="D200">
            <v>43310</v>
          </cell>
          <cell r="E200">
            <v>43311</v>
          </cell>
          <cell r="F200">
            <v>43312</v>
          </cell>
          <cell r="G200">
            <v>2.5199999999999996</v>
          </cell>
          <cell r="H200" t="e">
            <v>#N/A</v>
          </cell>
          <cell r="I200" t="e">
            <v>#N/A</v>
          </cell>
          <cell r="J200">
            <v>2.23</v>
          </cell>
          <cell r="K200">
            <v>2.95</v>
          </cell>
          <cell r="L200">
            <v>-0.28999999999999959</v>
          </cell>
        </row>
        <row r="201">
          <cell r="A201">
            <v>43313</v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e">
            <v>#N/A</v>
          </cell>
          <cell r="H201" t="e">
            <v>#N/A</v>
          </cell>
          <cell r="I201" t="e">
            <v>#N/A</v>
          </cell>
          <cell r="J201" t="e">
            <v>#N/A</v>
          </cell>
          <cell r="K201" t="e">
            <v>#N/A</v>
          </cell>
          <cell r="L201" t="str">
            <v/>
          </cell>
        </row>
        <row r="202">
          <cell r="A202">
            <v>43344</v>
          </cell>
          <cell r="B202">
            <v>43371</v>
          </cell>
          <cell r="C202">
            <v>43372</v>
          </cell>
          <cell r="D202">
            <v>43373</v>
          </cell>
          <cell r="E202">
            <v>43374</v>
          </cell>
          <cell r="F202">
            <v>43375</v>
          </cell>
          <cell r="G202">
            <v>3.6399999999999997</v>
          </cell>
          <cell r="H202" t="e">
            <v>#N/A</v>
          </cell>
          <cell r="I202" t="e">
            <v>#N/A</v>
          </cell>
          <cell r="J202">
            <v>3.6400000000000006</v>
          </cell>
          <cell r="K202">
            <v>3.6799999999999997</v>
          </cell>
          <cell r="L202">
            <v>8.8817841970012523E-16</v>
          </cell>
        </row>
        <row r="203">
          <cell r="A203">
            <v>43374</v>
          </cell>
          <cell r="B203">
            <v>43399</v>
          </cell>
          <cell r="C203">
            <v>43400</v>
          </cell>
          <cell r="D203">
            <v>43401</v>
          </cell>
          <cell r="E203">
            <v>43402</v>
          </cell>
          <cell r="F203">
            <v>43403</v>
          </cell>
          <cell r="G203">
            <v>3.8200000000000003</v>
          </cell>
          <cell r="H203" t="e">
            <v>#N/A</v>
          </cell>
          <cell r="I203" t="e">
            <v>#N/A</v>
          </cell>
          <cell r="J203">
            <v>3.8199999999999994</v>
          </cell>
          <cell r="K203">
            <v>3.87</v>
          </cell>
          <cell r="L203">
            <v>-8.8817841970012523E-16</v>
          </cell>
        </row>
        <row r="204">
          <cell r="A204">
            <v>43405</v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e">
            <v>#N/A</v>
          </cell>
          <cell r="H204" t="e">
            <v>#N/A</v>
          </cell>
          <cell r="I204" t="e">
            <v>#N/A</v>
          </cell>
          <cell r="J204" t="e">
            <v>#N/A</v>
          </cell>
          <cell r="K204" t="e">
            <v>#N/A</v>
          </cell>
          <cell r="L204" t="str">
            <v/>
          </cell>
        </row>
        <row r="205">
          <cell r="A205">
            <v>43435</v>
          </cell>
          <cell r="B205">
            <v>43455</v>
          </cell>
          <cell r="C205">
            <v>43456</v>
          </cell>
          <cell r="D205">
            <v>43457</v>
          </cell>
          <cell r="E205">
            <v>43458</v>
          </cell>
          <cell r="F205">
            <v>43459</v>
          </cell>
          <cell r="G205">
            <v>4.04</v>
          </cell>
          <cell r="H205" t="e">
            <v>#N/A</v>
          </cell>
          <cell r="I205" t="e">
            <v>#N/A</v>
          </cell>
          <cell r="J205">
            <v>4.84</v>
          </cell>
          <cell r="K205" t="e">
            <v>#N/A</v>
          </cell>
          <cell r="L205">
            <v>0.79999999999999982</v>
          </cell>
        </row>
        <row r="206">
          <cell r="A206">
            <v>43466</v>
          </cell>
          <cell r="B206">
            <v>43496</v>
          </cell>
          <cell r="C206">
            <v>43497</v>
          </cell>
          <cell r="D206">
            <v>43498</v>
          </cell>
          <cell r="E206">
            <v>43499</v>
          </cell>
          <cell r="F206">
            <v>43500</v>
          </cell>
          <cell r="G206">
            <v>3.3800000000000003</v>
          </cell>
          <cell r="H206">
            <v>3.5199999999999996</v>
          </cell>
          <cell r="I206" t="e">
            <v>#N/A</v>
          </cell>
          <cell r="J206" t="e">
            <v>#N/A</v>
          </cell>
          <cell r="K206">
            <v>3.6500000000000004</v>
          </cell>
          <cell r="L206">
            <v>0.13999999999999924</v>
          </cell>
        </row>
        <row r="207">
          <cell r="A207">
            <v>43497</v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e">
            <v>#N/A</v>
          </cell>
          <cell r="H207" t="e">
            <v>#N/A</v>
          </cell>
          <cell r="I207" t="e">
            <v>#N/A</v>
          </cell>
          <cell r="J207" t="e">
            <v>#N/A</v>
          </cell>
          <cell r="K207" t="e">
            <v>#N/A</v>
          </cell>
          <cell r="L207" t="str">
            <v/>
          </cell>
        </row>
        <row r="208">
          <cell r="A208">
            <v>43525</v>
          </cell>
          <cell r="B208">
            <v>43546</v>
          </cell>
          <cell r="C208">
            <v>43547</v>
          </cell>
          <cell r="D208">
            <v>43548</v>
          </cell>
          <cell r="E208">
            <v>43549</v>
          </cell>
          <cell r="F208">
            <v>43550</v>
          </cell>
          <cell r="G208">
            <v>2.9</v>
          </cell>
          <cell r="H208" t="e">
            <v>#N/A</v>
          </cell>
          <cell r="I208" t="e">
            <v>#N/A</v>
          </cell>
          <cell r="J208" t="e">
            <v>#N/A</v>
          </cell>
          <cell r="K208">
            <v>2.8100000000000005</v>
          </cell>
          <cell r="L208">
            <v>-8.9999999999999414E-2</v>
          </cell>
        </row>
        <row r="209">
          <cell r="A209">
            <v>43556</v>
          </cell>
          <cell r="B209">
            <v>43581</v>
          </cell>
          <cell r="C209">
            <v>43582</v>
          </cell>
          <cell r="D209">
            <v>43583</v>
          </cell>
          <cell r="E209">
            <v>43584</v>
          </cell>
          <cell r="F209">
            <v>43585</v>
          </cell>
          <cell r="G209">
            <v>2.8</v>
          </cell>
          <cell r="H209" t="e">
            <v>#N/A</v>
          </cell>
          <cell r="I209" t="e">
            <v>#N/A</v>
          </cell>
          <cell r="J209">
            <v>2.9299999999999997</v>
          </cell>
          <cell r="K209">
            <v>2.84</v>
          </cell>
          <cell r="L209">
            <v>0.12999999999999989</v>
          </cell>
        </row>
        <row r="210">
          <cell r="A210">
            <v>43586</v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e">
            <v>#N/A</v>
          </cell>
          <cell r="H210" t="e">
            <v>#N/A</v>
          </cell>
          <cell r="I210" t="e">
            <v>#N/A</v>
          </cell>
          <cell r="J210" t="e">
            <v>#N/A</v>
          </cell>
          <cell r="K210" t="e">
            <v>#N/A</v>
          </cell>
          <cell r="L210" t="str">
            <v/>
          </cell>
        </row>
        <row r="211">
          <cell r="A211">
            <v>43617</v>
          </cell>
          <cell r="B211">
            <v>43637</v>
          </cell>
          <cell r="C211">
            <v>43638</v>
          </cell>
          <cell r="D211">
            <v>43639</v>
          </cell>
          <cell r="E211">
            <v>43640</v>
          </cell>
          <cell r="F211">
            <v>43641</v>
          </cell>
          <cell r="G211">
            <v>2.67</v>
          </cell>
          <cell r="H211" t="e">
            <v>#N/A</v>
          </cell>
          <cell r="I211" t="e">
            <v>#N/A</v>
          </cell>
          <cell r="J211" t="e">
            <v>#N/A</v>
          </cell>
          <cell r="K211">
            <v>2.76</v>
          </cell>
          <cell r="L211">
            <v>8.9999999999999858E-2</v>
          </cell>
        </row>
        <row r="212">
          <cell r="A212">
            <v>43647</v>
          </cell>
          <cell r="B212">
            <v>43673</v>
          </cell>
          <cell r="C212">
            <v>43674</v>
          </cell>
          <cell r="D212">
            <v>43675</v>
          </cell>
          <cell r="E212">
            <v>43676</v>
          </cell>
          <cell r="F212">
            <v>43677</v>
          </cell>
          <cell r="G212" t="e">
            <v>#N/A</v>
          </cell>
          <cell r="H212" t="e">
            <v>#N/A</v>
          </cell>
          <cell r="I212">
            <v>3.0100000000000002</v>
          </cell>
          <cell r="J212">
            <v>2.95</v>
          </cell>
          <cell r="K212">
            <v>2.9000000000000004</v>
          </cell>
          <cell r="L212" t="str">
            <v/>
          </cell>
        </row>
        <row r="213">
          <cell r="A213">
            <v>43678</v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e">
            <v>#N/A</v>
          </cell>
          <cell r="H213" t="e">
            <v>#N/A</v>
          </cell>
          <cell r="I213" t="e">
            <v>#N/A</v>
          </cell>
          <cell r="J213" t="e">
            <v>#N/A</v>
          </cell>
          <cell r="K213" t="e">
            <v>#N/A</v>
          </cell>
          <cell r="L213" t="str">
            <v/>
          </cell>
        </row>
        <row r="214">
          <cell r="A214">
            <v>43709</v>
          </cell>
          <cell r="B214">
            <v>43731</v>
          </cell>
          <cell r="C214">
            <v>43732</v>
          </cell>
          <cell r="D214">
            <v>43733</v>
          </cell>
          <cell r="E214">
            <v>43734</v>
          </cell>
          <cell r="F214">
            <v>43735</v>
          </cell>
          <cell r="G214">
            <v>3.1199999999999997</v>
          </cell>
          <cell r="H214">
            <v>3.1300000000000003</v>
          </cell>
          <cell r="I214">
            <v>3.17</v>
          </cell>
          <cell r="J214">
            <v>3.1700000000000004</v>
          </cell>
          <cell r="K214">
            <v>3.1499999999999995</v>
          </cell>
          <cell r="L214">
            <v>1.0000000000000675E-2</v>
          </cell>
        </row>
        <row r="215">
          <cell r="A215">
            <v>43739</v>
          </cell>
          <cell r="B215">
            <v>43769</v>
          </cell>
          <cell r="C215">
            <v>43770</v>
          </cell>
          <cell r="D215">
            <v>43771</v>
          </cell>
          <cell r="E215">
            <v>43772</v>
          </cell>
          <cell r="F215">
            <v>43773</v>
          </cell>
          <cell r="G215">
            <v>3.2299999999999995</v>
          </cell>
          <cell r="H215">
            <v>4.5</v>
          </cell>
          <cell r="I215" t="e">
            <v>#N/A</v>
          </cell>
          <cell r="J215" t="e">
            <v>#N/A</v>
          </cell>
          <cell r="K215" t="e">
            <v>#N/A</v>
          </cell>
          <cell r="L215">
            <v>1.2700000000000005</v>
          </cell>
        </row>
        <row r="216">
          <cell r="A216">
            <v>43770</v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e">
            <v>#N/A</v>
          </cell>
          <cell r="H216" t="e">
            <v>#N/A</v>
          </cell>
          <cell r="I216" t="e">
            <v>#N/A</v>
          </cell>
          <cell r="J216" t="e">
            <v>#N/A</v>
          </cell>
          <cell r="K216" t="e">
            <v>#N/A</v>
          </cell>
          <cell r="L216" t="str">
            <v/>
          </cell>
        </row>
        <row r="217">
          <cell r="A217">
            <v>43800</v>
          </cell>
          <cell r="B217">
            <v>43819</v>
          </cell>
          <cell r="C217">
            <v>43820</v>
          </cell>
          <cell r="D217">
            <v>43821</v>
          </cell>
          <cell r="E217">
            <v>43822</v>
          </cell>
          <cell r="F217">
            <v>43823</v>
          </cell>
          <cell r="G217">
            <v>3.4899999999999998</v>
          </cell>
          <cell r="H217" t="e">
            <v>#N/A</v>
          </cell>
          <cell r="I217" t="e">
            <v>#N/A</v>
          </cell>
          <cell r="J217">
            <v>4.5199999999999996</v>
          </cell>
          <cell r="K217">
            <v>4.5199999999999996</v>
          </cell>
          <cell r="L217">
            <v>1.0299999999999998</v>
          </cell>
        </row>
        <row r="218">
          <cell r="A218">
            <v>43831</v>
          </cell>
          <cell r="B218">
            <v>43861</v>
          </cell>
          <cell r="C218">
            <v>43862</v>
          </cell>
          <cell r="D218">
            <v>43863</v>
          </cell>
          <cell r="E218">
            <v>43864</v>
          </cell>
          <cell r="F218">
            <v>43865</v>
          </cell>
          <cell r="G218">
            <v>3.6100000000000003</v>
          </cell>
          <cell r="H218" t="e">
            <v>#N/A</v>
          </cell>
          <cell r="I218" t="e">
            <v>#N/A</v>
          </cell>
          <cell r="J218">
            <v>3.42</v>
          </cell>
          <cell r="K218">
            <v>3.58</v>
          </cell>
          <cell r="L218">
            <v>-0.19000000000000039</v>
          </cell>
        </row>
        <row r="219">
          <cell r="A219">
            <v>43862</v>
          </cell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e">
            <v>#N/A</v>
          </cell>
          <cell r="H219" t="e">
            <v>#N/A</v>
          </cell>
          <cell r="I219" t="e">
            <v>#N/A</v>
          </cell>
          <cell r="J219" t="e">
            <v>#N/A</v>
          </cell>
          <cell r="K219" t="e">
            <v>#N/A</v>
          </cell>
          <cell r="L219" t="str">
            <v/>
          </cell>
        </row>
        <row r="220">
          <cell r="A220">
            <v>43891</v>
          </cell>
          <cell r="B220">
            <v>43917</v>
          </cell>
          <cell r="C220">
            <v>43918</v>
          </cell>
          <cell r="D220">
            <v>43919</v>
          </cell>
          <cell r="E220">
            <v>43920</v>
          </cell>
          <cell r="F220">
            <v>43921</v>
          </cell>
          <cell r="G220">
            <v>2.42</v>
          </cell>
          <cell r="H220" t="e">
            <v>#N/A</v>
          </cell>
          <cell r="I220" t="e">
            <v>#N/A</v>
          </cell>
          <cell r="J220">
            <v>2.4899999999999998</v>
          </cell>
          <cell r="K220">
            <v>2.5</v>
          </cell>
          <cell r="L220">
            <v>6.999999999999984E-2</v>
          </cell>
        </row>
        <row r="221">
          <cell r="A221">
            <v>43922</v>
          </cell>
          <cell r="B221">
            <v>43951</v>
          </cell>
          <cell r="C221">
            <v>43952</v>
          </cell>
          <cell r="D221">
            <v>43953</v>
          </cell>
          <cell r="E221">
            <v>43954</v>
          </cell>
          <cell r="F221">
            <v>43955</v>
          </cell>
          <cell r="G221">
            <v>2.0299999999999998</v>
          </cell>
          <cell r="H221" t="e">
            <v>#N/A</v>
          </cell>
          <cell r="I221" t="e">
            <v>#N/A</v>
          </cell>
          <cell r="J221" t="e">
            <v>#N/A</v>
          </cell>
          <cell r="K221">
            <v>2.16</v>
          </cell>
          <cell r="L221">
            <v>0.13000000000000034</v>
          </cell>
        </row>
        <row r="222">
          <cell r="A222">
            <v>43952</v>
          </cell>
          <cell r="B222">
            <v>43980</v>
          </cell>
          <cell r="C222">
            <v>43981</v>
          </cell>
          <cell r="D222">
            <v>43982</v>
          </cell>
          <cell r="E222">
            <v>43983</v>
          </cell>
          <cell r="F222">
            <v>43984</v>
          </cell>
          <cell r="G222">
            <v>1.2099999999999997</v>
          </cell>
          <cell r="H222" t="e">
            <v>#N/A</v>
          </cell>
          <cell r="I222" t="e">
            <v>#N/A</v>
          </cell>
          <cell r="J222">
            <v>1.0599999999999998</v>
          </cell>
          <cell r="K222">
            <v>1.2699999999999998</v>
          </cell>
          <cell r="L222">
            <v>-0.14999999999999991</v>
          </cell>
        </row>
        <row r="223">
          <cell r="A223">
            <v>43983</v>
          </cell>
          <cell r="B223">
            <v>44012</v>
          </cell>
          <cell r="C223">
            <v>44013</v>
          </cell>
          <cell r="D223">
            <v>44014</v>
          </cell>
          <cell r="E223">
            <v>44015</v>
          </cell>
          <cell r="F223">
            <v>44016</v>
          </cell>
          <cell r="G223">
            <v>0.77</v>
          </cell>
          <cell r="H223">
            <v>0.90999999999999992</v>
          </cell>
          <cell r="I223">
            <v>0.82999999999999985</v>
          </cell>
          <cell r="J223">
            <v>0.76</v>
          </cell>
          <cell r="K223" t="e">
            <v>#N/A</v>
          </cell>
          <cell r="L223">
            <v>0.1399999999999999</v>
          </cell>
        </row>
        <row r="224">
          <cell r="A224">
            <v>44013</v>
          </cell>
          <cell r="B224">
            <v>44043</v>
          </cell>
          <cell r="C224">
            <v>44044</v>
          </cell>
          <cell r="D224">
            <v>44045</v>
          </cell>
          <cell r="E224">
            <v>44046</v>
          </cell>
          <cell r="F224">
            <v>44047</v>
          </cell>
          <cell r="G224">
            <v>0.84999999999999987</v>
          </cell>
          <cell r="H224" t="e">
            <v>#N/A</v>
          </cell>
          <cell r="I224" t="e">
            <v>#N/A</v>
          </cell>
          <cell r="J224">
            <v>1.0199999999999998</v>
          </cell>
          <cell r="K224">
            <v>0.89999999999999991</v>
          </cell>
          <cell r="L224">
            <v>0.16999999999999993</v>
          </cell>
        </row>
        <row r="225">
          <cell r="A225">
            <v>44044</v>
          </cell>
          <cell r="B225">
            <v>44074</v>
          </cell>
          <cell r="C225">
            <v>44075</v>
          </cell>
          <cell r="D225">
            <v>44076</v>
          </cell>
          <cell r="E225">
            <v>44077</v>
          </cell>
          <cell r="F225">
            <v>44078</v>
          </cell>
          <cell r="G225">
            <v>1.5899999999999999</v>
          </cell>
          <cell r="H225">
            <v>1.69</v>
          </cell>
          <cell r="I225">
            <v>1.78</v>
          </cell>
          <cell r="J225">
            <v>1.3699999999999999</v>
          </cell>
          <cell r="K225">
            <v>1.71</v>
          </cell>
          <cell r="L225">
            <v>0.10000000000000009</v>
          </cell>
        </row>
        <row r="226">
          <cell r="A226">
            <v>44075</v>
          </cell>
          <cell r="B226">
            <v>44099</v>
          </cell>
          <cell r="C226">
            <v>44100</v>
          </cell>
          <cell r="D226">
            <v>44101</v>
          </cell>
          <cell r="E226">
            <v>44102</v>
          </cell>
          <cell r="F226">
            <v>44103</v>
          </cell>
          <cell r="G226">
            <v>1.4100000000000001</v>
          </cell>
          <cell r="H226" t="e">
            <v>#N/A</v>
          </cell>
          <cell r="I226" t="e">
            <v>#N/A</v>
          </cell>
          <cell r="J226">
            <v>1.27</v>
          </cell>
          <cell r="K226">
            <v>1.3399999999999999</v>
          </cell>
          <cell r="L226">
            <v>-0.14000000000000012</v>
          </cell>
        </row>
        <row r="227">
          <cell r="A227">
            <v>44105</v>
          </cell>
          <cell r="B227">
            <v>44134</v>
          </cell>
          <cell r="C227">
            <v>44135</v>
          </cell>
          <cell r="D227">
            <v>44136</v>
          </cell>
          <cell r="E227">
            <v>44137</v>
          </cell>
          <cell r="F227">
            <v>44138</v>
          </cell>
          <cell r="G227">
            <v>2.0100000000000002</v>
          </cell>
          <cell r="H227" t="e">
            <v>#N/A</v>
          </cell>
          <cell r="I227" t="e">
            <v>#N/A</v>
          </cell>
          <cell r="J227" t="e">
            <v>#N/A</v>
          </cell>
          <cell r="K227">
            <v>1.9800000000000002</v>
          </cell>
          <cell r="L227">
            <v>-3.0000000000000027E-2</v>
          </cell>
        </row>
        <row r="228">
          <cell r="A228">
            <v>44136</v>
          </cell>
          <cell r="B228">
            <v>44162</v>
          </cell>
          <cell r="C228">
            <v>44163</v>
          </cell>
          <cell r="D228">
            <v>44164</v>
          </cell>
          <cell r="E228">
            <v>44165</v>
          </cell>
          <cell r="F228">
            <v>44166</v>
          </cell>
          <cell r="G228">
            <v>1.8099999999999998</v>
          </cell>
          <cell r="H228" t="e">
            <v>#N/A</v>
          </cell>
          <cell r="I228" t="e">
            <v>#N/A</v>
          </cell>
          <cell r="J228">
            <v>1.81</v>
          </cell>
          <cell r="K228">
            <v>1.8199999999999998</v>
          </cell>
          <cell r="L228">
            <v>2.2204460492503131E-16</v>
          </cell>
        </row>
        <row r="229">
          <cell r="A229">
            <v>44166</v>
          </cell>
          <cell r="B229">
            <v>44183</v>
          </cell>
          <cell r="C229">
            <v>44184</v>
          </cell>
          <cell r="D229">
            <v>44185</v>
          </cell>
          <cell r="E229">
            <v>44186</v>
          </cell>
          <cell r="F229">
            <v>44187</v>
          </cell>
          <cell r="G229">
            <v>1.95</v>
          </cell>
          <cell r="H229" t="e">
            <v>#N/A</v>
          </cell>
          <cell r="I229" t="e">
            <v>#N/A</v>
          </cell>
          <cell r="J229">
            <v>2.08</v>
          </cell>
          <cell r="K229">
            <v>1.4999999999999998</v>
          </cell>
          <cell r="L229">
            <v>0.13000000000000012</v>
          </cell>
        </row>
        <row r="230">
          <cell r="A230">
            <v>44197</v>
          </cell>
          <cell r="B230">
            <v>44225</v>
          </cell>
          <cell r="C230">
            <v>44226</v>
          </cell>
          <cell r="D230">
            <v>44227</v>
          </cell>
          <cell r="E230">
            <v>44228</v>
          </cell>
          <cell r="F230">
            <v>44229</v>
          </cell>
          <cell r="G230">
            <v>2.13</v>
          </cell>
          <cell r="H230" t="e">
            <v>#N/A</v>
          </cell>
          <cell r="I230" t="e">
            <v>#N/A</v>
          </cell>
          <cell r="J230">
            <v>2.14</v>
          </cell>
          <cell r="K230">
            <v>2</v>
          </cell>
          <cell r="L230">
            <v>1.0000000000000231E-2</v>
          </cell>
        </row>
        <row r="231">
          <cell r="A231">
            <v>44228</v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e">
            <v>#N/A</v>
          </cell>
          <cell r="H231" t="e">
            <v>#N/A</v>
          </cell>
          <cell r="I231" t="e">
            <v>#N/A</v>
          </cell>
          <cell r="J231" t="e">
            <v>#N/A</v>
          </cell>
          <cell r="K231" t="e">
            <v>#N/A</v>
          </cell>
          <cell r="L231" t="str">
            <v/>
          </cell>
        </row>
        <row r="232">
          <cell r="A232">
            <v>44256</v>
          </cell>
          <cell r="B232">
            <v>44281</v>
          </cell>
          <cell r="C232">
            <v>44282</v>
          </cell>
          <cell r="D232">
            <v>44283</v>
          </cell>
          <cell r="E232">
            <v>44284</v>
          </cell>
          <cell r="F232">
            <v>44285</v>
          </cell>
          <cell r="G232">
            <v>1.9500000000000002</v>
          </cell>
          <cell r="H232" t="e">
            <v>#N/A</v>
          </cell>
          <cell r="I232" t="e">
            <v>#N/A</v>
          </cell>
          <cell r="J232">
            <v>2.09</v>
          </cell>
          <cell r="K232">
            <v>1.9500000000000002</v>
          </cell>
          <cell r="L232">
            <v>0.13999999999999968</v>
          </cell>
        </row>
        <row r="233">
          <cell r="A233">
            <v>44287</v>
          </cell>
          <cell r="B233">
            <v>44316</v>
          </cell>
          <cell r="C233">
            <v>44317</v>
          </cell>
          <cell r="D233">
            <v>44318</v>
          </cell>
          <cell r="E233">
            <v>44319</v>
          </cell>
          <cell r="F233">
            <v>44320</v>
          </cell>
          <cell r="G233">
            <v>1.77</v>
          </cell>
          <cell r="H233" t="e">
            <v>#N/A</v>
          </cell>
          <cell r="I233" t="e">
            <v>#N/A</v>
          </cell>
          <cell r="J233">
            <v>1.9300000000000002</v>
          </cell>
          <cell r="K233">
            <v>1.8000000000000003</v>
          </cell>
          <cell r="L233">
            <v>0.16000000000000014</v>
          </cell>
        </row>
        <row r="234">
          <cell r="A234">
            <v>44317</v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str">
            <v/>
          </cell>
        </row>
        <row r="235">
          <cell r="A235">
            <v>44348</v>
          </cell>
          <cell r="B235">
            <v>44375</v>
          </cell>
          <cell r="C235">
            <v>44376</v>
          </cell>
          <cell r="D235">
            <v>44377</v>
          </cell>
          <cell r="E235">
            <v>44378</v>
          </cell>
          <cell r="F235">
            <v>44379</v>
          </cell>
          <cell r="G235">
            <v>2.3499999999999996</v>
          </cell>
          <cell r="H235">
            <v>2.44</v>
          </cell>
          <cell r="I235">
            <v>2.36</v>
          </cell>
          <cell r="J235">
            <v>2.29</v>
          </cell>
          <cell r="K235">
            <v>2.25</v>
          </cell>
          <cell r="L235">
            <v>9.0000000000000302E-2</v>
          </cell>
        </row>
        <row r="236">
          <cell r="A236">
            <v>44378</v>
          </cell>
          <cell r="B236">
            <v>44407</v>
          </cell>
          <cell r="C236">
            <v>44408</v>
          </cell>
          <cell r="D236">
            <v>44409</v>
          </cell>
          <cell r="E236">
            <v>44410</v>
          </cell>
          <cell r="F236">
            <v>44411</v>
          </cell>
          <cell r="G236">
            <v>2.12</v>
          </cell>
          <cell r="H236" t="e">
            <v>#N/A</v>
          </cell>
          <cell r="I236" t="e">
            <v>#N/A</v>
          </cell>
          <cell r="J236">
            <v>2.1500000000000004</v>
          </cell>
          <cell r="K236">
            <v>2.1</v>
          </cell>
          <cell r="L236">
            <v>3.0000000000000249E-2</v>
          </cell>
        </row>
        <row r="237">
          <cell r="A237">
            <v>44409</v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e">
            <v>#N/A</v>
          </cell>
          <cell r="H237" t="e">
            <v>#N/A</v>
          </cell>
          <cell r="I237" t="e">
            <v>#N/A</v>
          </cell>
          <cell r="J237" t="e">
            <v>#N/A</v>
          </cell>
          <cell r="K237" t="e">
            <v>#N/A</v>
          </cell>
          <cell r="L237" t="str">
            <v/>
          </cell>
        </row>
        <row r="238">
          <cell r="A238">
            <v>44440</v>
          </cell>
          <cell r="B238">
            <v>44469</v>
          </cell>
          <cell r="C238">
            <v>44470</v>
          </cell>
          <cell r="D238">
            <v>44471</v>
          </cell>
          <cell r="E238">
            <v>44472</v>
          </cell>
          <cell r="F238">
            <v>44473</v>
          </cell>
          <cell r="G238">
            <v>2.75</v>
          </cell>
          <cell r="H238">
            <v>2.79</v>
          </cell>
          <cell r="I238" t="e">
            <v>#N/A</v>
          </cell>
          <cell r="J238" t="e">
            <v>#N/A</v>
          </cell>
          <cell r="K238">
            <v>2.88</v>
          </cell>
          <cell r="L238">
            <v>4.0000000000000036E-2</v>
          </cell>
        </row>
        <row r="239">
          <cell r="A239">
            <v>44470</v>
          </cell>
          <cell r="B239">
            <v>44498</v>
          </cell>
          <cell r="C239">
            <v>44499</v>
          </cell>
          <cell r="D239">
            <v>44500</v>
          </cell>
          <cell r="E239">
            <v>44501</v>
          </cell>
          <cell r="F239">
            <v>44502</v>
          </cell>
          <cell r="G239">
            <v>3.5199999999999996</v>
          </cell>
          <cell r="H239" t="e">
            <v>#N/A</v>
          </cell>
          <cell r="I239" t="e">
            <v>#N/A</v>
          </cell>
          <cell r="J239" t="e">
            <v>#N/A</v>
          </cell>
          <cell r="K239">
            <v>3.6799999999999997</v>
          </cell>
          <cell r="L239">
            <v>0.16000000000000014</v>
          </cell>
        </row>
        <row r="240">
          <cell r="A240">
            <v>44501</v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str">
            <v/>
          </cell>
        </row>
        <row r="241">
          <cell r="A241">
            <v>44531</v>
          </cell>
          <cell r="B241">
            <v>44547</v>
          </cell>
          <cell r="C241">
            <v>44548</v>
          </cell>
          <cell r="D241">
            <v>44549</v>
          </cell>
          <cell r="E241">
            <v>44550</v>
          </cell>
          <cell r="F241">
            <v>44551</v>
          </cell>
          <cell r="G241">
            <v>4.2399999999999993</v>
          </cell>
          <cell r="H241" t="e">
            <v>#N/A</v>
          </cell>
          <cell r="I241" t="e">
            <v>#N/A</v>
          </cell>
          <cell r="J241">
            <v>4.33</v>
          </cell>
          <cell r="K241">
            <v>4.37</v>
          </cell>
          <cell r="L241">
            <v>9.0000000000000746E-2</v>
          </cell>
        </row>
        <row r="242">
          <cell r="A242">
            <v>44562</v>
          </cell>
          <cell r="B242">
            <v>44589</v>
          </cell>
          <cell r="C242">
            <v>44590</v>
          </cell>
          <cell r="D242">
            <v>44591</v>
          </cell>
          <cell r="E242">
            <v>44592</v>
          </cell>
          <cell r="F242">
            <v>44593</v>
          </cell>
          <cell r="G242">
            <v>5.08</v>
          </cell>
          <cell r="H242" t="e">
            <v>#N/A</v>
          </cell>
          <cell r="I242" t="e">
            <v>#N/A</v>
          </cell>
          <cell r="J242">
            <v>5.16</v>
          </cell>
          <cell r="K242">
            <v>5.17</v>
          </cell>
          <cell r="L242">
            <v>8.0000000000000071E-2</v>
          </cell>
        </row>
        <row r="243">
          <cell r="A243">
            <v>44593</v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str">
            <v/>
          </cell>
        </row>
        <row r="244">
          <cell r="A244">
            <v>44621</v>
          </cell>
          <cell r="B244">
            <v>44651</v>
          </cell>
          <cell r="C244">
            <v>44652</v>
          </cell>
          <cell r="D244">
            <v>44653</v>
          </cell>
          <cell r="E244">
            <v>44654</v>
          </cell>
          <cell r="F244">
            <v>44655</v>
          </cell>
          <cell r="G244">
            <v>6.52</v>
          </cell>
          <cell r="H244">
            <v>6.2200000000000006</v>
          </cell>
          <cell r="I244" t="e">
            <v>#N/A</v>
          </cell>
          <cell r="J244" t="e">
            <v>#N/A</v>
          </cell>
          <cell r="K244">
            <v>6.0299999999999994</v>
          </cell>
          <cell r="L244">
            <v>-0.29999999999999893</v>
          </cell>
        </row>
        <row r="245">
          <cell r="A245">
            <v>44652</v>
          </cell>
          <cell r="B245">
            <v>44680</v>
          </cell>
          <cell r="C245">
            <v>44681</v>
          </cell>
          <cell r="D245">
            <v>44682</v>
          </cell>
          <cell r="E245">
            <v>44683</v>
          </cell>
          <cell r="F245">
            <v>44684</v>
          </cell>
          <cell r="G245">
            <v>6.879999999999999</v>
          </cell>
          <cell r="H245" t="e">
            <v>#N/A</v>
          </cell>
          <cell r="I245" t="e">
            <v>#N/A</v>
          </cell>
          <cell r="J245">
            <v>7.08</v>
          </cell>
          <cell r="K245">
            <v>7.05</v>
          </cell>
          <cell r="L245">
            <v>0.20000000000000107</v>
          </cell>
        </row>
        <row r="246">
          <cell r="A246">
            <v>44682</v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e">
            <v>#N/A</v>
          </cell>
          <cell r="H246" t="e">
            <v>#N/A</v>
          </cell>
          <cell r="I246" t="e">
            <v>#N/A</v>
          </cell>
          <cell r="J246" t="e">
            <v>#N/A</v>
          </cell>
          <cell r="K246" t="e">
            <v>#N/A</v>
          </cell>
          <cell r="L246" t="str">
            <v/>
          </cell>
        </row>
        <row r="247">
          <cell r="A247">
            <v>44713</v>
          </cell>
          <cell r="B247">
            <v>44742</v>
          </cell>
          <cell r="C247">
            <v>44743</v>
          </cell>
          <cell r="D247">
            <v>44744</v>
          </cell>
          <cell r="E247">
            <v>44745</v>
          </cell>
          <cell r="F247">
            <v>44746</v>
          </cell>
          <cell r="G247">
            <v>7.68</v>
          </cell>
          <cell r="H247">
            <v>7.6899999999999995</v>
          </cell>
          <cell r="I247" t="e">
            <v>#N/A</v>
          </cell>
          <cell r="J247" t="e">
            <v>#N/A</v>
          </cell>
          <cell r="K247" t="e">
            <v>#N/A</v>
          </cell>
          <cell r="L247">
            <v>9.9999999999997868E-3</v>
          </cell>
        </row>
        <row r="248">
          <cell r="A248">
            <v>44743</v>
          </cell>
          <cell r="B248">
            <v>44771</v>
          </cell>
          <cell r="C248">
            <v>44772</v>
          </cell>
          <cell r="D248">
            <v>44773</v>
          </cell>
          <cell r="E248">
            <v>44774</v>
          </cell>
          <cell r="F248">
            <v>44775</v>
          </cell>
          <cell r="G248">
            <v>7.57</v>
          </cell>
          <cell r="H248" t="e">
            <v>#N/A</v>
          </cell>
          <cell r="I248" t="e">
            <v>#N/A</v>
          </cell>
          <cell r="J248">
            <v>7.51</v>
          </cell>
          <cell r="K248">
            <v>7.5699999999999994</v>
          </cell>
          <cell r="L248">
            <v>-6.0000000000000497E-2</v>
          </cell>
        </row>
        <row r="249">
          <cell r="A249">
            <v>44774</v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e">
            <v>#N/A</v>
          </cell>
          <cell r="H249" t="e">
            <v>#N/A</v>
          </cell>
          <cell r="I249" t="e">
            <v>#N/A</v>
          </cell>
          <cell r="J249" t="e">
            <v>#N/A</v>
          </cell>
          <cell r="K249" t="e">
            <v>#N/A</v>
          </cell>
          <cell r="L249" t="str">
            <v/>
          </cell>
        </row>
        <row r="250">
          <cell r="A250">
            <v>44805</v>
          </cell>
          <cell r="B250">
            <v>44833</v>
          </cell>
          <cell r="C250">
            <v>44834</v>
          </cell>
          <cell r="D250">
            <v>44835</v>
          </cell>
          <cell r="E250">
            <v>44836</v>
          </cell>
          <cell r="F250">
            <v>44837</v>
          </cell>
          <cell r="G250">
            <v>9.6999999999999993</v>
          </cell>
          <cell r="H250">
            <v>9.5300000000000011</v>
          </cell>
          <cell r="I250" t="e">
            <v>#N/A</v>
          </cell>
          <cell r="J250" t="e">
            <v>#N/A</v>
          </cell>
          <cell r="K250">
            <v>9.4599999999999991</v>
          </cell>
          <cell r="L250">
            <v>-0.16999999999999815</v>
          </cell>
        </row>
        <row r="251">
          <cell r="A251">
            <v>44835</v>
          </cell>
          <cell r="B251">
            <v>44862</v>
          </cell>
          <cell r="C251">
            <v>44863</v>
          </cell>
          <cell r="D251">
            <v>44864</v>
          </cell>
          <cell r="E251">
            <v>44865</v>
          </cell>
          <cell r="F251">
            <v>44866</v>
          </cell>
          <cell r="G251">
            <v>9.4699999999999989</v>
          </cell>
          <cell r="H251" t="e">
            <v>#N/A</v>
          </cell>
          <cell r="I251" t="e">
            <v>#N/A</v>
          </cell>
          <cell r="J251">
            <v>9.6</v>
          </cell>
          <cell r="K251">
            <v>9.7100000000000009</v>
          </cell>
          <cell r="L251">
            <v>0.13000000000000078</v>
          </cell>
        </row>
        <row r="252">
          <cell r="A252">
            <v>44866</v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e">
            <v>#N/A</v>
          </cell>
          <cell r="H252" t="e">
            <v>#N/A</v>
          </cell>
          <cell r="I252" t="e">
            <v>#N/A</v>
          </cell>
          <cell r="J252" t="e">
            <v>#N/A</v>
          </cell>
          <cell r="K252" t="e">
            <v>#N/A</v>
          </cell>
          <cell r="L252" t="str">
            <v/>
          </cell>
        </row>
        <row r="253">
          <cell r="A253">
            <v>44896</v>
          </cell>
          <cell r="B253">
            <v>44911</v>
          </cell>
          <cell r="C253">
            <v>44912</v>
          </cell>
          <cell r="D253">
            <v>44913</v>
          </cell>
          <cell r="E253">
            <v>44914</v>
          </cell>
          <cell r="F253">
            <v>44915</v>
          </cell>
          <cell r="G253">
            <v>8.3999999999999986</v>
          </cell>
          <cell r="H253" t="e">
            <v>#N/A</v>
          </cell>
          <cell r="I253" t="e">
            <v>#N/A</v>
          </cell>
          <cell r="J253">
            <v>8.4</v>
          </cell>
          <cell r="K253">
            <v>8.2900000000000009</v>
          </cell>
          <cell r="L253">
            <v>1.7763568394002505E-15</v>
          </cell>
        </row>
        <row r="254">
          <cell r="A254">
            <v>44927</v>
          </cell>
          <cell r="B254">
            <v>44953</v>
          </cell>
          <cell r="C254">
            <v>44954</v>
          </cell>
          <cell r="D254">
            <v>44955</v>
          </cell>
          <cell r="E254">
            <v>44956</v>
          </cell>
          <cell r="F254">
            <v>44957</v>
          </cell>
          <cell r="G254">
            <v>9.93</v>
          </cell>
          <cell r="H254" t="e">
            <v>#N/A</v>
          </cell>
          <cell r="I254" t="e">
            <v>#N/A</v>
          </cell>
          <cell r="J254">
            <v>10.059999999999999</v>
          </cell>
          <cell r="K254">
            <v>10.059999999999999</v>
          </cell>
          <cell r="L254">
            <v>0.12999999999999901</v>
          </cell>
        </row>
        <row r="255">
          <cell r="A255">
            <v>44958</v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e">
            <v>#N/A</v>
          </cell>
          <cell r="H255" t="e">
            <v>#N/A</v>
          </cell>
          <cell r="I255" t="e">
            <v>#N/A</v>
          </cell>
          <cell r="J255" t="e">
            <v>#N/A</v>
          </cell>
          <cell r="K255" t="e">
            <v>#N/A</v>
          </cell>
          <cell r="L255" t="str">
            <v/>
          </cell>
        </row>
        <row r="256">
          <cell r="A256">
            <v>44986</v>
          </cell>
          <cell r="B256">
            <v>45015</v>
          </cell>
          <cell r="C256">
            <v>45016</v>
          </cell>
          <cell r="D256">
            <v>45017</v>
          </cell>
          <cell r="E256">
            <v>45018</v>
          </cell>
          <cell r="F256">
            <v>45019</v>
          </cell>
          <cell r="G256">
            <v>8.41</v>
          </cell>
          <cell r="H256">
            <v>8.34</v>
          </cell>
          <cell r="I256" t="e">
            <v>#N/A</v>
          </cell>
          <cell r="J256" t="e">
            <v>#N/A</v>
          </cell>
          <cell r="K256">
            <v>8.26</v>
          </cell>
          <cell r="L256">
            <v>-7.0000000000000284E-2</v>
          </cell>
        </row>
        <row r="257">
          <cell r="A257">
            <v>45017</v>
          </cell>
          <cell r="B257">
            <v>45044</v>
          </cell>
          <cell r="C257">
            <v>45045</v>
          </cell>
          <cell r="D257">
            <v>45046</v>
          </cell>
          <cell r="E257">
            <v>45047</v>
          </cell>
          <cell r="F257">
            <v>45048</v>
          </cell>
          <cell r="G257">
            <v>7.95</v>
          </cell>
          <cell r="H257" t="e">
            <v>#N/A</v>
          </cell>
          <cell r="I257" t="e">
            <v>#N/A</v>
          </cell>
          <cell r="J257" t="e">
            <v>#N/A</v>
          </cell>
          <cell r="K257">
            <v>8.1100000000000012</v>
          </cell>
          <cell r="L257">
            <v>0.16000000000000103</v>
          </cell>
        </row>
        <row r="258">
          <cell r="A258">
            <v>45047</v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e">
            <v>#N/A</v>
          </cell>
          <cell r="H258" t="e">
            <v>#N/A</v>
          </cell>
          <cell r="I258" t="e">
            <v>#N/A</v>
          </cell>
          <cell r="J258" t="e">
            <v>#N/A</v>
          </cell>
          <cell r="K258" t="e">
            <v>#N/A</v>
          </cell>
          <cell r="L258" t="str">
            <v/>
          </cell>
        </row>
        <row r="259">
          <cell r="A259">
            <v>45078</v>
          </cell>
          <cell r="B259">
            <v>45107</v>
          </cell>
          <cell r="C259">
            <v>45108</v>
          </cell>
          <cell r="D259">
            <v>45109</v>
          </cell>
          <cell r="E259">
            <v>45110</v>
          </cell>
          <cell r="F259">
            <v>45111</v>
          </cell>
          <cell r="G259">
            <v>6.39</v>
          </cell>
          <cell r="H259" t="e">
            <v>#N/A</v>
          </cell>
          <cell r="I259" t="e">
            <v>#N/A</v>
          </cell>
          <cell r="J259" t="e">
            <v>#N/A</v>
          </cell>
          <cell r="K259">
            <v>6.5499999999999989</v>
          </cell>
          <cell r="L259">
            <v>0.15999999999999925</v>
          </cell>
        </row>
        <row r="260">
          <cell r="A260">
            <v>45108</v>
          </cell>
          <cell r="B260">
            <v>45138</v>
          </cell>
          <cell r="C260">
            <v>45139</v>
          </cell>
          <cell r="D260">
            <v>45140</v>
          </cell>
          <cell r="E260">
            <v>45141</v>
          </cell>
          <cell r="F260">
            <v>45142</v>
          </cell>
          <cell r="G260">
            <v>5.910000000000001</v>
          </cell>
          <cell r="H260">
            <v>5.98</v>
          </cell>
          <cell r="I260">
            <v>5.96</v>
          </cell>
          <cell r="J260">
            <v>5.82</v>
          </cell>
          <cell r="K260">
            <v>5.8100000000000005</v>
          </cell>
          <cell r="L260">
            <v>6.9999999999999396E-2</v>
          </cell>
        </row>
        <row r="261">
          <cell r="A261">
            <v>45139</v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e">
            <v>#N/A</v>
          </cell>
          <cell r="H261" t="e">
            <v>#N/A</v>
          </cell>
          <cell r="I261" t="e">
            <v>#N/A</v>
          </cell>
          <cell r="J261" t="e">
            <v>#N/A</v>
          </cell>
          <cell r="K261" t="e">
            <v>#N/A</v>
          </cell>
          <cell r="L261" t="str">
            <v/>
          </cell>
        </row>
        <row r="262">
          <cell r="A262">
            <v>45170</v>
          </cell>
          <cell r="B262">
            <v>45198</v>
          </cell>
          <cell r="C262">
            <v>45199</v>
          </cell>
          <cell r="D262">
            <v>45200</v>
          </cell>
          <cell r="E262">
            <v>45201</v>
          </cell>
          <cell r="F262">
            <v>45202</v>
          </cell>
          <cell r="G262">
            <v>6.81</v>
          </cell>
          <cell r="H262" t="e">
            <v>#N/A</v>
          </cell>
          <cell r="I262" t="e">
            <v>#N/A</v>
          </cell>
          <cell r="J262">
            <v>6.8800000000000008</v>
          </cell>
          <cell r="K262">
            <v>6.99</v>
          </cell>
          <cell r="L262">
            <v>7.0000000000001172E-2</v>
          </cell>
        </row>
        <row r="263">
          <cell r="A263">
            <v>45200</v>
          </cell>
          <cell r="B263">
            <v>45230</v>
          </cell>
          <cell r="C263">
            <v>45231</v>
          </cell>
          <cell r="D263">
            <v>45232</v>
          </cell>
          <cell r="E263">
            <v>45233</v>
          </cell>
          <cell r="F263">
            <v>45234</v>
          </cell>
          <cell r="G263">
            <v>7.0500000000000007</v>
          </cell>
          <cell r="H263">
            <v>7.1400000000000006</v>
          </cell>
          <cell r="I263">
            <v>7.1</v>
          </cell>
          <cell r="J263">
            <v>7.0799999999999992</v>
          </cell>
          <cell r="K263" t="e">
            <v>#N/A</v>
          </cell>
          <cell r="L263">
            <v>8.9999999999999858E-2</v>
          </cell>
        </row>
        <row r="264">
          <cell r="A264">
            <v>45231</v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e">
            <v>#N/A</v>
          </cell>
          <cell r="H264" t="e">
            <v>#N/A</v>
          </cell>
          <cell r="I264" t="e">
            <v>#N/A</v>
          </cell>
          <cell r="J264" t="e">
            <v>#N/A</v>
          </cell>
          <cell r="K264" t="e">
            <v>#N/A</v>
          </cell>
          <cell r="L264" t="str">
            <v/>
          </cell>
        </row>
        <row r="265">
          <cell r="A265">
            <v>45261</v>
          </cell>
          <cell r="B265">
            <v>45279</v>
          </cell>
          <cell r="C265">
            <v>45280</v>
          </cell>
          <cell r="D265">
            <v>45281</v>
          </cell>
          <cell r="E265">
            <v>45282</v>
          </cell>
          <cell r="F265">
            <v>45283</v>
          </cell>
          <cell r="G265">
            <v>6.6999999999999993</v>
          </cell>
          <cell r="H265">
            <v>6.73</v>
          </cell>
          <cell r="I265">
            <v>6.8900000000000006</v>
          </cell>
          <cell r="J265">
            <v>7</v>
          </cell>
          <cell r="K265" t="e">
            <v>#N/A</v>
          </cell>
          <cell r="L265">
            <v>3.0000000000001137E-2</v>
          </cell>
        </row>
        <row r="266">
          <cell r="A266">
            <v>45292</v>
          </cell>
          <cell r="B266">
            <v>45322</v>
          </cell>
          <cell r="C266">
            <v>45323</v>
          </cell>
          <cell r="D266">
            <v>45324</v>
          </cell>
          <cell r="E266">
            <v>45325</v>
          </cell>
          <cell r="F266">
            <v>45326</v>
          </cell>
          <cell r="G266">
            <v>7.1999999999999993</v>
          </cell>
          <cell r="H266">
            <v>7.14</v>
          </cell>
          <cell r="I266">
            <v>7.27</v>
          </cell>
          <cell r="J266" t="e">
            <v>#N/A</v>
          </cell>
          <cell r="K266" t="e">
            <v>#N/A</v>
          </cell>
          <cell r="L266">
            <v>-5.9999999999999609E-2</v>
          </cell>
        </row>
        <row r="267">
          <cell r="A267">
            <v>45323</v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e">
            <v>#N/A</v>
          </cell>
          <cell r="H267" t="e">
            <v>#N/A</v>
          </cell>
          <cell r="I267" t="e">
            <v>#N/A</v>
          </cell>
          <cell r="J267" t="e">
            <v>#N/A</v>
          </cell>
          <cell r="K267" t="e">
            <v>#N/A</v>
          </cell>
          <cell r="L267" t="str">
            <v/>
          </cell>
        </row>
        <row r="268">
          <cell r="A268">
            <v>45352</v>
          </cell>
          <cell r="B268">
            <v>45373</v>
          </cell>
          <cell r="C268">
            <v>45374</v>
          </cell>
          <cell r="D268">
            <v>45375</v>
          </cell>
          <cell r="E268">
            <v>45376</v>
          </cell>
          <cell r="F268">
            <v>45377</v>
          </cell>
          <cell r="G268">
            <v>6.1999999999999993</v>
          </cell>
          <cell r="H268" t="e">
            <v>#N/A</v>
          </cell>
          <cell r="I268" t="e">
            <v>#N/A</v>
          </cell>
          <cell r="J268" t="e">
            <v>#N/A</v>
          </cell>
          <cell r="K268">
            <v>6.2799999999999994</v>
          </cell>
          <cell r="L268">
            <v>8.0000000000000071E-2</v>
          </cell>
        </row>
        <row r="269">
          <cell r="A269">
            <v>45383</v>
          </cell>
          <cell r="B269">
            <v>45412</v>
          </cell>
          <cell r="C269">
            <v>45413</v>
          </cell>
          <cell r="D269">
            <v>45414</v>
          </cell>
          <cell r="E269">
            <v>45415</v>
          </cell>
          <cell r="F269">
            <v>45416</v>
          </cell>
          <cell r="G269">
            <v>6.1</v>
          </cell>
          <cell r="H269" t="e">
            <v>#N/A</v>
          </cell>
          <cell r="I269">
            <v>6.0699999999999994</v>
          </cell>
          <cell r="J269">
            <v>6.0500000000000007</v>
          </cell>
          <cell r="K269" t="e">
            <v>#N/A</v>
          </cell>
          <cell r="L269">
            <v>-3.0000000000000249E-2</v>
          </cell>
        </row>
        <row r="270">
          <cell r="A270">
            <v>45413</v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e">
            <v>#N/A</v>
          </cell>
          <cell r="H270" t="e">
            <v>#N/A</v>
          </cell>
          <cell r="I270" t="e">
            <v>#N/A</v>
          </cell>
          <cell r="J270" t="e">
            <v>#N/A</v>
          </cell>
          <cell r="K270" t="e">
            <v>#N/A</v>
          </cell>
          <cell r="L270" t="str">
            <v/>
          </cell>
        </row>
        <row r="271">
          <cell r="A271">
            <v>45444</v>
          </cell>
          <cell r="B271">
            <v>45471</v>
          </cell>
          <cell r="C271">
            <v>45472</v>
          </cell>
          <cell r="D271">
            <v>45473</v>
          </cell>
          <cell r="E271">
            <v>45474</v>
          </cell>
          <cell r="F271">
            <v>45475</v>
          </cell>
          <cell r="G271">
            <v>5.7899999999999991</v>
          </cell>
          <cell r="H271" t="e">
            <v>#N/A</v>
          </cell>
          <cell r="I271" t="e">
            <v>#N/A</v>
          </cell>
          <cell r="J271" t="e">
            <v>#N/A</v>
          </cell>
          <cell r="K271">
            <v>4.5599999999999996</v>
          </cell>
          <cell r="L271">
            <v>-1.2299999999999995</v>
          </cell>
        </row>
        <row r="272">
          <cell r="A272">
            <v>45474</v>
          </cell>
          <cell r="B272">
            <v>45504</v>
          </cell>
          <cell r="C272">
            <v>45505</v>
          </cell>
          <cell r="D272">
            <v>45506</v>
          </cell>
          <cell r="E272">
            <v>45507</v>
          </cell>
          <cell r="F272">
            <v>45508</v>
          </cell>
          <cell r="G272">
            <v>5.25</v>
          </cell>
          <cell r="H272">
            <v>5.2399999999999993</v>
          </cell>
          <cell r="I272">
            <v>5.18</v>
          </cell>
          <cell r="J272" t="e">
            <v>#N/A</v>
          </cell>
          <cell r="K272" t="e">
            <v>#N/A</v>
          </cell>
          <cell r="L272">
            <v>-1.0000000000000675E-2</v>
          </cell>
        </row>
        <row r="273">
          <cell r="A273">
            <v>45505</v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str">
            <v/>
          </cell>
        </row>
        <row r="274">
          <cell r="A274">
            <v>45536</v>
          </cell>
          <cell r="B274">
            <v>45565</v>
          </cell>
          <cell r="C274">
            <v>45566</v>
          </cell>
          <cell r="D274">
            <v>45567</v>
          </cell>
          <cell r="E274">
            <v>45568</v>
          </cell>
          <cell r="F274">
            <v>45569</v>
          </cell>
          <cell r="G274">
            <v>5.17</v>
          </cell>
          <cell r="H274">
            <v>5.18</v>
          </cell>
          <cell r="I274">
            <v>5.6000000000000005</v>
          </cell>
          <cell r="J274">
            <v>5.56</v>
          </cell>
          <cell r="K274">
            <v>5.42</v>
          </cell>
          <cell r="L274">
            <v>9.9999999999997868E-3</v>
          </cell>
        </row>
        <row r="275">
          <cell r="A275">
            <v>45566</v>
          </cell>
          <cell r="B275">
            <v>45596</v>
          </cell>
          <cell r="C275">
            <v>45597</v>
          </cell>
          <cell r="D275">
            <v>45598</v>
          </cell>
          <cell r="E275">
            <v>45599</v>
          </cell>
          <cell r="F275">
            <v>45600</v>
          </cell>
          <cell r="G275">
            <v>5.49</v>
          </cell>
          <cell r="H275">
            <v>5.66</v>
          </cell>
          <cell r="I275" t="e">
            <v>#N/A</v>
          </cell>
          <cell r="J275" t="e">
            <v>#N/A</v>
          </cell>
          <cell r="K275" t="e">
            <v>#N/A</v>
          </cell>
          <cell r="L275">
            <v>0.16999999999999993</v>
          </cell>
        </row>
        <row r="276">
          <cell r="A276">
            <v>45597</v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e">
            <v>#N/A</v>
          </cell>
          <cell r="H276" t="e">
            <v>#N/A</v>
          </cell>
          <cell r="I276" t="e">
            <v>#N/A</v>
          </cell>
          <cell r="J276" t="e">
            <v>#N/A</v>
          </cell>
          <cell r="K276" t="e">
            <v>#N/A</v>
          </cell>
          <cell r="L276" t="str">
            <v/>
          </cell>
        </row>
        <row r="277">
          <cell r="A277">
            <v>45627</v>
          </cell>
          <cell r="B277">
            <v>45646</v>
          </cell>
          <cell r="C277">
            <v>45647</v>
          </cell>
          <cell r="D277">
            <v>45648</v>
          </cell>
          <cell r="E277">
            <v>45649</v>
          </cell>
          <cell r="F277">
            <v>45650</v>
          </cell>
          <cell r="G277">
            <v>5.080000000000001</v>
          </cell>
          <cell r="H277" t="e">
            <v>#N/A</v>
          </cell>
          <cell r="I277" t="e">
            <v>#N/A</v>
          </cell>
          <cell r="J277">
            <v>6.17</v>
          </cell>
          <cell r="K277">
            <v>5.65</v>
          </cell>
          <cell r="L277">
            <v>1.089999999999999</v>
          </cell>
        </row>
        <row r="278">
          <cell r="A278">
            <v>45658</v>
          </cell>
          <cell r="B278">
            <v>45688</v>
          </cell>
          <cell r="C278">
            <v>45689</v>
          </cell>
          <cell r="D278">
            <v>45690</v>
          </cell>
          <cell r="E278">
            <v>45691</v>
          </cell>
          <cell r="F278">
            <v>45692</v>
          </cell>
          <cell r="G278">
            <v>6.42</v>
          </cell>
          <cell r="H278" t="e">
            <v>#N/A</v>
          </cell>
          <cell r="I278" t="e">
            <v>#N/A</v>
          </cell>
          <cell r="J278">
            <v>6.41</v>
          </cell>
          <cell r="K278">
            <v>6.3900000000000006</v>
          </cell>
          <cell r="L278">
            <v>-9.9999999999997868E-3</v>
          </cell>
        </row>
        <row r="279">
          <cell r="A279">
            <v>45689</v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e">
            <v>#N/A</v>
          </cell>
          <cell r="H279" t="e">
            <v>#N/A</v>
          </cell>
          <cell r="I279" t="e">
            <v>#N/A</v>
          </cell>
          <cell r="J279" t="e">
            <v>#N/A</v>
          </cell>
          <cell r="K279" t="e">
            <v>#N/A</v>
          </cell>
          <cell r="L279" t="str">
            <v/>
          </cell>
        </row>
        <row r="280">
          <cell r="A280">
            <v>45717</v>
          </cell>
          <cell r="B280">
            <v>45747</v>
          </cell>
          <cell r="C280">
            <v>45748</v>
          </cell>
          <cell r="D280">
            <v>45749</v>
          </cell>
          <cell r="E280">
            <v>45750</v>
          </cell>
          <cell r="F280">
            <v>45751</v>
          </cell>
          <cell r="G280">
            <v>4.99</v>
          </cell>
          <cell r="H280">
            <v>4.9799999999999995</v>
          </cell>
          <cell r="I280">
            <v>5.04</v>
          </cell>
          <cell r="J280">
            <v>4.9700000000000006</v>
          </cell>
          <cell r="K280">
            <v>4.95</v>
          </cell>
          <cell r="L280">
            <v>-1.0000000000000675E-2</v>
          </cell>
        </row>
        <row r="281">
          <cell r="A281">
            <v>45748</v>
          </cell>
          <cell r="B281">
            <v>45777</v>
          </cell>
          <cell r="C281">
            <v>45778</v>
          </cell>
          <cell r="D281">
            <v>45779</v>
          </cell>
          <cell r="E281">
            <v>45780</v>
          </cell>
          <cell r="F281">
            <v>45781</v>
          </cell>
          <cell r="G281">
            <v>4.5999999999999996</v>
          </cell>
          <cell r="H281" t="e">
            <v>#N/A</v>
          </cell>
          <cell r="I281">
            <v>5.0000000000000009</v>
          </cell>
          <cell r="J281" t="e">
            <v>#N/A</v>
          </cell>
          <cell r="K281" t="e">
            <v>#N/A</v>
          </cell>
          <cell r="L281">
            <v>0.40000000000000124</v>
          </cell>
        </row>
        <row r="282">
          <cell r="A282">
            <v>45778</v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e">
            <v>#N/A</v>
          </cell>
          <cell r="H282" t="e">
            <v>#N/A</v>
          </cell>
          <cell r="I282" t="e">
            <v>#N/A</v>
          </cell>
          <cell r="J282" t="e">
            <v>#N/A</v>
          </cell>
          <cell r="K282" t="e">
            <v>#N/A</v>
          </cell>
          <cell r="L282" t="str">
            <v/>
          </cell>
        </row>
        <row r="283">
          <cell r="A283">
            <v>45809</v>
          </cell>
          <cell r="B283">
            <v>45835</v>
          </cell>
          <cell r="C283">
            <v>45836</v>
          </cell>
          <cell r="D283">
            <v>45837</v>
          </cell>
          <cell r="E283">
            <v>45838</v>
          </cell>
          <cell r="F283">
            <v>45839</v>
          </cell>
          <cell r="G283">
            <v>4.08</v>
          </cell>
          <cell r="H283" t="e">
            <v>#N/A</v>
          </cell>
          <cell r="I283" t="e">
            <v>#N/A</v>
          </cell>
          <cell r="J283" t="e">
            <v>#N/A</v>
          </cell>
          <cell r="K283">
            <v>3.9800000000000004</v>
          </cell>
          <cell r="L283">
            <v>-9.9999999999999645E-2</v>
          </cell>
        </row>
        <row r="284">
          <cell r="A284">
            <v>45839</v>
          </cell>
          <cell r="B284">
            <v>45869</v>
          </cell>
          <cell r="C284">
            <v>45870</v>
          </cell>
          <cell r="D284">
            <v>45871</v>
          </cell>
          <cell r="E284">
            <v>45872</v>
          </cell>
          <cell r="F284">
            <v>45873</v>
          </cell>
          <cell r="G284">
            <v>3.8900000000000006</v>
          </cell>
          <cell r="H284">
            <v>3.7399999999999993</v>
          </cell>
          <cell r="I284" t="e">
            <v>#N/A</v>
          </cell>
          <cell r="J284" t="e">
            <v>#N/A</v>
          </cell>
          <cell r="K284">
            <v>3.8499999999999996</v>
          </cell>
          <cell r="L284">
            <v>-0.15000000000000124</v>
          </cell>
        </row>
        <row r="285">
          <cell r="A285">
            <v>45870</v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e">
            <v>#N/A</v>
          </cell>
          <cell r="H285" t="e">
            <v>#N/A</v>
          </cell>
          <cell r="I285" t="e">
            <v>#N/A</v>
          </cell>
          <cell r="J285" t="e">
            <v>#N/A</v>
          </cell>
          <cell r="K285" t="e">
            <v>#N/A</v>
          </cell>
          <cell r="L285" t="str">
            <v/>
          </cell>
        </row>
        <row r="286">
          <cell r="A286">
            <v>45901</v>
          </cell>
          <cell r="B286">
            <v>45930</v>
          </cell>
          <cell r="C286">
            <v>45931</v>
          </cell>
          <cell r="D286">
            <v>45932</v>
          </cell>
          <cell r="E286">
            <v>45933</v>
          </cell>
          <cell r="F286">
            <v>45934</v>
          </cell>
          <cell r="G286">
            <v>4.4399999999999995</v>
          </cell>
          <cell r="H286">
            <v>4.49</v>
          </cell>
          <cell r="I286">
            <v>4.6099999999999994</v>
          </cell>
          <cell r="J286">
            <v>4.74</v>
          </cell>
          <cell r="K286" t="e">
            <v>#N/A</v>
          </cell>
          <cell r="L286">
            <v>5.0000000000000711E-2</v>
          </cell>
        </row>
        <row r="287">
          <cell r="A287">
            <v>45931</v>
          </cell>
          <cell r="B287">
            <v>45961</v>
          </cell>
          <cell r="C287">
            <v>45962</v>
          </cell>
          <cell r="D287">
            <v>45963</v>
          </cell>
          <cell r="E287">
            <v>45964</v>
          </cell>
          <cell r="F287">
            <v>45965</v>
          </cell>
          <cell r="G287">
            <v>4.7999999999999989</v>
          </cell>
          <cell r="H287" t="e">
            <v>#N/A</v>
          </cell>
          <cell r="I287" t="e">
            <v>#N/A</v>
          </cell>
          <cell r="J287" t="e">
            <v>#N/A</v>
          </cell>
          <cell r="K287">
            <v>4.96</v>
          </cell>
          <cell r="L287">
            <v>0.16000000000000103</v>
          </cell>
        </row>
        <row r="288">
          <cell r="A288">
            <v>45962</v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e">
            <v>#N/A</v>
          </cell>
          <cell r="H288" t="e">
            <v>#N/A</v>
          </cell>
          <cell r="I288" t="e">
            <v>#N/A</v>
          </cell>
          <cell r="J288" t="e">
            <v>#N/A</v>
          </cell>
          <cell r="K288" t="e">
            <v>#N/A</v>
          </cell>
          <cell r="L288" t="str">
            <v/>
          </cell>
        </row>
        <row r="289">
          <cell r="A289">
            <v>45992</v>
          </cell>
          <cell r="B289">
            <v>46010</v>
          </cell>
          <cell r="C289">
            <v>46011</v>
          </cell>
          <cell r="D289">
            <v>46012</v>
          </cell>
          <cell r="E289">
            <v>46013</v>
          </cell>
          <cell r="F289">
            <v>46014</v>
          </cell>
          <cell r="G289">
            <v>4.830000000000001</v>
          </cell>
          <cell r="H289" t="e">
            <v>#N/A</v>
          </cell>
          <cell r="I289" t="e">
            <v>#N/A</v>
          </cell>
          <cell r="J289">
            <v>4.66</v>
          </cell>
          <cell r="K289">
            <v>4.6899999999999995</v>
          </cell>
          <cell r="L289">
            <v>-0.17000000000000082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BAB5-DC20-4B16-8A1D-02D9C65CF526}">
  <dimension ref="A1:I211"/>
  <sheetViews>
    <sheetView workbookViewId="0">
      <selection activeCell="I5" sqref="I5"/>
    </sheetView>
  </sheetViews>
  <sheetFormatPr baseColWidth="10" defaultRowHeight="15" x14ac:dyDescent="0.25"/>
  <cols>
    <col min="9" max="9" width="17.7109375" customWidth="1"/>
  </cols>
  <sheetData>
    <row r="1" spans="1:9" ht="17.25" x14ac:dyDescent="0.35">
      <c r="A1" t="s">
        <v>4</v>
      </c>
      <c r="B1" t="s">
        <v>5</v>
      </c>
      <c r="C1" t="s">
        <v>6</v>
      </c>
      <c r="D1" t="s">
        <v>7</v>
      </c>
      <c r="E1" s="1" t="s">
        <v>0</v>
      </c>
      <c r="F1" t="s">
        <v>1</v>
      </c>
      <c r="G1" t="s">
        <v>8</v>
      </c>
      <c r="H1" t="s">
        <v>2</v>
      </c>
      <c r="I1" t="s">
        <v>3</v>
      </c>
    </row>
    <row r="2" spans="1:9" ht="16.5" x14ac:dyDescent="0.3">
      <c r="A2" s="3">
        <f>DATE(YEAR(E2),MONTH(E2),1)</f>
        <v>39448</v>
      </c>
      <c r="B2">
        <f>YEAR(A2)</f>
        <v>2008</v>
      </c>
      <c r="C2">
        <f>MONTH(A2)</f>
        <v>1</v>
      </c>
      <c r="D2">
        <f>DAY(A2)</f>
        <v>1</v>
      </c>
      <c r="E2" s="2">
        <v>39472</v>
      </c>
      <c r="F2">
        <v>-3.9999999999999147E-2</v>
      </c>
      <c r="H2">
        <v>-9.6999999999999531E-2</v>
      </c>
      <c r="I2">
        <f>IFERROR(VLOOKUP(A2,#REF!,12,0)*1,0)</f>
        <v>0</v>
      </c>
    </row>
    <row r="3" spans="1:9" ht="16.5" x14ac:dyDescent="0.3">
      <c r="A3" s="3">
        <f t="shared" ref="A3:A66" si="0">DATE(YEAR(E3),MONTH(E3),1)</f>
        <v>39479</v>
      </c>
      <c r="B3">
        <f t="shared" ref="B3:B66" si="1">YEAR(A3)</f>
        <v>2008</v>
      </c>
      <c r="C3">
        <f t="shared" ref="C3:C66" si="2">MONTH(A3)</f>
        <v>2</v>
      </c>
      <c r="D3">
        <f t="shared" ref="D3:D66" si="3">DAY(A3)</f>
        <v>1</v>
      </c>
      <c r="E3" s="2">
        <v>39500</v>
      </c>
      <c r="F3">
        <v>0.16000000000000014</v>
      </c>
      <c r="H3">
        <v>0.11399999999999899</v>
      </c>
      <c r="I3">
        <f>IFERROR(VLOOKUP(A3,#REF!,12,0)*1,0)</f>
        <v>0</v>
      </c>
    </row>
    <row r="4" spans="1:9" ht="16.5" x14ac:dyDescent="0.3">
      <c r="A4" s="3">
        <f t="shared" si="0"/>
        <v>39508</v>
      </c>
      <c r="B4">
        <f t="shared" si="1"/>
        <v>2008</v>
      </c>
      <c r="C4">
        <f t="shared" si="2"/>
        <v>3</v>
      </c>
      <c r="D4">
        <f t="shared" si="3"/>
        <v>1</v>
      </c>
      <c r="E4" s="2">
        <v>39535</v>
      </c>
      <c r="F4">
        <v>0</v>
      </c>
      <c r="H4">
        <v>-8.9999999999999858E-2</v>
      </c>
      <c r="I4">
        <f>IFERROR(VLOOKUP(A4,#REF!,12,0)*1,0)</f>
        <v>0</v>
      </c>
    </row>
    <row r="5" spans="1:9" ht="16.5" x14ac:dyDescent="0.3">
      <c r="A5" s="3">
        <f t="shared" si="0"/>
        <v>39539</v>
      </c>
      <c r="B5">
        <f t="shared" si="1"/>
        <v>2008</v>
      </c>
      <c r="C5">
        <f t="shared" si="2"/>
        <v>4</v>
      </c>
      <c r="D5">
        <f t="shared" si="3"/>
        <v>1</v>
      </c>
      <c r="E5" s="2">
        <v>39563</v>
      </c>
      <c r="F5">
        <v>0</v>
      </c>
      <c r="H5">
        <v>-8.2000000000000739E-2</v>
      </c>
      <c r="I5">
        <f>IFERROR(VLOOKUP(A5,#REF!,12,0)*1,0)</f>
        <v>0</v>
      </c>
    </row>
    <row r="6" spans="1:9" ht="16.5" x14ac:dyDescent="0.3">
      <c r="A6" s="3">
        <f t="shared" si="0"/>
        <v>39569</v>
      </c>
      <c r="B6">
        <f t="shared" si="1"/>
        <v>2008</v>
      </c>
      <c r="C6">
        <f t="shared" si="2"/>
        <v>5</v>
      </c>
      <c r="D6">
        <f t="shared" si="3"/>
        <v>1</v>
      </c>
      <c r="E6" s="2">
        <v>39591</v>
      </c>
      <c r="F6">
        <v>-5.0000000000000711E-2</v>
      </c>
      <c r="H6">
        <v>-7.800000000000118E-2</v>
      </c>
      <c r="I6">
        <f>IFERROR(VLOOKUP(A6,#REF!,12,0)*1,0)</f>
        <v>0</v>
      </c>
    </row>
    <row r="7" spans="1:9" ht="16.5" x14ac:dyDescent="0.3">
      <c r="A7" s="3">
        <f t="shared" si="0"/>
        <v>39600</v>
      </c>
      <c r="B7">
        <f t="shared" si="1"/>
        <v>2008</v>
      </c>
      <c r="C7">
        <f t="shared" si="2"/>
        <v>6</v>
      </c>
      <c r="D7">
        <f t="shared" si="3"/>
        <v>1</v>
      </c>
      <c r="E7" s="2">
        <v>39619</v>
      </c>
      <c r="F7">
        <v>-9.9999999999999645E-2</v>
      </c>
      <c r="H7">
        <v>-7.800000000000118E-2</v>
      </c>
      <c r="I7">
        <f>IFERROR(VLOOKUP(A7,#REF!,12,0)*1,0)</f>
        <v>0</v>
      </c>
    </row>
    <row r="8" spans="1:9" ht="16.5" x14ac:dyDescent="0.3">
      <c r="A8" s="3">
        <f t="shared" si="0"/>
        <v>39630</v>
      </c>
      <c r="B8">
        <f t="shared" si="1"/>
        <v>2008</v>
      </c>
      <c r="C8">
        <f t="shared" si="2"/>
        <v>7</v>
      </c>
      <c r="D8">
        <f t="shared" si="3"/>
        <v>1</v>
      </c>
      <c r="E8" s="2">
        <v>39654</v>
      </c>
      <c r="F8">
        <v>0.13000000000000078</v>
      </c>
      <c r="H8">
        <v>0.16600000000000037</v>
      </c>
      <c r="I8">
        <f>IFERROR(VLOOKUP(A8,#REF!,12,0)*1,0)</f>
        <v>0</v>
      </c>
    </row>
    <row r="9" spans="1:9" ht="16.5" x14ac:dyDescent="0.3">
      <c r="A9" s="3">
        <f t="shared" si="0"/>
        <v>39661</v>
      </c>
      <c r="B9">
        <f t="shared" si="1"/>
        <v>2008</v>
      </c>
      <c r="C9">
        <f t="shared" si="2"/>
        <v>8</v>
      </c>
      <c r="D9">
        <f t="shared" si="3"/>
        <v>1</v>
      </c>
      <c r="E9" s="2">
        <v>39675</v>
      </c>
      <c r="F9">
        <v>-2.9999999999999361E-2</v>
      </c>
      <c r="H9">
        <v>-8.1000000000001293E-2</v>
      </c>
      <c r="I9">
        <f>IFERROR(VLOOKUP(A9,#REF!,12,0)*1,0)</f>
        <v>0</v>
      </c>
    </row>
    <row r="10" spans="1:9" ht="16.5" x14ac:dyDescent="0.3">
      <c r="A10" s="3">
        <f t="shared" si="0"/>
        <v>39692</v>
      </c>
      <c r="B10">
        <f t="shared" si="1"/>
        <v>2008</v>
      </c>
      <c r="C10">
        <f t="shared" si="2"/>
        <v>9</v>
      </c>
      <c r="D10">
        <f t="shared" si="3"/>
        <v>1</v>
      </c>
      <c r="E10" s="2">
        <v>39710</v>
      </c>
      <c r="F10">
        <v>0</v>
      </c>
      <c r="H10">
        <v>-7.0000000000000284E-2</v>
      </c>
      <c r="I10">
        <f>IFERROR(VLOOKUP(A10,#REF!,12,0)*1,0)</f>
        <v>0</v>
      </c>
    </row>
    <row r="11" spans="1:9" ht="16.5" x14ac:dyDescent="0.3">
      <c r="A11" s="3">
        <f t="shared" si="0"/>
        <v>39722</v>
      </c>
      <c r="B11">
        <f t="shared" si="1"/>
        <v>2008</v>
      </c>
      <c r="C11">
        <f t="shared" si="2"/>
        <v>10</v>
      </c>
      <c r="D11">
        <f t="shared" si="3"/>
        <v>1</v>
      </c>
      <c r="E11" s="2">
        <v>39745</v>
      </c>
      <c r="F11">
        <v>1.9999999999999574E-2</v>
      </c>
      <c r="H11">
        <v>-8.1000000000001293E-2</v>
      </c>
      <c r="I11">
        <f>IFERROR(VLOOKUP(A11,#REF!,12,0)*1,0)</f>
        <v>0</v>
      </c>
    </row>
    <row r="12" spans="1:9" ht="16.5" x14ac:dyDescent="0.3">
      <c r="A12" s="3">
        <f t="shared" si="0"/>
        <v>39753</v>
      </c>
      <c r="B12">
        <f t="shared" si="1"/>
        <v>2008</v>
      </c>
      <c r="C12">
        <f t="shared" si="2"/>
        <v>11</v>
      </c>
      <c r="D12">
        <f t="shared" si="3"/>
        <v>1</v>
      </c>
      <c r="E12" s="2">
        <v>39773</v>
      </c>
      <c r="F12">
        <v>3.9999999999999147E-2</v>
      </c>
      <c r="H12">
        <v>-5.7000000000000384E-2</v>
      </c>
      <c r="I12">
        <f>IFERROR(VLOOKUP(A12,#REF!,12,0)*1,0)</f>
        <v>0</v>
      </c>
    </row>
    <row r="13" spans="1:9" ht="16.5" x14ac:dyDescent="0.3">
      <c r="A13" s="3">
        <f t="shared" si="0"/>
        <v>39783</v>
      </c>
      <c r="B13">
        <f t="shared" si="1"/>
        <v>2008</v>
      </c>
      <c r="C13">
        <f t="shared" si="2"/>
        <v>12</v>
      </c>
      <c r="D13">
        <f t="shared" si="3"/>
        <v>1</v>
      </c>
      <c r="E13" s="2">
        <v>39801</v>
      </c>
      <c r="F13">
        <v>-0.38000000000000078</v>
      </c>
      <c r="H13">
        <v>-0.29499999999999993</v>
      </c>
      <c r="I13">
        <f>IFERROR(VLOOKUP(A13,#REF!,12,0)*1,0)</f>
        <v>0</v>
      </c>
    </row>
    <row r="14" spans="1:9" ht="16.5" x14ac:dyDescent="0.3">
      <c r="A14" s="3">
        <f t="shared" si="0"/>
        <v>39814</v>
      </c>
      <c r="B14">
        <f t="shared" si="1"/>
        <v>2009</v>
      </c>
      <c r="C14">
        <f t="shared" si="2"/>
        <v>1</v>
      </c>
      <c r="D14">
        <f t="shared" si="3"/>
        <v>1</v>
      </c>
      <c r="E14" s="2">
        <v>39843</v>
      </c>
      <c r="F14">
        <v>0</v>
      </c>
      <c r="H14">
        <v>-0.4480000000000004</v>
      </c>
      <c r="I14">
        <f>IFERROR(VLOOKUP(A14,#REF!,12,0)*1,0)</f>
        <v>0</v>
      </c>
    </row>
    <row r="15" spans="1:9" ht="16.5" x14ac:dyDescent="0.3">
      <c r="A15" s="3">
        <f t="shared" si="0"/>
        <v>39845</v>
      </c>
      <c r="B15">
        <f t="shared" si="1"/>
        <v>2009</v>
      </c>
      <c r="C15">
        <f t="shared" si="2"/>
        <v>2</v>
      </c>
      <c r="D15">
        <f t="shared" si="3"/>
        <v>1</v>
      </c>
      <c r="E15" s="2">
        <v>39871</v>
      </c>
      <c r="F15">
        <v>-0.5</v>
      </c>
      <c r="H15">
        <v>-1.0739999999999998</v>
      </c>
      <c r="I15">
        <f>IFERROR(VLOOKUP(A15,#REF!,12,0)*1,0)</f>
        <v>0</v>
      </c>
    </row>
    <row r="16" spans="1:9" ht="16.5" x14ac:dyDescent="0.3">
      <c r="A16" s="3">
        <f t="shared" si="0"/>
        <v>39873</v>
      </c>
      <c r="B16">
        <f t="shared" si="1"/>
        <v>2009</v>
      </c>
      <c r="C16">
        <f t="shared" si="2"/>
        <v>3</v>
      </c>
      <c r="D16">
        <f t="shared" si="3"/>
        <v>1</v>
      </c>
      <c r="E16" s="2">
        <v>39892</v>
      </c>
      <c r="F16">
        <v>0</v>
      </c>
      <c r="H16">
        <v>-1.0069999999999997</v>
      </c>
      <c r="I16">
        <f>IFERROR(VLOOKUP(A16,#REF!,12,0)*1,0)</f>
        <v>0</v>
      </c>
    </row>
    <row r="17" spans="1:9" ht="16.5" x14ac:dyDescent="0.3">
      <c r="A17" s="3">
        <f t="shared" si="0"/>
        <v>39904</v>
      </c>
      <c r="B17">
        <f t="shared" si="1"/>
        <v>2009</v>
      </c>
      <c r="C17">
        <f t="shared" si="2"/>
        <v>4</v>
      </c>
      <c r="D17">
        <f t="shared" si="3"/>
        <v>1</v>
      </c>
      <c r="E17" s="2">
        <v>39933</v>
      </c>
      <c r="F17">
        <v>0</v>
      </c>
      <c r="H17">
        <v>-1.0220000000000002</v>
      </c>
      <c r="I17">
        <f>IFERROR(VLOOKUP(A17,#REF!,12,0)*1,0)</f>
        <v>0</v>
      </c>
    </row>
    <row r="18" spans="1:9" ht="16.5" x14ac:dyDescent="0.3">
      <c r="A18" s="3">
        <f t="shared" si="0"/>
        <v>39934</v>
      </c>
      <c r="B18">
        <f t="shared" si="1"/>
        <v>2009</v>
      </c>
      <c r="C18">
        <f t="shared" si="2"/>
        <v>5</v>
      </c>
      <c r="D18">
        <f t="shared" si="3"/>
        <v>1</v>
      </c>
      <c r="E18" s="2">
        <v>39962</v>
      </c>
      <c r="F18">
        <v>0</v>
      </c>
      <c r="H18">
        <v>-1.0049999999999999</v>
      </c>
      <c r="I18">
        <f>IFERROR(VLOOKUP(A18,#REF!,12,0)*1,0)</f>
        <v>0</v>
      </c>
    </row>
    <row r="19" spans="1:9" ht="16.5" x14ac:dyDescent="0.3">
      <c r="A19" s="3">
        <f t="shared" si="0"/>
        <v>39965</v>
      </c>
      <c r="B19">
        <f t="shared" si="1"/>
        <v>2009</v>
      </c>
      <c r="C19">
        <f t="shared" si="2"/>
        <v>6</v>
      </c>
      <c r="D19">
        <f t="shared" si="3"/>
        <v>1</v>
      </c>
      <c r="E19" s="2">
        <v>39983</v>
      </c>
      <c r="F19">
        <v>0</v>
      </c>
      <c r="H19">
        <v>-0.52500000000000036</v>
      </c>
      <c r="I19">
        <f>IFERROR(VLOOKUP(A19,#REF!,12,0)*1,0)</f>
        <v>0</v>
      </c>
    </row>
    <row r="20" spans="1:9" ht="16.5" x14ac:dyDescent="0.3">
      <c r="A20" s="3">
        <f t="shared" si="0"/>
        <v>39995</v>
      </c>
      <c r="B20">
        <f t="shared" si="1"/>
        <v>2009</v>
      </c>
      <c r="C20">
        <f t="shared" si="2"/>
        <v>7</v>
      </c>
      <c r="D20">
        <f t="shared" si="3"/>
        <v>1</v>
      </c>
      <c r="E20" s="2">
        <v>40018</v>
      </c>
      <c r="F20">
        <v>0</v>
      </c>
      <c r="H20">
        <v>-1.9999999999997797E-3</v>
      </c>
      <c r="I20">
        <f>IFERROR(VLOOKUP(A20,#REF!,12,0)*1,0)</f>
        <v>0</v>
      </c>
    </row>
    <row r="21" spans="1:9" ht="16.5" x14ac:dyDescent="0.3">
      <c r="A21" s="3">
        <f t="shared" si="0"/>
        <v>40026</v>
      </c>
      <c r="B21">
        <f t="shared" si="1"/>
        <v>2009</v>
      </c>
      <c r="C21">
        <f t="shared" si="2"/>
        <v>8</v>
      </c>
      <c r="D21">
        <f t="shared" si="3"/>
        <v>1</v>
      </c>
      <c r="E21" s="2">
        <v>40053</v>
      </c>
      <c r="F21">
        <v>0</v>
      </c>
      <c r="H21">
        <v>0.16099999999999959</v>
      </c>
      <c r="I21">
        <f>IFERROR(VLOOKUP(A21,#REF!,12,0)*1,0)</f>
        <v>0</v>
      </c>
    </row>
    <row r="22" spans="1:9" ht="16.5" x14ac:dyDescent="0.3">
      <c r="A22" s="3">
        <f t="shared" si="0"/>
        <v>40057</v>
      </c>
      <c r="B22">
        <f t="shared" si="1"/>
        <v>2009</v>
      </c>
      <c r="C22">
        <f t="shared" si="2"/>
        <v>9</v>
      </c>
      <c r="D22">
        <f t="shared" si="3"/>
        <v>1</v>
      </c>
      <c r="E22" s="2">
        <v>40081</v>
      </c>
      <c r="F22">
        <v>-0.5</v>
      </c>
      <c r="H22">
        <v>-0.41900000000000048</v>
      </c>
      <c r="I22">
        <f>IFERROR(VLOOKUP(A22,#REF!,12,0)*1,0)</f>
        <v>0</v>
      </c>
    </row>
    <row r="23" spans="1:9" ht="16.5" x14ac:dyDescent="0.3">
      <c r="A23" s="3">
        <f t="shared" si="0"/>
        <v>40087</v>
      </c>
      <c r="B23">
        <f t="shared" si="1"/>
        <v>2009</v>
      </c>
      <c r="C23">
        <f t="shared" si="2"/>
        <v>10</v>
      </c>
      <c r="D23">
        <f t="shared" si="3"/>
        <v>1</v>
      </c>
      <c r="E23" s="2">
        <v>40109</v>
      </c>
      <c r="F23">
        <v>0</v>
      </c>
      <c r="H23">
        <v>-2.2000000000000242E-2</v>
      </c>
      <c r="I23">
        <f>IFERROR(VLOOKUP(A23,#REF!,12,0)*1,0)</f>
        <v>0</v>
      </c>
    </row>
    <row r="24" spans="1:9" ht="16.5" x14ac:dyDescent="0.3">
      <c r="A24" s="3">
        <f t="shared" si="0"/>
        <v>40118</v>
      </c>
      <c r="B24">
        <f t="shared" si="1"/>
        <v>2009</v>
      </c>
      <c r="C24">
        <f t="shared" si="2"/>
        <v>11</v>
      </c>
      <c r="D24">
        <f t="shared" si="3"/>
        <v>1</v>
      </c>
      <c r="E24" s="2">
        <v>40137</v>
      </c>
      <c r="F24">
        <v>-0.5</v>
      </c>
      <c r="H24">
        <v>-0.49800000000000022</v>
      </c>
      <c r="I24">
        <f>IFERROR(VLOOKUP(A24,#REF!,12,0)*1,0)</f>
        <v>0</v>
      </c>
    </row>
    <row r="25" spans="1:9" ht="16.5" x14ac:dyDescent="0.3">
      <c r="A25" s="3">
        <f t="shared" si="0"/>
        <v>40148</v>
      </c>
      <c r="B25">
        <f t="shared" si="1"/>
        <v>2009</v>
      </c>
      <c r="C25">
        <f t="shared" si="2"/>
        <v>12</v>
      </c>
      <c r="D25">
        <f t="shared" si="3"/>
        <v>1</v>
      </c>
      <c r="E25" s="2">
        <v>40165</v>
      </c>
      <c r="F25">
        <v>0</v>
      </c>
      <c r="H25">
        <v>0.20699999999999985</v>
      </c>
      <c r="I25">
        <f>IFERROR(VLOOKUP(A25,#REF!,12,0)*1,0)</f>
        <v>0</v>
      </c>
    </row>
    <row r="26" spans="1:9" ht="16.5" x14ac:dyDescent="0.3">
      <c r="A26" s="3">
        <f t="shared" si="0"/>
        <v>40179</v>
      </c>
      <c r="B26">
        <f t="shared" si="1"/>
        <v>2010</v>
      </c>
      <c r="C26">
        <f t="shared" si="2"/>
        <v>1</v>
      </c>
      <c r="D26">
        <f t="shared" si="3"/>
        <v>1</v>
      </c>
      <c r="E26" s="2">
        <v>40207</v>
      </c>
      <c r="F26">
        <v>0</v>
      </c>
      <c r="H26">
        <v>0.20699999999999985</v>
      </c>
      <c r="I26">
        <f>IFERROR(VLOOKUP(A26,#REF!,12,0)*1,0)</f>
        <v>0</v>
      </c>
    </row>
    <row r="27" spans="1:9" ht="16.5" x14ac:dyDescent="0.3">
      <c r="A27" s="3">
        <f t="shared" si="0"/>
        <v>40210</v>
      </c>
      <c r="B27">
        <f t="shared" si="1"/>
        <v>2010</v>
      </c>
      <c r="C27">
        <f t="shared" si="2"/>
        <v>2</v>
      </c>
      <c r="D27">
        <f t="shared" si="3"/>
        <v>1</v>
      </c>
      <c r="E27" s="2">
        <v>40235</v>
      </c>
      <c r="F27">
        <v>0</v>
      </c>
      <c r="H27">
        <v>0.11199999999999966</v>
      </c>
      <c r="I27">
        <f>IFERROR(VLOOKUP(A27,#REF!,12,0)*1,0)</f>
        <v>0</v>
      </c>
    </row>
    <row r="28" spans="1:9" ht="16.5" x14ac:dyDescent="0.3">
      <c r="A28" s="3">
        <f t="shared" si="0"/>
        <v>40238</v>
      </c>
      <c r="B28">
        <f t="shared" si="1"/>
        <v>2010</v>
      </c>
      <c r="C28">
        <f t="shared" si="2"/>
        <v>3</v>
      </c>
      <c r="D28">
        <f t="shared" si="3"/>
        <v>1</v>
      </c>
      <c r="E28" s="2">
        <v>40263</v>
      </c>
      <c r="F28">
        <v>0</v>
      </c>
      <c r="H28">
        <v>7.5999999999999623E-2</v>
      </c>
      <c r="I28">
        <f>IFERROR(VLOOKUP(A28,#REF!,12,0)*1,0)</f>
        <v>0</v>
      </c>
    </row>
    <row r="29" spans="1:9" ht="16.5" x14ac:dyDescent="0.3">
      <c r="A29" s="3">
        <f t="shared" si="0"/>
        <v>40269</v>
      </c>
      <c r="B29">
        <f t="shared" si="1"/>
        <v>2010</v>
      </c>
      <c r="C29">
        <f t="shared" si="2"/>
        <v>4</v>
      </c>
      <c r="D29">
        <f t="shared" si="3"/>
        <v>1</v>
      </c>
      <c r="E29" s="2">
        <v>40298</v>
      </c>
      <c r="F29">
        <v>-0.5</v>
      </c>
      <c r="H29">
        <v>-0.51800000000000024</v>
      </c>
      <c r="I29">
        <f>IFERROR(VLOOKUP(A29,#REF!,12,0)*1,0)</f>
        <v>0</v>
      </c>
    </row>
    <row r="30" spans="1:9" ht="16.5" x14ac:dyDescent="0.3">
      <c r="A30" s="3">
        <f t="shared" si="0"/>
        <v>40299</v>
      </c>
      <c r="B30">
        <f t="shared" si="1"/>
        <v>2010</v>
      </c>
      <c r="C30">
        <f t="shared" si="2"/>
        <v>5</v>
      </c>
      <c r="D30">
        <f t="shared" si="3"/>
        <v>1</v>
      </c>
      <c r="E30" s="2">
        <v>40325</v>
      </c>
      <c r="F30">
        <v>0</v>
      </c>
      <c r="H30">
        <v>-4.8000000000000043E-2</v>
      </c>
      <c r="I30">
        <f>IFERROR(VLOOKUP(A30,#REF!,12,0)*1,0)</f>
        <v>0</v>
      </c>
    </row>
    <row r="31" spans="1:9" ht="16.5" x14ac:dyDescent="0.3">
      <c r="A31" s="3">
        <f t="shared" si="0"/>
        <v>40330</v>
      </c>
      <c r="B31">
        <f t="shared" si="1"/>
        <v>2010</v>
      </c>
      <c r="C31">
        <f t="shared" si="2"/>
        <v>6</v>
      </c>
      <c r="D31">
        <f t="shared" si="3"/>
        <v>1</v>
      </c>
      <c r="E31" s="2">
        <v>40347</v>
      </c>
      <c r="F31">
        <v>0</v>
      </c>
      <c r="H31">
        <v>-4.8000000000000043E-2</v>
      </c>
      <c r="I31">
        <f>IFERROR(VLOOKUP(A31,#REF!,12,0)*1,0)</f>
        <v>0</v>
      </c>
    </row>
    <row r="32" spans="1:9" ht="16.5" x14ac:dyDescent="0.3">
      <c r="A32" s="3">
        <f t="shared" si="0"/>
        <v>40360</v>
      </c>
      <c r="B32">
        <f t="shared" si="1"/>
        <v>2010</v>
      </c>
      <c r="C32">
        <f t="shared" si="2"/>
        <v>7</v>
      </c>
      <c r="D32">
        <f t="shared" si="3"/>
        <v>1</v>
      </c>
      <c r="E32" s="2">
        <v>40382</v>
      </c>
      <c r="F32">
        <v>0</v>
      </c>
      <c r="H32">
        <v>-5.500000000000016E-2</v>
      </c>
      <c r="I32">
        <f>IFERROR(VLOOKUP(A32,#REF!,12,0)*1,0)</f>
        <v>0</v>
      </c>
    </row>
    <row r="33" spans="1:9" ht="16.5" x14ac:dyDescent="0.3">
      <c r="A33" s="3">
        <f t="shared" si="0"/>
        <v>40391</v>
      </c>
      <c r="B33">
        <f t="shared" si="1"/>
        <v>2010</v>
      </c>
      <c r="C33">
        <f t="shared" si="2"/>
        <v>8</v>
      </c>
      <c r="D33">
        <f t="shared" si="3"/>
        <v>1</v>
      </c>
      <c r="E33" s="2">
        <v>40410</v>
      </c>
      <c r="F33">
        <v>0</v>
      </c>
      <c r="H33">
        <v>-4.3000000000000149E-2</v>
      </c>
      <c r="I33">
        <f>IFERROR(VLOOKUP(A33,#REF!,12,0)*1,0)</f>
        <v>0</v>
      </c>
    </row>
    <row r="34" spans="1:9" ht="16.5" x14ac:dyDescent="0.3">
      <c r="A34" s="3">
        <f t="shared" si="0"/>
        <v>40422</v>
      </c>
      <c r="B34">
        <f t="shared" si="1"/>
        <v>2010</v>
      </c>
      <c r="C34">
        <f t="shared" si="2"/>
        <v>9</v>
      </c>
      <c r="D34">
        <f t="shared" si="3"/>
        <v>1</v>
      </c>
      <c r="E34" s="2">
        <v>40445</v>
      </c>
      <c r="F34">
        <v>0</v>
      </c>
      <c r="H34">
        <v>-6.2000000000000277E-2</v>
      </c>
      <c r="I34">
        <f>IFERROR(VLOOKUP(A34,#REF!,12,0)*1,0)</f>
        <v>0</v>
      </c>
    </row>
    <row r="35" spans="1:9" ht="16.5" x14ac:dyDescent="0.3">
      <c r="A35" s="3">
        <f t="shared" si="0"/>
        <v>40452</v>
      </c>
      <c r="B35">
        <f t="shared" si="1"/>
        <v>2010</v>
      </c>
      <c r="C35">
        <f t="shared" si="2"/>
        <v>10</v>
      </c>
      <c r="D35">
        <f t="shared" si="3"/>
        <v>1</v>
      </c>
      <c r="E35" s="2">
        <v>40480</v>
      </c>
      <c r="F35">
        <v>0</v>
      </c>
      <c r="H35">
        <v>-5.2000000000000046E-2</v>
      </c>
      <c r="I35">
        <f>IFERROR(VLOOKUP(A35,#REF!,12,0)*1,0)</f>
        <v>0</v>
      </c>
    </row>
    <row r="36" spans="1:9" ht="16.5" x14ac:dyDescent="0.3">
      <c r="A36" s="3">
        <f t="shared" si="0"/>
        <v>40483</v>
      </c>
      <c r="B36">
        <f t="shared" si="1"/>
        <v>2010</v>
      </c>
      <c r="C36">
        <f t="shared" si="2"/>
        <v>11</v>
      </c>
      <c r="D36">
        <f t="shared" si="3"/>
        <v>1</v>
      </c>
      <c r="E36" s="2">
        <v>40501</v>
      </c>
      <c r="F36">
        <v>0</v>
      </c>
      <c r="H36">
        <v>-4.8000000000000043E-2</v>
      </c>
      <c r="I36">
        <f>IFERROR(VLOOKUP(A36,#REF!,12,0)*1,0)</f>
        <v>0</v>
      </c>
    </row>
    <row r="37" spans="1:9" ht="16.5" x14ac:dyDescent="0.3">
      <c r="A37" s="3">
        <f t="shared" si="0"/>
        <v>40513</v>
      </c>
      <c r="B37">
        <f t="shared" si="1"/>
        <v>2010</v>
      </c>
      <c r="C37">
        <f t="shared" si="2"/>
        <v>12</v>
      </c>
      <c r="D37">
        <f t="shared" si="3"/>
        <v>1</v>
      </c>
      <c r="E37" s="2">
        <v>40529</v>
      </c>
      <c r="F37">
        <v>0</v>
      </c>
      <c r="H37">
        <v>-6.7000000000000171E-2</v>
      </c>
      <c r="I37">
        <f>IFERROR(VLOOKUP(A37,#REF!,12,0)*1,0)</f>
        <v>0</v>
      </c>
    </row>
    <row r="38" spans="1:9" ht="16.5" x14ac:dyDescent="0.3">
      <c r="A38" s="3">
        <f t="shared" si="0"/>
        <v>40544</v>
      </c>
      <c r="B38">
        <f t="shared" si="1"/>
        <v>2011</v>
      </c>
      <c r="C38">
        <f t="shared" si="2"/>
        <v>1</v>
      </c>
      <c r="D38">
        <f t="shared" si="3"/>
        <v>1</v>
      </c>
      <c r="E38" s="2">
        <v>40574</v>
      </c>
      <c r="F38">
        <v>0</v>
      </c>
      <c r="H38">
        <v>-6.4000000000000057E-2</v>
      </c>
      <c r="I38">
        <f>IFERROR(VLOOKUP(A38,#REF!,12,0)*1,0)</f>
        <v>0</v>
      </c>
    </row>
    <row r="39" spans="1:9" ht="16.5" x14ac:dyDescent="0.3">
      <c r="A39" s="3">
        <f t="shared" si="0"/>
        <v>40575</v>
      </c>
      <c r="B39">
        <f t="shared" si="1"/>
        <v>2011</v>
      </c>
      <c r="C39">
        <f t="shared" si="2"/>
        <v>2</v>
      </c>
      <c r="D39">
        <f t="shared" si="3"/>
        <v>1</v>
      </c>
      <c r="E39" s="2">
        <v>40599</v>
      </c>
      <c r="F39">
        <v>0.25</v>
      </c>
      <c r="H39">
        <v>0.16500000000000004</v>
      </c>
      <c r="I39">
        <f>IFERROR(VLOOKUP(A39,#REF!,12,0)*1,0)</f>
        <v>0</v>
      </c>
    </row>
    <row r="40" spans="1:9" ht="16.5" x14ac:dyDescent="0.3">
      <c r="A40" s="3">
        <f t="shared" si="0"/>
        <v>40603</v>
      </c>
      <c r="B40">
        <f t="shared" si="1"/>
        <v>2011</v>
      </c>
      <c r="C40">
        <f t="shared" si="2"/>
        <v>3</v>
      </c>
      <c r="D40">
        <f t="shared" si="3"/>
        <v>1</v>
      </c>
      <c r="E40" s="2">
        <v>40620</v>
      </c>
      <c r="F40">
        <v>0</v>
      </c>
      <c r="H40">
        <v>0.14900000000000002</v>
      </c>
      <c r="I40">
        <f>IFERROR(VLOOKUP(A40,#REF!,12,0)*1,0)</f>
        <v>0</v>
      </c>
    </row>
    <row r="41" spans="1:9" ht="16.5" x14ac:dyDescent="0.3">
      <c r="A41" s="3">
        <f t="shared" si="0"/>
        <v>40634</v>
      </c>
      <c r="B41">
        <f t="shared" si="1"/>
        <v>2011</v>
      </c>
      <c r="C41">
        <f t="shared" si="2"/>
        <v>4</v>
      </c>
      <c r="D41">
        <f t="shared" si="3"/>
        <v>1</v>
      </c>
      <c r="E41" s="2">
        <v>40662</v>
      </c>
      <c r="F41">
        <v>0</v>
      </c>
      <c r="H41">
        <v>4.9999999999999822E-2</v>
      </c>
      <c r="I41">
        <f>IFERROR(VLOOKUP(A41,#REF!,12,0)*1,0)</f>
        <v>0</v>
      </c>
    </row>
    <row r="42" spans="1:9" ht="16.5" x14ac:dyDescent="0.3">
      <c r="A42" s="3">
        <f t="shared" si="0"/>
        <v>40664</v>
      </c>
      <c r="B42">
        <f t="shared" si="1"/>
        <v>2011</v>
      </c>
      <c r="C42">
        <f t="shared" si="2"/>
        <v>5</v>
      </c>
      <c r="D42">
        <f t="shared" si="3"/>
        <v>1</v>
      </c>
      <c r="E42" s="2">
        <v>40693</v>
      </c>
      <c r="F42">
        <v>0</v>
      </c>
      <c r="H42">
        <v>7.6999999999999957E-2</v>
      </c>
      <c r="I42">
        <f>IFERROR(VLOOKUP(A42,#REF!,12,0)*1,0)</f>
        <v>0</v>
      </c>
    </row>
    <row r="43" spans="1:9" ht="16.5" x14ac:dyDescent="0.3">
      <c r="A43" s="3">
        <f t="shared" si="0"/>
        <v>40695</v>
      </c>
      <c r="B43">
        <f t="shared" si="1"/>
        <v>2011</v>
      </c>
      <c r="C43">
        <f t="shared" si="2"/>
        <v>6</v>
      </c>
      <c r="D43">
        <f t="shared" si="3"/>
        <v>1</v>
      </c>
      <c r="E43" s="2">
        <v>40711</v>
      </c>
      <c r="F43">
        <v>0</v>
      </c>
      <c r="H43">
        <v>0.11799999999999944</v>
      </c>
      <c r="I43">
        <f>IFERROR(VLOOKUP(A43,#REF!,12,0)*1,0)</f>
        <v>0</v>
      </c>
    </row>
    <row r="44" spans="1:9" ht="16.5" x14ac:dyDescent="0.3">
      <c r="A44" s="3">
        <f t="shared" si="0"/>
        <v>40725</v>
      </c>
      <c r="B44">
        <f t="shared" si="1"/>
        <v>2011</v>
      </c>
      <c r="C44">
        <f t="shared" si="2"/>
        <v>7</v>
      </c>
      <c r="D44">
        <f t="shared" si="3"/>
        <v>1</v>
      </c>
      <c r="E44" s="2">
        <v>40753</v>
      </c>
      <c r="F44">
        <v>0</v>
      </c>
      <c r="H44">
        <v>4.9999999999999822E-2</v>
      </c>
      <c r="I44">
        <f>IFERROR(VLOOKUP(A44,#REF!,12,0)*1,0)</f>
        <v>0</v>
      </c>
    </row>
    <row r="45" spans="1:9" ht="16.5" x14ac:dyDescent="0.3">
      <c r="A45" s="3">
        <f t="shared" si="0"/>
        <v>40756</v>
      </c>
      <c r="B45">
        <f t="shared" si="1"/>
        <v>2011</v>
      </c>
      <c r="C45">
        <f t="shared" si="2"/>
        <v>8</v>
      </c>
      <c r="D45">
        <f t="shared" si="3"/>
        <v>1</v>
      </c>
      <c r="E45" s="2">
        <v>40774</v>
      </c>
      <c r="F45">
        <v>-0.25</v>
      </c>
      <c r="H45">
        <v>-0.16000000000000014</v>
      </c>
      <c r="I45">
        <f>IFERROR(VLOOKUP(A45,#REF!,12,0)*1,0)</f>
        <v>0</v>
      </c>
    </row>
    <row r="46" spans="1:9" ht="16.5" x14ac:dyDescent="0.3">
      <c r="A46" s="3">
        <f t="shared" si="0"/>
        <v>40787</v>
      </c>
      <c r="B46">
        <f t="shared" si="1"/>
        <v>2011</v>
      </c>
      <c r="C46">
        <f t="shared" si="2"/>
        <v>9</v>
      </c>
      <c r="D46">
        <f t="shared" si="3"/>
        <v>1</v>
      </c>
      <c r="E46" s="2">
        <v>40816</v>
      </c>
      <c r="F46">
        <v>0</v>
      </c>
      <c r="H46">
        <v>-7.5000000000000178E-2</v>
      </c>
      <c r="I46">
        <f>IFERROR(VLOOKUP(A46,#REF!,12,0)*1,0)</f>
        <v>0</v>
      </c>
    </row>
    <row r="47" spans="1:9" ht="16.5" x14ac:dyDescent="0.3">
      <c r="A47" s="3">
        <f t="shared" si="0"/>
        <v>40817</v>
      </c>
      <c r="B47">
        <f t="shared" si="1"/>
        <v>2011</v>
      </c>
      <c r="C47">
        <f t="shared" si="2"/>
        <v>10</v>
      </c>
      <c r="D47">
        <f t="shared" si="3"/>
        <v>1</v>
      </c>
      <c r="E47" s="2">
        <v>40844</v>
      </c>
      <c r="F47">
        <v>0</v>
      </c>
      <c r="H47">
        <v>-0.10700000000000021</v>
      </c>
      <c r="I47">
        <f>IFERROR(VLOOKUP(A47,#REF!,12,0)*1,0)</f>
        <v>0</v>
      </c>
    </row>
    <row r="48" spans="1:9" ht="16.5" x14ac:dyDescent="0.3">
      <c r="A48" s="3">
        <f t="shared" si="0"/>
        <v>40848</v>
      </c>
      <c r="B48">
        <f t="shared" si="1"/>
        <v>2011</v>
      </c>
      <c r="C48">
        <f t="shared" si="2"/>
        <v>11</v>
      </c>
      <c r="D48">
        <f t="shared" si="3"/>
        <v>1</v>
      </c>
      <c r="E48" s="2">
        <v>40872</v>
      </c>
      <c r="F48">
        <v>0</v>
      </c>
      <c r="H48">
        <v>0.11099999999999977</v>
      </c>
      <c r="I48">
        <f>IFERROR(VLOOKUP(A48,#REF!,12,0)*1,0)</f>
        <v>0</v>
      </c>
    </row>
    <row r="49" spans="1:9" ht="16.5" x14ac:dyDescent="0.3">
      <c r="A49" s="3">
        <f t="shared" si="0"/>
        <v>40878</v>
      </c>
      <c r="B49">
        <f t="shared" si="1"/>
        <v>2011</v>
      </c>
      <c r="C49">
        <f t="shared" si="2"/>
        <v>12</v>
      </c>
      <c r="D49">
        <f t="shared" si="3"/>
        <v>1</v>
      </c>
      <c r="E49" s="2">
        <v>40893</v>
      </c>
      <c r="F49">
        <v>0</v>
      </c>
      <c r="H49">
        <v>-7.1000000000000618E-2</v>
      </c>
      <c r="I49">
        <f>IFERROR(VLOOKUP(A49,#REF!,12,0)*1,0)</f>
        <v>0</v>
      </c>
    </row>
    <row r="50" spans="1:9" ht="16.5" x14ac:dyDescent="0.3">
      <c r="A50" s="3">
        <f t="shared" si="0"/>
        <v>40909</v>
      </c>
      <c r="B50">
        <f t="shared" si="1"/>
        <v>2012</v>
      </c>
      <c r="C50">
        <f t="shared" si="2"/>
        <v>1</v>
      </c>
      <c r="D50">
        <f t="shared" si="3"/>
        <v>1</v>
      </c>
      <c r="E50" s="2">
        <v>40938</v>
      </c>
      <c r="F50">
        <v>0.25</v>
      </c>
      <c r="H50">
        <v>0.20999999999999996</v>
      </c>
      <c r="I50">
        <f>IFERROR(VLOOKUP(A50,#REF!,12,0)*1,0)</f>
        <v>0</v>
      </c>
    </row>
    <row r="51" spans="1:9" ht="16.5" x14ac:dyDescent="0.3">
      <c r="A51" s="3">
        <f t="shared" si="0"/>
        <v>40940</v>
      </c>
      <c r="B51">
        <f t="shared" si="1"/>
        <v>2012</v>
      </c>
      <c r="C51">
        <f t="shared" si="2"/>
        <v>2</v>
      </c>
      <c r="D51">
        <f t="shared" si="3"/>
        <v>1</v>
      </c>
      <c r="E51" s="2">
        <v>40963</v>
      </c>
      <c r="F51">
        <v>0</v>
      </c>
      <c r="H51">
        <v>0.16599999999999948</v>
      </c>
      <c r="I51">
        <f>IFERROR(VLOOKUP(A51,#REF!,12,0)*1,0)</f>
        <v>0</v>
      </c>
    </row>
    <row r="52" spans="1:9" ht="16.5" x14ac:dyDescent="0.3">
      <c r="A52" s="3">
        <f t="shared" si="0"/>
        <v>40969</v>
      </c>
      <c r="B52">
        <f t="shared" si="1"/>
        <v>2012</v>
      </c>
      <c r="C52">
        <f t="shared" si="2"/>
        <v>3</v>
      </c>
      <c r="D52">
        <f t="shared" si="3"/>
        <v>1</v>
      </c>
      <c r="E52" s="2">
        <v>40991</v>
      </c>
      <c r="F52">
        <v>0</v>
      </c>
      <c r="H52">
        <v>-8.0000000000000071E-3</v>
      </c>
      <c r="I52">
        <f>IFERROR(VLOOKUP(A52,#REF!,12,0)*1,0)</f>
        <v>0</v>
      </c>
    </row>
    <row r="53" spans="1:9" ht="16.5" x14ac:dyDescent="0.3">
      <c r="A53" s="3">
        <f t="shared" si="0"/>
        <v>41000</v>
      </c>
      <c r="B53">
        <f t="shared" si="1"/>
        <v>2012</v>
      </c>
      <c r="C53">
        <f t="shared" si="2"/>
        <v>4</v>
      </c>
      <c r="D53">
        <f t="shared" si="3"/>
        <v>1</v>
      </c>
      <c r="E53" s="2">
        <v>41029</v>
      </c>
      <c r="F53">
        <v>0</v>
      </c>
      <c r="H53">
        <v>-1.2999999999999901E-2</v>
      </c>
      <c r="I53">
        <f>IFERROR(VLOOKUP(A53,#REF!,12,0)*1,0)</f>
        <v>0</v>
      </c>
    </row>
    <row r="54" spans="1:9" ht="16.5" x14ac:dyDescent="0.3">
      <c r="A54" s="3">
        <f t="shared" si="0"/>
        <v>41030</v>
      </c>
      <c r="B54">
        <f t="shared" si="1"/>
        <v>2012</v>
      </c>
      <c r="C54">
        <f t="shared" si="2"/>
        <v>5</v>
      </c>
      <c r="D54">
        <f t="shared" si="3"/>
        <v>1</v>
      </c>
      <c r="E54" s="2">
        <v>41057</v>
      </c>
      <c r="F54">
        <v>0</v>
      </c>
      <c r="H54">
        <v>-2.0000000000000462E-2</v>
      </c>
      <c r="I54">
        <f>IFERROR(VLOOKUP(A54,#REF!,12,0)*1,0)</f>
        <v>0</v>
      </c>
    </row>
    <row r="55" spans="1:9" ht="16.5" x14ac:dyDescent="0.3">
      <c r="A55" s="3">
        <f t="shared" si="0"/>
        <v>41061</v>
      </c>
      <c r="B55">
        <f t="shared" si="1"/>
        <v>2012</v>
      </c>
      <c r="C55">
        <f t="shared" si="2"/>
        <v>6</v>
      </c>
      <c r="D55">
        <f t="shared" si="3"/>
        <v>1</v>
      </c>
      <c r="E55" s="2">
        <v>41089</v>
      </c>
      <c r="F55">
        <v>0</v>
      </c>
      <c r="H55">
        <v>-4.7000000000000597E-2</v>
      </c>
      <c r="I55">
        <f>IFERROR(VLOOKUP(A55,#REF!,12,0)*1,0)</f>
        <v>0</v>
      </c>
    </row>
    <row r="56" spans="1:9" ht="16.5" x14ac:dyDescent="0.3">
      <c r="A56" s="3">
        <f t="shared" si="0"/>
        <v>41091</v>
      </c>
      <c r="B56">
        <f t="shared" si="1"/>
        <v>2012</v>
      </c>
      <c r="C56">
        <f t="shared" si="2"/>
        <v>7</v>
      </c>
      <c r="D56">
        <f t="shared" si="3"/>
        <v>1</v>
      </c>
      <c r="E56" s="2">
        <v>41117</v>
      </c>
      <c r="F56">
        <v>-0.25</v>
      </c>
      <c r="H56">
        <v>-0.36100000000000065</v>
      </c>
      <c r="I56">
        <f>IFERROR(VLOOKUP(A56,#REF!,12,0)*1,0)</f>
        <v>0</v>
      </c>
    </row>
    <row r="57" spans="1:9" ht="16.5" x14ac:dyDescent="0.3">
      <c r="A57" s="3">
        <f t="shared" si="0"/>
        <v>41122</v>
      </c>
      <c r="B57">
        <f t="shared" si="1"/>
        <v>2012</v>
      </c>
      <c r="C57">
        <f t="shared" si="2"/>
        <v>8</v>
      </c>
      <c r="D57">
        <f t="shared" si="3"/>
        <v>1</v>
      </c>
      <c r="E57" s="2">
        <v>41145</v>
      </c>
      <c r="F57">
        <v>0</v>
      </c>
      <c r="H57">
        <v>-8.9999999999999858E-2</v>
      </c>
      <c r="I57">
        <f>IFERROR(VLOOKUP(A57,#REF!,12,0)*1,0)</f>
        <v>0</v>
      </c>
    </row>
    <row r="58" spans="1:9" ht="16.5" x14ac:dyDescent="0.3">
      <c r="A58" s="3">
        <f t="shared" si="0"/>
        <v>41153</v>
      </c>
      <c r="B58">
        <f t="shared" si="1"/>
        <v>2012</v>
      </c>
      <c r="C58">
        <f t="shared" si="2"/>
        <v>9</v>
      </c>
      <c r="D58">
        <f t="shared" si="3"/>
        <v>1</v>
      </c>
      <c r="E58" s="2">
        <v>41180</v>
      </c>
      <c r="F58">
        <v>0</v>
      </c>
      <c r="H58">
        <v>0.14399999999999924</v>
      </c>
      <c r="I58">
        <f>IFERROR(VLOOKUP(A58,#REF!,12,0)*1,0)</f>
        <v>0</v>
      </c>
    </row>
    <row r="59" spans="1:9" ht="16.5" x14ac:dyDescent="0.3">
      <c r="A59" s="3">
        <f t="shared" si="0"/>
        <v>41183</v>
      </c>
      <c r="B59">
        <f t="shared" si="1"/>
        <v>2012</v>
      </c>
      <c r="C59">
        <f t="shared" si="2"/>
        <v>10</v>
      </c>
      <c r="D59">
        <f t="shared" si="3"/>
        <v>1</v>
      </c>
      <c r="E59" s="2">
        <v>41208</v>
      </c>
      <c r="F59">
        <v>0</v>
      </c>
      <c r="H59">
        <v>2.4000000000000021E-2</v>
      </c>
      <c r="I59">
        <f>IFERROR(VLOOKUP(A59,#REF!,12,0)*1,0)</f>
        <v>0</v>
      </c>
    </row>
    <row r="60" spans="1:9" ht="16.5" x14ac:dyDescent="0.3">
      <c r="A60" s="3">
        <f t="shared" si="0"/>
        <v>41214</v>
      </c>
      <c r="B60">
        <f t="shared" si="1"/>
        <v>2012</v>
      </c>
      <c r="C60">
        <f t="shared" si="2"/>
        <v>11</v>
      </c>
      <c r="D60">
        <f t="shared" si="3"/>
        <v>1</v>
      </c>
      <c r="E60" s="2">
        <v>41236</v>
      </c>
      <c r="F60">
        <v>-0.25</v>
      </c>
      <c r="H60">
        <v>-0.23100000000000076</v>
      </c>
      <c r="I60">
        <f>IFERROR(VLOOKUP(A60,#REF!,12,0)*1,0)</f>
        <v>0</v>
      </c>
    </row>
    <row r="61" spans="1:9" ht="16.5" x14ac:dyDescent="0.3">
      <c r="A61" s="3">
        <f t="shared" si="0"/>
        <v>41244</v>
      </c>
      <c r="B61">
        <f t="shared" si="1"/>
        <v>2012</v>
      </c>
      <c r="C61">
        <f t="shared" si="2"/>
        <v>12</v>
      </c>
      <c r="D61">
        <f t="shared" si="3"/>
        <v>1</v>
      </c>
      <c r="E61" s="2">
        <v>41264</v>
      </c>
      <c r="F61">
        <v>-0.25</v>
      </c>
      <c r="H61">
        <v>-8.1999999999999851E-2</v>
      </c>
      <c r="I61">
        <f>IFERROR(VLOOKUP(A61,#REF!,12,0)*1,0)</f>
        <v>0</v>
      </c>
    </row>
    <row r="62" spans="1:9" ht="16.5" x14ac:dyDescent="0.3">
      <c r="A62" s="3">
        <f t="shared" si="0"/>
        <v>41275</v>
      </c>
      <c r="B62">
        <f t="shared" si="1"/>
        <v>2013</v>
      </c>
      <c r="C62">
        <f t="shared" si="2"/>
        <v>1</v>
      </c>
      <c r="D62">
        <f t="shared" si="3"/>
        <v>1</v>
      </c>
      <c r="E62" s="2">
        <v>41302</v>
      </c>
      <c r="F62">
        <v>0</v>
      </c>
      <c r="H62">
        <v>3.1000000000000583E-2</v>
      </c>
      <c r="I62">
        <f>IFERROR(VLOOKUP(A62,#REF!,12,0)*1,0)</f>
        <v>0</v>
      </c>
    </row>
    <row r="63" spans="1:9" ht="16.5" x14ac:dyDescent="0.3">
      <c r="A63" s="3">
        <f t="shared" si="0"/>
        <v>41306</v>
      </c>
      <c r="B63">
        <f t="shared" si="1"/>
        <v>2013</v>
      </c>
      <c r="C63">
        <f t="shared" si="2"/>
        <v>2</v>
      </c>
      <c r="D63">
        <f t="shared" si="3"/>
        <v>1</v>
      </c>
      <c r="E63" s="2">
        <v>41327</v>
      </c>
      <c r="F63">
        <v>0</v>
      </c>
      <c r="H63">
        <v>-1.499999999999968E-2</v>
      </c>
      <c r="I63">
        <f>IFERROR(VLOOKUP(A63,#REF!,12,0)*1,0)</f>
        <v>0</v>
      </c>
    </row>
    <row r="64" spans="1:9" ht="16.5" x14ac:dyDescent="0.3">
      <c r="A64" s="3">
        <f t="shared" si="0"/>
        <v>41334</v>
      </c>
      <c r="B64">
        <f t="shared" si="1"/>
        <v>2013</v>
      </c>
      <c r="C64">
        <f t="shared" si="2"/>
        <v>3</v>
      </c>
      <c r="D64">
        <f t="shared" si="3"/>
        <v>1</v>
      </c>
      <c r="E64" s="2">
        <v>41355</v>
      </c>
      <c r="F64">
        <v>-0.25</v>
      </c>
      <c r="H64">
        <v>-0.26500000000000012</v>
      </c>
      <c r="I64">
        <f>IFERROR(VLOOKUP(A64,#REF!,12,0)*1,0)</f>
        <v>0</v>
      </c>
    </row>
    <row r="65" spans="1:9" ht="16.5" x14ac:dyDescent="0.3">
      <c r="A65" s="3">
        <f t="shared" si="0"/>
        <v>41365</v>
      </c>
      <c r="B65">
        <f t="shared" si="1"/>
        <v>2013</v>
      </c>
      <c r="C65">
        <f t="shared" si="2"/>
        <v>4</v>
      </c>
      <c r="D65">
        <f t="shared" si="3"/>
        <v>1</v>
      </c>
      <c r="E65" s="2">
        <v>41390</v>
      </c>
      <c r="F65">
        <v>0</v>
      </c>
      <c r="H65">
        <v>0.1339999999999999</v>
      </c>
      <c r="I65">
        <f>IFERROR(VLOOKUP(A65,#REF!,12,0)*1,0)</f>
        <v>0</v>
      </c>
    </row>
    <row r="66" spans="1:9" ht="16.5" x14ac:dyDescent="0.3">
      <c r="A66" s="3">
        <f t="shared" si="0"/>
        <v>41395</v>
      </c>
      <c r="B66">
        <f t="shared" si="1"/>
        <v>2013</v>
      </c>
      <c r="C66">
        <f t="shared" si="2"/>
        <v>5</v>
      </c>
      <c r="D66">
        <f t="shared" si="3"/>
        <v>1</v>
      </c>
      <c r="E66" s="2">
        <v>41425</v>
      </c>
      <c r="F66">
        <v>0</v>
      </c>
      <c r="H66">
        <v>1.7000000000000348E-2</v>
      </c>
      <c r="I66">
        <f>IFERROR(VLOOKUP(A66,#REF!,12,0)*1,0)</f>
        <v>0</v>
      </c>
    </row>
    <row r="67" spans="1:9" ht="16.5" x14ac:dyDescent="0.3">
      <c r="A67" s="3">
        <f t="shared" ref="A67:A130" si="4">DATE(YEAR(E67),MONTH(E67),1)</f>
        <v>41426</v>
      </c>
      <c r="B67">
        <f t="shared" ref="B67:B130" si="5">YEAR(A67)</f>
        <v>2013</v>
      </c>
      <c r="C67">
        <f t="shared" ref="C67:C130" si="6">MONTH(A67)</f>
        <v>6</v>
      </c>
      <c r="D67">
        <f t="shared" ref="D67:D130" si="7">DAY(A67)</f>
        <v>1</v>
      </c>
      <c r="E67" s="2">
        <v>41453</v>
      </c>
      <c r="F67">
        <v>0</v>
      </c>
      <c r="H67">
        <v>2.7000000000000579E-2</v>
      </c>
      <c r="I67">
        <f>IFERROR(VLOOKUP(A67,#REF!,12,0)*1,0)</f>
        <v>0</v>
      </c>
    </row>
    <row r="68" spans="1:9" ht="16.5" x14ac:dyDescent="0.3">
      <c r="A68" s="3">
        <f t="shared" si="4"/>
        <v>41456</v>
      </c>
      <c r="B68">
        <f t="shared" si="5"/>
        <v>2013</v>
      </c>
      <c r="C68">
        <f t="shared" si="6"/>
        <v>7</v>
      </c>
      <c r="D68">
        <f t="shared" si="7"/>
        <v>1</v>
      </c>
      <c r="E68" s="2">
        <v>41481</v>
      </c>
      <c r="F68">
        <v>0</v>
      </c>
      <c r="H68">
        <v>-4.0000000000000036E-3</v>
      </c>
      <c r="I68">
        <f>IFERROR(VLOOKUP(A68,#REF!,12,0)*1,0)</f>
        <v>0</v>
      </c>
    </row>
    <row r="69" spans="1:9" ht="16.5" x14ac:dyDescent="0.3">
      <c r="A69" s="3">
        <f t="shared" si="4"/>
        <v>41487</v>
      </c>
      <c r="B69">
        <f t="shared" si="5"/>
        <v>2013</v>
      </c>
      <c r="C69">
        <f t="shared" si="6"/>
        <v>8</v>
      </c>
      <c r="D69">
        <f t="shared" si="7"/>
        <v>1</v>
      </c>
      <c r="E69" s="2">
        <v>41516</v>
      </c>
      <c r="F69">
        <v>0</v>
      </c>
      <c r="H69">
        <v>-1.599999999999957E-2</v>
      </c>
      <c r="I69">
        <f>IFERROR(VLOOKUP(A69,#REF!,12,0)*1,0)</f>
        <v>0</v>
      </c>
    </row>
    <row r="70" spans="1:9" ht="16.5" x14ac:dyDescent="0.3">
      <c r="A70" s="3">
        <f t="shared" si="4"/>
        <v>41518</v>
      </c>
      <c r="B70">
        <f t="shared" si="5"/>
        <v>2013</v>
      </c>
      <c r="C70">
        <f t="shared" si="6"/>
        <v>9</v>
      </c>
      <c r="D70">
        <f t="shared" si="7"/>
        <v>1</v>
      </c>
      <c r="E70" s="2">
        <v>41544</v>
      </c>
      <c r="F70">
        <v>0</v>
      </c>
      <c r="H70">
        <v>3.9999999999995595E-3</v>
      </c>
      <c r="I70">
        <f>IFERROR(VLOOKUP(A70,#REF!,12,0)*1,0)</f>
        <v>0</v>
      </c>
    </row>
    <row r="71" spans="1:9" ht="16.5" x14ac:dyDescent="0.3">
      <c r="A71" s="3">
        <f t="shared" si="4"/>
        <v>41548</v>
      </c>
      <c r="B71">
        <f t="shared" si="5"/>
        <v>2013</v>
      </c>
      <c r="C71">
        <f t="shared" si="6"/>
        <v>10</v>
      </c>
      <c r="D71">
        <f t="shared" si="7"/>
        <v>1</v>
      </c>
      <c r="E71" s="2">
        <v>41572</v>
      </c>
      <c r="F71">
        <v>0</v>
      </c>
      <c r="H71">
        <v>-9.9999999999988987E-4</v>
      </c>
      <c r="I71">
        <f>IFERROR(VLOOKUP(A71,#REF!,12,0)*1,0)</f>
        <v>0</v>
      </c>
    </row>
    <row r="72" spans="1:9" ht="16.5" x14ac:dyDescent="0.3">
      <c r="A72" s="3">
        <f t="shared" si="4"/>
        <v>41579</v>
      </c>
      <c r="B72">
        <f t="shared" si="5"/>
        <v>2013</v>
      </c>
      <c r="C72">
        <f t="shared" si="6"/>
        <v>11</v>
      </c>
      <c r="D72">
        <f t="shared" si="7"/>
        <v>1</v>
      </c>
      <c r="E72" s="2">
        <v>41607</v>
      </c>
      <c r="F72">
        <v>0</v>
      </c>
      <c r="H72">
        <v>2.1999999999999797E-2</v>
      </c>
      <c r="I72">
        <f>IFERROR(VLOOKUP(A72,#REF!,12,0)*1,0)</f>
        <v>0</v>
      </c>
    </row>
    <row r="73" spans="1:9" ht="16.5" x14ac:dyDescent="0.3">
      <c r="A73" s="3">
        <f t="shared" si="4"/>
        <v>41609</v>
      </c>
      <c r="B73">
        <f t="shared" si="5"/>
        <v>2013</v>
      </c>
      <c r="C73">
        <f t="shared" si="6"/>
        <v>12</v>
      </c>
      <c r="D73">
        <f t="shared" si="7"/>
        <v>1</v>
      </c>
      <c r="E73" s="2">
        <v>41628</v>
      </c>
      <c r="F73">
        <v>0</v>
      </c>
      <c r="H73">
        <v>1.4000000000000234E-2</v>
      </c>
      <c r="I73">
        <f>IFERROR(VLOOKUP(A73,#REF!,12,0)*1,0)</f>
        <v>0</v>
      </c>
    </row>
    <row r="74" spans="1:9" ht="16.5" x14ac:dyDescent="0.3">
      <c r="A74" s="3">
        <f t="shared" si="4"/>
        <v>41640</v>
      </c>
      <c r="B74">
        <f t="shared" si="5"/>
        <v>2014</v>
      </c>
      <c r="C74">
        <f t="shared" si="6"/>
        <v>1</v>
      </c>
      <c r="D74">
        <f t="shared" si="7"/>
        <v>1</v>
      </c>
      <c r="E74" s="2">
        <v>41670</v>
      </c>
      <c r="F74">
        <v>0</v>
      </c>
      <c r="H74">
        <v>-2.1000000000000352E-2</v>
      </c>
      <c r="I74">
        <f>IFERROR(VLOOKUP(A74,#REF!,12,0)*1,0)</f>
        <v>0</v>
      </c>
    </row>
    <row r="75" spans="1:9" ht="16.5" x14ac:dyDescent="0.3">
      <c r="A75" s="3">
        <f t="shared" si="4"/>
        <v>41671</v>
      </c>
      <c r="B75">
        <f t="shared" si="5"/>
        <v>2014</v>
      </c>
      <c r="C75">
        <f t="shared" si="6"/>
        <v>2</v>
      </c>
      <c r="D75">
        <f t="shared" si="7"/>
        <v>1</v>
      </c>
      <c r="E75" s="2">
        <v>41698</v>
      </c>
      <c r="F75">
        <v>0</v>
      </c>
      <c r="H75">
        <v>-4.9999999999994493E-3</v>
      </c>
      <c r="I75">
        <f>IFERROR(VLOOKUP(A75,#REF!,12,0)*1,0)</f>
        <v>0</v>
      </c>
    </row>
    <row r="76" spans="1:9" ht="16.5" x14ac:dyDescent="0.3">
      <c r="A76" s="3">
        <f t="shared" si="4"/>
        <v>41699</v>
      </c>
      <c r="B76">
        <f t="shared" si="5"/>
        <v>2014</v>
      </c>
      <c r="C76">
        <f t="shared" si="6"/>
        <v>3</v>
      </c>
      <c r="D76">
        <f t="shared" si="7"/>
        <v>1</v>
      </c>
      <c r="E76" s="2">
        <v>41719</v>
      </c>
      <c r="F76">
        <v>0</v>
      </c>
      <c r="H76">
        <v>4.8000000000000043E-2</v>
      </c>
      <c r="I76">
        <f>IFERROR(VLOOKUP(A76,#REF!,12,0)*1,0)</f>
        <v>0</v>
      </c>
    </row>
    <row r="77" spans="1:9" ht="16.5" x14ac:dyDescent="0.3">
      <c r="A77" s="3">
        <f t="shared" si="4"/>
        <v>41730</v>
      </c>
      <c r="B77">
        <f t="shared" si="5"/>
        <v>2014</v>
      </c>
      <c r="C77">
        <f t="shared" si="6"/>
        <v>4</v>
      </c>
      <c r="D77">
        <f t="shared" si="7"/>
        <v>1</v>
      </c>
      <c r="E77" s="2">
        <v>41754</v>
      </c>
      <c r="F77">
        <v>0.25</v>
      </c>
      <c r="H77">
        <v>0.25499999999999989</v>
      </c>
      <c r="I77">
        <f>IFERROR(VLOOKUP(A77,#REF!,12,0)*1,0)</f>
        <v>0</v>
      </c>
    </row>
    <row r="78" spans="1:9" ht="16.5" x14ac:dyDescent="0.3">
      <c r="A78" s="3">
        <f t="shared" si="4"/>
        <v>41760</v>
      </c>
      <c r="B78">
        <f t="shared" si="5"/>
        <v>2014</v>
      </c>
      <c r="C78">
        <f t="shared" si="6"/>
        <v>5</v>
      </c>
      <c r="D78">
        <f t="shared" si="7"/>
        <v>1</v>
      </c>
      <c r="E78" s="2">
        <v>41789</v>
      </c>
      <c r="F78">
        <v>0</v>
      </c>
      <c r="H78">
        <v>1.4000000000000234E-2</v>
      </c>
      <c r="I78">
        <f>IFERROR(VLOOKUP(A78,#REF!,12,0)*1,0)</f>
        <v>0</v>
      </c>
    </row>
    <row r="79" spans="1:9" ht="16.5" x14ac:dyDescent="0.3">
      <c r="A79" s="3">
        <f t="shared" si="4"/>
        <v>41791</v>
      </c>
      <c r="B79">
        <f t="shared" si="5"/>
        <v>2014</v>
      </c>
      <c r="C79">
        <f t="shared" si="6"/>
        <v>6</v>
      </c>
      <c r="D79">
        <f t="shared" si="7"/>
        <v>1</v>
      </c>
      <c r="E79" s="2">
        <v>41810</v>
      </c>
      <c r="F79">
        <v>0</v>
      </c>
      <c r="H79">
        <v>-3.6999999999999922E-2</v>
      </c>
      <c r="I79">
        <f>IFERROR(VLOOKUP(A79,#REF!,12,0)*1,0)</f>
        <v>0</v>
      </c>
    </row>
    <row r="80" spans="1:9" ht="16.5" x14ac:dyDescent="0.3">
      <c r="A80" s="3">
        <f t="shared" si="4"/>
        <v>41821</v>
      </c>
      <c r="B80">
        <f t="shared" si="5"/>
        <v>2014</v>
      </c>
      <c r="C80">
        <f t="shared" si="6"/>
        <v>7</v>
      </c>
      <c r="D80">
        <f t="shared" si="7"/>
        <v>1</v>
      </c>
      <c r="E80" s="2">
        <v>41851</v>
      </c>
      <c r="F80">
        <v>0</v>
      </c>
      <c r="H80">
        <v>0.10599999999999987</v>
      </c>
      <c r="I80">
        <f>IFERROR(VLOOKUP(A80,#REF!,12,0)*1,0)</f>
        <v>0</v>
      </c>
    </row>
    <row r="81" spans="1:9" ht="16.5" x14ac:dyDescent="0.3">
      <c r="A81" s="3">
        <f t="shared" si="4"/>
        <v>41852</v>
      </c>
      <c r="B81">
        <f t="shared" si="5"/>
        <v>2014</v>
      </c>
      <c r="C81">
        <f t="shared" si="6"/>
        <v>8</v>
      </c>
      <c r="D81">
        <f t="shared" si="7"/>
        <v>1</v>
      </c>
      <c r="E81" s="2">
        <v>41880</v>
      </c>
      <c r="F81">
        <v>0</v>
      </c>
      <c r="H81">
        <v>0.12099999999999955</v>
      </c>
      <c r="I81">
        <f>IFERROR(VLOOKUP(A81,#REF!,12,0)*1,0)</f>
        <v>0</v>
      </c>
    </row>
    <row r="82" spans="1:9" ht="16.5" x14ac:dyDescent="0.3">
      <c r="A82" s="3">
        <f t="shared" si="4"/>
        <v>41883</v>
      </c>
      <c r="B82">
        <f t="shared" si="5"/>
        <v>2014</v>
      </c>
      <c r="C82">
        <f t="shared" si="6"/>
        <v>9</v>
      </c>
      <c r="D82">
        <f t="shared" si="7"/>
        <v>1</v>
      </c>
      <c r="E82" s="2">
        <v>41908</v>
      </c>
      <c r="F82">
        <v>0</v>
      </c>
      <c r="H82">
        <v>4.9999999999998934E-3</v>
      </c>
      <c r="I82">
        <f>IFERROR(VLOOKUP(A82,#REF!,12,0)*1,0)</f>
        <v>0</v>
      </c>
    </row>
    <row r="83" spans="1:9" ht="16.5" x14ac:dyDescent="0.3">
      <c r="A83" s="3">
        <f t="shared" si="4"/>
        <v>41913</v>
      </c>
      <c r="B83">
        <f t="shared" si="5"/>
        <v>2014</v>
      </c>
      <c r="C83">
        <f t="shared" si="6"/>
        <v>10</v>
      </c>
      <c r="D83">
        <f t="shared" si="7"/>
        <v>1</v>
      </c>
      <c r="E83" s="2">
        <v>41942</v>
      </c>
      <c r="F83">
        <v>0</v>
      </c>
      <c r="H83">
        <v>9.9999999999944578E-4</v>
      </c>
      <c r="I83">
        <f>IFERROR(VLOOKUP(A83,#REF!,12,0)*1,0)</f>
        <v>0</v>
      </c>
    </row>
    <row r="84" spans="1:9" ht="16.5" x14ac:dyDescent="0.3">
      <c r="A84" s="3">
        <f t="shared" si="4"/>
        <v>41944</v>
      </c>
      <c r="B84">
        <f t="shared" si="5"/>
        <v>2014</v>
      </c>
      <c r="C84">
        <f t="shared" si="6"/>
        <v>11</v>
      </c>
      <c r="D84">
        <f t="shared" si="7"/>
        <v>1</v>
      </c>
      <c r="E84" s="2">
        <v>41971</v>
      </c>
      <c r="F84">
        <v>0</v>
      </c>
      <c r="H84">
        <v>3.9999999999995595E-3</v>
      </c>
      <c r="I84">
        <f>IFERROR(VLOOKUP(A84,#REF!,12,0)*1,0)</f>
        <v>0</v>
      </c>
    </row>
    <row r="85" spans="1:9" ht="16.5" x14ac:dyDescent="0.3">
      <c r="A85" s="3">
        <f t="shared" si="4"/>
        <v>41974</v>
      </c>
      <c r="B85">
        <f t="shared" si="5"/>
        <v>2014</v>
      </c>
      <c r="C85">
        <f t="shared" si="6"/>
        <v>12</v>
      </c>
      <c r="D85">
        <f t="shared" si="7"/>
        <v>1</v>
      </c>
      <c r="E85" s="2">
        <v>41992</v>
      </c>
      <c r="F85">
        <v>0</v>
      </c>
      <c r="H85">
        <v>1.9999999999997797E-3</v>
      </c>
      <c r="I85">
        <f>IFERROR(VLOOKUP(A85,#REF!,12,0)*1,0)</f>
        <v>0</v>
      </c>
    </row>
    <row r="86" spans="1:9" ht="16.5" x14ac:dyDescent="0.3">
      <c r="A86" s="3">
        <f t="shared" si="4"/>
        <v>42005</v>
      </c>
      <c r="B86">
        <f t="shared" si="5"/>
        <v>2015</v>
      </c>
      <c r="C86">
        <f t="shared" si="6"/>
        <v>1</v>
      </c>
      <c r="D86">
        <f t="shared" si="7"/>
        <v>1</v>
      </c>
      <c r="E86" s="2">
        <v>42034</v>
      </c>
      <c r="F86">
        <v>0</v>
      </c>
      <c r="H86">
        <v>0</v>
      </c>
      <c r="I86">
        <f>IFERROR(VLOOKUP(A86,#REF!,12,0)*1,0)</f>
        <v>0</v>
      </c>
    </row>
    <row r="87" spans="1:9" ht="16.5" x14ac:dyDescent="0.3">
      <c r="A87" s="3">
        <f t="shared" si="4"/>
        <v>42036</v>
      </c>
      <c r="B87">
        <f t="shared" si="5"/>
        <v>2015</v>
      </c>
      <c r="C87">
        <f t="shared" si="6"/>
        <v>2</v>
      </c>
      <c r="D87">
        <f t="shared" si="7"/>
        <v>1</v>
      </c>
      <c r="E87" s="2">
        <v>42055</v>
      </c>
      <c r="F87">
        <v>0</v>
      </c>
      <c r="H87">
        <v>1.9999999999997797E-3</v>
      </c>
      <c r="I87">
        <f>IFERROR(VLOOKUP(A87,#REF!,12,0)*1,0)</f>
        <v>0</v>
      </c>
    </row>
    <row r="88" spans="1:9" ht="16.5" x14ac:dyDescent="0.3">
      <c r="A88" s="3">
        <f t="shared" si="4"/>
        <v>42064</v>
      </c>
      <c r="B88">
        <f t="shared" si="5"/>
        <v>2015</v>
      </c>
      <c r="C88">
        <f t="shared" si="6"/>
        <v>3</v>
      </c>
      <c r="D88">
        <f t="shared" si="7"/>
        <v>1</v>
      </c>
      <c r="E88" s="2">
        <v>42083</v>
      </c>
      <c r="F88">
        <v>0</v>
      </c>
      <c r="H88">
        <v>-1.000000000000334E-3</v>
      </c>
      <c r="I88">
        <f>IFERROR(VLOOKUP(A88,#REF!,12,0)*1,0)</f>
        <v>0</v>
      </c>
    </row>
    <row r="89" spans="1:9" ht="16.5" x14ac:dyDescent="0.3">
      <c r="A89" s="3">
        <f t="shared" si="4"/>
        <v>42095</v>
      </c>
      <c r="B89">
        <f t="shared" si="5"/>
        <v>2015</v>
      </c>
      <c r="C89">
        <f t="shared" si="6"/>
        <v>4</v>
      </c>
      <c r="D89">
        <f t="shared" si="7"/>
        <v>1</v>
      </c>
      <c r="E89" s="2">
        <v>42118</v>
      </c>
      <c r="F89">
        <v>0</v>
      </c>
      <c r="H89">
        <v>-1.2000000000000455E-2</v>
      </c>
      <c r="I89">
        <f>IFERROR(VLOOKUP(A89,#REF!,12,0)*1,0)</f>
        <v>0</v>
      </c>
    </row>
    <row r="90" spans="1:9" ht="16.5" x14ac:dyDescent="0.3">
      <c r="A90" s="3">
        <f t="shared" si="4"/>
        <v>42125</v>
      </c>
      <c r="B90">
        <f t="shared" si="5"/>
        <v>2015</v>
      </c>
      <c r="C90">
        <f t="shared" si="6"/>
        <v>5</v>
      </c>
      <c r="D90">
        <f t="shared" si="7"/>
        <v>1</v>
      </c>
      <c r="E90" s="2">
        <v>42146</v>
      </c>
      <c r="F90">
        <v>0</v>
      </c>
      <c r="H90">
        <v>-7.9999999999991189E-3</v>
      </c>
      <c r="I90">
        <f>IFERROR(VLOOKUP(A90,#REF!,12,0)*1,0)</f>
        <v>0</v>
      </c>
    </row>
    <row r="91" spans="1:9" ht="16.5" x14ac:dyDescent="0.3">
      <c r="A91" s="3">
        <f t="shared" si="4"/>
        <v>42156</v>
      </c>
      <c r="B91">
        <f t="shared" si="5"/>
        <v>2015</v>
      </c>
      <c r="C91">
        <f t="shared" si="6"/>
        <v>6</v>
      </c>
      <c r="D91">
        <f t="shared" si="7"/>
        <v>1</v>
      </c>
      <c r="E91" s="2">
        <v>42179</v>
      </c>
      <c r="F91">
        <v>0</v>
      </c>
      <c r="H91">
        <v>-1.1000000000000121E-2</v>
      </c>
      <c r="I91">
        <f>IFERROR(VLOOKUP(A91,#REF!,12,0)*1,0)</f>
        <v>0</v>
      </c>
    </row>
    <row r="92" spans="1:9" ht="16.5" x14ac:dyDescent="0.3">
      <c r="A92" s="3">
        <f t="shared" si="4"/>
        <v>42186</v>
      </c>
      <c r="B92">
        <f t="shared" si="5"/>
        <v>2015</v>
      </c>
      <c r="C92">
        <f t="shared" si="6"/>
        <v>7</v>
      </c>
      <c r="D92">
        <f t="shared" si="7"/>
        <v>1</v>
      </c>
      <c r="E92" s="2">
        <v>42216</v>
      </c>
      <c r="F92">
        <v>0</v>
      </c>
      <c r="H92">
        <v>-3.4000000000000696E-2</v>
      </c>
      <c r="I92">
        <f>IFERROR(VLOOKUP(A92,#REF!,12,0)*1,0)</f>
        <v>0</v>
      </c>
    </row>
    <row r="93" spans="1:9" ht="16.5" x14ac:dyDescent="0.3">
      <c r="A93" s="3">
        <f t="shared" si="4"/>
        <v>42217</v>
      </c>
      <c r="B93">
        <f t="shared" si="5"/>
        <v>2015</v>
      </c>
      <c r="C93">
        <f t="shared" si="6"/>
        <v>8</v>
      </c>
      <c r="D93">
        <f t="shared" si="7"/>
        <v>1</v>
      </c>
      <c r="E93" s="2">
        <v>42237</v>
      </c>
      <c r="F93">
        <v>0</v>
      </c>
      <c r="H93">
        <v>-0.11499999999999932</v>
      </c>
      <c r="I93">
        <f>IFERROR(VLOOKUP(A93,#REF!,12,0)*1,0)</f>
        <v>0</v>
      </c>
    </row>
    <row r="94" spans="1:9" ht="16.5" x14ac:dyDescent="0.3">
      <c r="A94" s="3">
        <f t="shared" si="4"/>
        <v>42248</v>
      </c>
      <c r="B94">
        <f t="shared" si="5"/>
        <v>2015</v>
      </c>
      <c r="C94">
        <f t="shared" si="6"/>
        <v>9</v>
      </c>
      <c r="D94">
        <f t="shared" si="7"/>
        <v>1</v>
      </c>
      <c r="E94" s="2">
        <v>42272</v>
      </c>
      <c r="F94">
        <v>0.25</v>
      </c>
      <c r="H94">
        <v>0.13900000000000023</v>
      </c>
      <c r="I94">
        <f>IFERROR(VLOOKUP(A94,#REF!,12,0)*1,0)</f>
        <v>0</v>
      </c>
    </row>
    <row r="95" spans="1:9" ht="16.5" x14ac:dyDescent="0.3">
      <c r="A95" s="3">
        <f t="shared" si="4"/>
        <v>42278</v>
      </c>
      <c r="B95">
        <f t="shared" si="5"/>
        <v>2015</v>
      </c>
      <c r="C95">
        <f t="shared" si="6"/>
        <v>10</v>
      </c>
      <c r="D95">
        <f t="shared" si="7"/>
        <v>1</v>
      </c>
      <c r="E95" s="2">
        <v>42307</v>
      </c>
      <c r="F95">
        <v>0.25</v>
      </c>
      <c r="H95">
        <v>0.13600000000000012</v>
      </c>
      <c r="I95">
        <f>IFERROR(VLOOKUP(A95,#REF!,12,0)*1,0)</f>
        <v>0</v>
      </c>
    </row>
    <row r="96" spans="1:9" ht="16.5" x14ac:dyDescent="0.3">
      <c r="A96" s="3">
        <f t="shared" si="4"/>
        <v>42309</v>
      </c>
      <c r="B96">
        <f t="shared" si="5"/>
        <v>2015</v>
      </c>
      <c r="C96">
        <f t="shared" si="6"/>
        <v>11</v>
      </c>
      <c r="D96">
        <f t="shared" si="7"/>
        <v>1</v>
      </c>
      <c r="E96" s="2">
        <v>42335</v>
      </c>
      <c r="F96">
        <v>-0.25</v>
      </c>
      <c r="H96">
        <v>-0.14400000000000013</v>
      </c>
      <c r="I96">
        <f>IFERROR(VLOOKUP(A96,#REF!,12,0)*1,0)</f>
        <v>0</v>
      </c>
    </row>
    <row r="97" spans="1:9" ht="16.5" x14ac:dyDescent="0.3">
      <c r="A97" s="3">
        <f t="shared" si="4"/>
        <v>42339</v>
      </c>
      <c r="B97">
        <f t="shared" si="5"/>
        <v>2015</v>
      </c>
      <c r="C97">
        <f t="shared" si="6"/>
        <v>12</v>
      </c>
      <c r="D97">
        <f t="shared" si="7"/>
        <v>1</v>
      </c>
      <c r="E97" s="2">
        <v>42356</v>
      </c>
      <c r="F97">
        <v>0</v>
      </c>
      <c r="H97">
        <v>-8.3000000000000185E-2</v>
      </c>
      <c r="I97">
        <f>IFERROR(VLOOKUP(A97,#REF!,12,0)*1,0)</f>
        <v>0</v>
      </c>
    </row>
    <row r="98" spans="1:9" ht="16.5" x14ac:dyDescent="0.3">
      <c r="A98" s="3">
        <f t="shared" si="4"/>
        <v>42370</v>
      </c>
      <c r="B98">
        <f t="shared" si="5"/>
        <v>2016</v>
      </c>
      <c r="C98">
        <f t="shared" si="6"/>
        <v>1</v>
      </c>
      <c r="D98">
        <f t="shared" si="7"/>
        <v>1</v>
      </c>
      <c r="E98" s="2">
        <v>42398</v>
      </c>
      <c r="F98">
        <v>0</v>
      </c>
      <c r="H98">
        <v>-8.4999999999999964E-2</v>
      </c>
      <c r="I98">
        <f>IFERROR(VLOOKUP(A98,#REF!,12,0)*1,0)</f>
        <v>0</v>
      </c>
    </row>
    <row r="99" spans="1:9" ht="16.5" x14ac:dyDescent="0.3">
      <c r="A99" s="3">
        <f t="shared" si="4"/>
        <v>42401</v>
      </c>
      <c r="B99">
        <f t="shared" si="5"/>
        <v>2016</v>
      </c>
      <c r="C99">
        <f t="shared" si="6"/>
        <v>2</v>
      </c>
      <c r="D99">
        <f t="shared" si="7"/>
        <v>1</v>
      </c>
      <c r="E99" s="2">
        <v>42419</v>
      </c>
      <c r="F99">
        <v>0</v>
      </c>
      <c r="H99">
        <v>-8.3000000000000185E-2</v>
      </c>
      <c r="I99">
        <f>IFERROR(VLOOKUP(A99,#REF!,12,0)*1,0)</f>
        <v>0</v>
      </c>
    </row>
    <row r="100" spans="1:9" ht="16.5" x14ac:dyDescent="0.3">
      <c r="A100" s="3">
        <f t="shared" si="4"/>
        <v>42430</v>
      </c>
      <c r="B100">
        <f t="shared" si="5"/>
        <v>2016</v>
      </c>
      <c r="C100">
        <f t="shared" si="6"/>
        <v>3</v>
      </c>
      <c r="D100">
        <f t="shared" si="7"/>
        <v>1</v>
      </c>
      <c r="E100" s="2">
        <v>42447</v>
      </c>
      <c r="F100">
        <v>0</v>
      </c>
      <c r="H100">
        <v>4.6000000000000263E-2</v>
      </c>
      <c r="I100">
        <f>IFERROR(VLOOKUP(A100,#REF!,12,0)*1,0)</f>
        <v>0</v>
      </c>
    </row>
    <row r="101" spans="1:9" ht="16.5" x14ac:dyDescent="0.3">
      <c r="A101" s="3">
        <f t="shared" si="4"/>
        <v>42461</v>
      </c>
      <c r="B101">
        <f t="shared" si="5"/>
        <v>2016</v>
      </c>
      <c r="C101">
        <f t="shared" si="6"/>
        <v>4</v>
      </c>
      <c r="D101">
        <f t="shared" si="7"/>
        <v>1</v>
      </c>
      <c r="E101" s="2">
        <v>42489</v>
      </c>
      <c r="F101">
        <v>0.25</v>
      </c>
      <c r="H101">
        <v>0.2029999999999994</v>
      </c>
      <c r="I101">
        <f>IFERROR(VLOOKUP(A101,#REF!,12,0)*1,0)</f>
        <v>0</v>
      </c>
    </row>
    <row r="102" spans="1:9" ht="16.5" x14ac:dyDescent="0.3">
      <c r="A102" s="3">
        <f t="shared" si="4"/>
        <v>42491</v>
      </c>
      <c r="B102">
        <f t="shared" si="5"/>
        <v>2016</v>
      </c>
      <c r="C102">
        <f t="shared" si="6"/>
        <v>5</v>
      </c>
      <c r="D102">
        <f t="shared" si="7"/>
        <v>1</v>
      </c>
      <c r="E102" s="2">
        <v>42517</v>
      </c>
      <c r="F102">
        <v>0</v>
      </c>
      <c r="H102">
        <v>-4.3999999999998707E-2</v>
      </c>
      <c r="I102">
        <f>IFERROR(VLOOKUP(A102,#REF!,12,0)*1,0)</f>
        <v>0</v>
      </c>
    </row>
    <row r="103" spans="1:9" ht="16.5" x14ac:dyDescent="0.3">
      <c r="A103" s="3">
        <f t="shared" si="4"/>
        <v>42522</v>
      </c>
      <c r="B103">
        <f t="shared" si="5"/>
        <v>2016</v>
      </c>
      <c r="C103">
        <f t="shared" si="6"/>
        <v>6</v>
      </c>
      <c r="D103">
        <f t="shared" si="7"/>
        <v>1</v>
      </c>
      <c r="E103" s="2">
        <v>42543</v>
      </c>
      <c r="F103">
        <v>0</v>
      </c>
      <c r="H103">
        <v>-7.9999999999991189E-3</v>
      </c>
      <c r="I103">
        <f>IFERROR(VLOOKUP(A103,#REF!,12,0)*1,0)</f>
        <v>0</v>
      </c>
    </row>
    <row r="104" spans="1:9" ht="16.5" x14ac:dyDescent="0.3">
      <c r="A104" s="3">
        <f t="shared" si="4"/>
        <v>42552</v>
      </c>
      <c r="B104">
        <f t="shared" si="5"/>
        <v>2016</v>
      </c>
      <c r="C104">
        <f t="shared" si="6"/>
        <v>7</v>
      </c>
      <c r="D104">
        <f t="shared" si="7"/>
        <v>1</v>
      </c>
      <c r="E104" s="2">
        <v>42580</v>
      </c>
      <c r="F104">
        <v>0</v>
      </c>
      <c r="H104">
        <v>7.8999999999999737E-2</v>
      </c>
      <c r="I104">
        <f>IFERROR(VLOOKUP(A104,#REF!,12,0)*1,0)</f>
        <v>0</v>
      </c>
    </row>
    <row r="105" spans="1:9" ht="16.5" x14ac:dyDescent="0.3">
      <c r="A105" s="3">
        <f t="shared" si="4"/>
        <v>42583</v>
      </c>
      <c r="B105">
        <f t="shared" si="5"/>
        <v>2016</v>
      </c>
      <c r="C105">
        <f t="shared" si="6"/>
        <v>8</v>
      </c>
      <c r="D105">
        <f t="shared" si="7"/>
        <v>1</v>
      </c>
      <c r="E105" s="2">
        <v>42613</v>
      </c>
      <c r="F105">
        <v>0</v>
      </c>
      <c r="H105">
        <v>-9.2000000000000526E-2</v>
      </c>
      <c r="I105">
        <f>IFERROR(VLOOKUP(A105,#REF!,12,0)*1,0)</f>
        <v>0</v>
      </c>
    </row>
    <row r="106" spans="1:9" ht="16.5" x14ac:dyDescent="0.3">
      <c r="A106" s="3">
        <f t="shared" si="4"/>
        <v>42614</v>
      </c>
      <c r="B106">
        <f t="shared" si="5"/>
        <v>2016</v>
      </c>
      <c r="C106">
        <f t="shared" si="6"/>
        <v>9</v>
      </c>
      <c r="D106">
        <f t="shared" si="7"/>
        <v>1</v>
      </c>
      <c r="E106" s="2">
        <v>42643</v>
      </c>
      <c r="F106">
        <v>0</v>
      </c>
      <c r="H106">
        <v>1.0000000000012221E-3</v>
      </c>
      <c r="I106">
        <f>IFERROR(VLOOKUP(A106,#REF!,12,0)*1,0)</f>
        <v>0</v>
      </c>
    </row>
    <row r="107" spans="1:9" ht="16.5" x14ac:dyDescent="0.3">
      <c r="A107" s="3">
        <f t="shared" si="4"/>
        <v>42644</v>
      </c>
      <c r="B107">
        <f t="shared" si="5"/>
        <v>2016</v>
      </c>
      <c r="C107">
        <f t="shared" si="6"/>
        <v>10</v>
      </c>
      <c r="D107">
        <f t="shared" si="7"/>
        <v>1</v>
      </c>
      <c r="E107" s="2">
        <v>42671</v>
      </c>
      <c r="F107">
        <v>0</v>
      </c>
      <c r="H107">
        <v>6.0000000000002274E-3</v>
      </c>
      <c r="I107">
        <f>IFERROR(VLOOKUP(A107,#REF!,12,0)*1,0)</f>
        <v>0</v>
      </c>
    </row>
    <row r="108" spans="1:9" ht="16.5" x14ac:dyDescent="0.3">
      <c r="A108" s="3">
        <f t="shared" si="4"/>
        <v>42675</v>
      </c>
      <c r="B108">
        <f t="shared" si="5"/>
        <v>2016</v>
      </c>
      <c r="C108">
        <f t="shared" si="6"/>
        <v>11</v>
      </c>
      <c r="D108">
        <f t="shared" si="7"/>
        <v>1</v>
      </c>
      <c r="E108" s="2">
        <v>42699</v>
      </c>
      <c r="F108">
        <v>0</v>
      </c>
      <c r="H108">
        <v>1.9999999999988916E-3</v>
      </c>
      <c r="I108">
        <f>IFERROR(VLOOKUP(A108,#REF!,12,0)*1,0)</f>
        <v>0</v>
      </c>
    </row>
    <row r="109" spans="1:9" ht="16.5" x14ac:dyDescent="0.3">
      <c r="A109" s="3">
        <f t="shared" si="4"/>
        <v>42705</v>
      </c>
      <c r="B109">
        <f t="shared" si="5"/>
        <v>2016</v>
      </c>
      <c r="C109">
        <f t="shared" si="6"/>
        <v>12</v>
      </c>
      <c r="D109">
        <f t="shared" si="7"/>
        <v>1</v>
      </c>
      <c r="E109" s="2">
        <v>42720</v>
      </c>
      <c r="F109">
        <v>-0.25</v>
      </c>
      <c r="H109">
        <v>-0.20999999999999908</v>
      </c>
      <c r="I109">
        <f>IFERROR(VLOOKUP(A109,#REF!,12,0)*1,0)</f>
        <v>0</v>
      </c>
    </row>
    <row r="110" spans="1:9" ht="16.5" x14ac:dyDescent="0.3">
      <c r="A110" s="3">
        <f t="shared" si="4"/>
        <v>42736</v>
      </c>
      <c r="B110">
        <f t="shared" si="5"/>
        <v>2017</v>
      </c>
      <c r="C110">
        <f t="shared" si="6"/>
        <v>1</v>
      </c>
      <c r="D110">
        <f t="shared" si="7"/>
        <v>1</v>
      </c>
      <c r="E110" s="2">
        <v>42762</v>
      </c>
      <c r="F110">
        <v>0.25</v>
      </c>
      <c r="H110">
        <v>0.16800000000000015</v>
      </c>
      <c r="I110">
        <f>IFERROR(VLOOKUP(A110,#REF!,12,0)*1,0)</f>
        <v>0</v>
      </c>
    </row>
    <row r="111" spans="1:9" ht="16.5" x14ac:dyDescent="0.3">
      <c r="A111" s="3">
        <f t="shared" si="4"/>
        <v>42767</v>
      </c>
      <c r="B111">
        <f t="shared" si="5"/>
        <v>2017</v>
      </c>
      <c r="C111">
        <f t="shared" si="6"/>
        <v>2</v>
      </c>
      <c r="D111">
        <f t="shared" si="7"/>
        <v>1</v>
      </c>
      <c r="E111" s="2">
        <v>42790</v>
      </c>
      <c r="F111">
        <v>-0.25</v>
      </c>
      <c r="H111">
        <v>-0.14900000000000002</v>
      </c>
      <c r="I111">
        <f>IFERROR(VLOOKUP(A111,#REF!,12,0)*1,0)</f>
        <v>0</v>
      </c>
    </row>
    <row r="112" spans="1:9" ht="16.5" x14ac:dyDescent="0.3">
      <c r="A112" s="3">
        <f t="shared" si="4"/>
        <v>42795</v>
      </c>
      <c r="B112">
        <f t="shared" si="5"/>
        <v>2017</v>
      </c>
      <c r="C112">
        <f t="shared" si="6"/>
        <v>3</v>
      </c>
      <c r="D112">
        <f t="shared" si="7"/>
        <v>1</v>
      </c>
      <c r="E112" s="2">
        <v>42818</v>
      </c>
      <c r="F112">
        <v>0</v>
      </c>
      <c r="H112">
        <v>9.9999999999999645E-2</v>
      </c>
      <c r="I112">
        <f>IFERROR(VLOOKUP(A112,#REF!,12,0)*1,0)</f>
        <v>0</v>
      </c>
    </row>
    <row r="113" spans="1:9" ht="16.5" x14ac:dyDescent="0.3">
      <c r="A113" s="3">
        <f t="shared" si="4"/>
        <v>42826</v>
      </c>
      <c r="B113">
        <f t="shared" si="5"/>
        <v>2017</v>
      </c>
      <c r="C113">
        <f t="shared" si="6"/>
        <v>4</v>
      </c>
      <c r="D113">
        <f t="shared" si="7"/>
        <v>1</v>
      </c>
      <c r="E113" s="2">
        <v>42853</v>
      </c>
      <c r="F113">
        <v>-0.25</v>
      </c>
      <c r="H113">
        <v>-3.700000000000081E-2</v>
      </c>
      <c r="I113">
        <f>IFERROR(VLOOKUP(A113,#REF!,12,0)*1,0)</f>
        <v>0</v>
      </c>
    </row>
    <row r="114" spans="1:9" ht="16.5" x14ac:dyDescent="0.3">
      <c r="A114" s="3">
        <f t="shared" si="4"/>
        <v>42856</v>
      </c>
      <c r="B114">
        <f t="shared" si="5"/>
        <v>2017</v>
      </c>
      <c r="C114">
        <f t="shared" si="6"/>
        <v>5</v>
      </c>
      <c r="D114">
        <f t="shared" si="7"/>
        <v>1</v>
      </c>
      <c r="E114" s="2">
        <v>42881</v>
      </c>
      <c r="F114">
        <v>0</v>
      </c>
      <c r="H114">
        <v>9.9000000000000199E-2</v>
      </c>
      <c r="I114">
        <f>IFERROR(VLOOKUP(A114,#REF!,12,0)*1,0)</f>
        <v>0</v>
      </c>
    </row>
    <row r="115" spans="1:9" ht="16.5" x14ac:dyDescent="0.3">
      <c r="A115" s="3">
        <f t="shared" si="4"/>
        <v>42887</v>
      </c>
      <c r="B115">
        <f t="shared" si="5"/>
        <v>2017</v>
      </c>
      <c r="C115">
        <f t="shared" si="6"/>
        <v>6</v>
      </c>
      <c r="D115">
        <f t="shared" si="7"/>
        <v>1</v>
      </c>
      <c r="E115" s="2">
        <v>42916</v>
      </c>
      <c r="F115">
        <v>0</v>
      </c>
      <c r="H115">
        <v>-9.0000000000003411E-3</v>
      </c>
      <c r="I115">
        <f>IFERROR(VLOOKUP(A115,#REF!,12,0)*1,0)</f>
        <v>0</v>
      </c>
    </row>
    <row r="116" spans="1:9" ht="16.5" x14ac:dyDescent="0.3">
      <c r="A116" s="3">
        <f t="shared" si="4"/>
        <v>42917</v>
      </c>
      <c r="B116">
        <f t="shared" si="5"/>
        <v>2017</v>
      </c>
      <c r="C116">
        <f t="shared" si="6"/>
        <v>7</v>
      </c>
      <c r="D116">
        <f t="shared" si="7"/>
        <v>1</v>
      </c>
      <c r="E116" s="2">
        <v>42943</v>
      </c>
      <c r="F116">
        <v>0</v>
      </c>
      <c r="H116">
        <v>7.299999999999951E-2</v>
      </c>
      <c r="I116">
        <f>IFERROR(VLOOKUP(A116,#REF!,12,0)*1,0)</f>
        <v>0</v>
      </c>
    </row>
    <row r="117" spans="1:9" ht="16.5" x14ac:dyDescent="0.3">
      <c r="A117" s="3">
        <f t="shared" si="4"/>
        <v>42948</v>
      </c>
      <c r="B117">
        <f t="shared" si="5"/>
        <v>2017</v>
      </c>
      <c r="C117">
        <f t="shared" si="6"/>
        <v>8</v>
      </c>
      <c r="D117">
        <f t="shared" si="7"/>
        <v>1</v>
      </c>
      <c r="E117" s="2">
        <v>42978</v>
      </c>
      <c r="F117">
        <v>0</v>
      </c>
      <c r="H117">
        <v>2.8999999999999915E-2</v>
      </c>
      <c r="I117">
        <f>IFERROR(VLOOKUP(A117,#REF!,12,0)*1,0)</f>
        <v>0</v>
      </c>
    </row>
    <row r="118" spans="1:9" ht="16.5" x14ac:dyDescent="0.3">
      <c r="A118" s="3">
        <f t="shared" si="4"/>
        <v>42979</v>
      </c>
      <c r="B118">
        <f t="shared" si="5"/>
        <v>2017</v>
      </c>
      <c r="C118">
        <f t="shared" si="6"/>
        <v>9</v>
      </c>
      <c r="D118">
        <f t="shared" si="7"/>
        <v>1</v>
      </c>
      <c r="E118" s="2">
        <v>43007</v>
      </c>
      <c r="F118">
        <v>0</v>
      </c>
      <c r="H118">
        <v>6.7000000000000171E-2</v>
      </c>
      <c r="I118">
        <f>IFERROR(VLOOKUP(A118,#REF!,12,0)*1,0)</f>
        <v>0</v>
      </c>
    </row>
    <row r="119" spans="1:9" ht="16.5" x14ac:dyDescent="0.3">
      <c r="A119" s="3">
        <f t="shared" si="4"/>
        <v>43009</v>
      </c>
      <c r="B119">
        <f t="shared" si="5"/>
        <v>2017</v>
      </c>
      <c r="C119">
        <f t="shared" si="6"/>
        <v>10</v>
      </c>
      <c r="D119">
        <f t="shared" si="7"/>
        <v>1</v>
      </c>
      <c r="E119" s="2">
        <v>43035</v>
      </c>
      <c r="F119">
        <v>-0.25</v>
      </c>
      <c r="H119">
        <v>-0.18900000000000006</v>
      </c>
      <c r="I119">
        <f>IFERROR(VLOOKUP(A119,#REF!,12,0)*1,0)</f>
        <v>0</v>
      </c>
    </row>
    <row r="120" spans="1:9" ht="16.5" x14ac:dyDescent="0.3">
      <c r="A120" s="3">
        <f t="shared" si="4"/>
        <v>43040</v>
      </c>
      <c r="B120">
        <f t="shared" si="5"/>
        <v>2017</v>
      </c>
      <c r="C120">
        <f t="shared" si="6"/>
        <v>11</v>
      </c>
      <c r="D120">
        <f t="shared" si="7"/>
        <v>1</v>
      </c>
      <c r="E120" s="2">
        <v>43063</v>
      </c>
      <c r="F120">
        <v>-0.25</v>
      </c>
      <c r="H120">
        <v>-5.1000000000000156E-2</v>
      </c>
      <c r="I120">
        <f>IFERROR(VLOOKUP(A120,#REF!,12,0)*1,0)</f>
        <v>0</v>
      </c>
    </row>
    <row r="121" spans="1:9" ht="16.5" x14ac:dyDescent="0.3">
      <c r="A121" s="3">
        <f t="shared" si="4"/>
        <v>43070</v>
      </c>
      <c r="B121">
        <f t="shared" si="5"/>
        <v>2017</v>
      </c>
      <c r="C121">
        <f t="shared" si="6"/>
        <v>12</v>
      </c>
      <c r="D121">
        <f t="shared" si="7"/>
        <v>1</v>
      </c>
      <c r="E121" s="2">
        <v>43083</v>
      </c>
      <c r="F121">
        <v>0</v>
      </c>
      <c r="H121">
        <v>2.5999999999999801E-2</v>
      </c>
      <c r="I121">
        <f>IFERROR(VLOOKUP(A121,#REF!,12,0)*1,0)</f>
        <v>0</v>
      </c>
    </row>
    <row r="122" spans="1:9" ht="16.5" x14ac:dyDescent="0.3">
      <c r="A122" s="3">
        <f t="shared" si="4"/>
        <v>43101</v>
      </c>
      <c r="B122">
        <f t="shared" si="5"/>
        <v>2018</v>
      </c>
      <c r="C122">
        <f t="shared" si="6"/>
        <v>1</v>
      </c>
      <c r="D122">
        <f t="shared" si="7"/>
        <v>1</v>
      </c>
      <c r="E122" s="2">
        <v>43129</v>
      </c>
      <c r="F122">
        <v>0</v>
      </c>
      <c r="H122">
        <v>-0.12800000000000011</v>
      </c>
      <c r="I122">
        <f>IFERROR(VLOOKUP(A122,#REF!,12,0)*1,0)</f>
        <v>0</v>
      </c>
    </row>
    <row r="123" spans="1:9" ht="16.5" x14ac:dyDescent="0.3">
      <c r="A123" s="3">
        <f t="shared" si="4"/>
        <v>43132</v>
      </c>
      <c r="B123">
        <f t="shared" si="5"/>
        <v>2018</v>
      </c>
      <c r="C123">
        <f t="shared" si="6"/>
        <v>2</v>
      </c>
      <c r="D123">
        <f t="shared" si="7"/>
        <v>1</v>
      </c>
      <c r="E123" s="2">
        <v>43132</v>
      </c>
      <c r="F123">
        <v>0</v>
      </c>
      <c r="H123">
        <v>0</v>
      </c>
      <c r="I123">
        <f>IFERROR(VLOOKUP(A123,#REF!,12,0)*1,0)</f>
        <v>0</v>
      </c>
    </row>
    <row r="124" spans="1:9" ht="16.5" x14ac:dyDescent="0.3">
      <c r="A124" s="3">
        <f t="shared" si="4"/>
        <v>43160</v>
      </c>
      <c r="B124">
        <f t="shared" si="5"/>
        <v>2018</v>
      </c>
      <c r="C124">
        <f t="shared" si="6"/>
        <v>3</v>
      </c>
      <c r="D124">
        <f t="shared" si="7"/>
        <v>1</v>
      </c>
      <c r="E124" s="2">
        <v>43179</v>
      </c>
      <c r="F124">
        <v>0</v>
      </c>
      <c r="H124">
        <v>6.8000000000000504E-2</v>
      </c>
      <c r="I124">
        <f>IFERROR(VLOOKUP(A124,#REF!,12,0)*1,0)</f>
        <v>0</v>
      </c>
    </row>
    <row r="125" spans="1:9" ht="16.5" x14ac:dyDescent="0.3">
      <c r="A125" s="3">
        <f t="shared" si="4"/>
        <v>43191</v>
      </c>
      <c r="B125">
        <f t="shared" si="5"/>
        <v>2018</v>
      </c>
      <c r="C125">
        <f t="shared" si="6"/>
        <v>4</v>
      </c>
      <c r="D125">
        <f t="shared" si="7"/>
        <v>1</v>
      </c>
      <c r="E125" s="2">
        <v>43217</v>
      </c>
      <c r="F125">
        <v>0</v>
      </c>
      <c r="H125">
        <v>-6.0000000000002274E-3</v>
      </c>
      <c r="I125">
        <f>IFERROR(VLOOKUP(A125,#REF!,12,0)*1,0)</f>
        <v>0</v>
      </c>
    </row>
    <row r="126" spans="1:9" ht="16.5" x14ac:dyDescent="0.3">
      <c r="A126" s="3">
        <f t="shared" si="4"/>
        <v>43221</v>
      </c>
      <c r="B126">
        <f t="shared" si="5"/>
        <v>2018</v>
      </c>
      <c r="C126">
        <f t="shared" si="6"/>
        <v>5</v>
      </c>
      <c r="D126">
        <f t="shared" si="7"/>
        <v>1</v>
      </c>
      <c r="E126" s="2">
        <v>43221</v>
      </c>
      <c r="F126">
        <v>0</v>
      </c>
      <c r="H126">
        <v>0</v>
      </c>
      <c r="I126">
        <f>IFERROR(VLOOKUP(A126,#REF!,12,0)*1,0)</f>
        <v>0</v>
      </c>
    </row>
    <row r="127" spans="1:9" ht="16.5" x14ac:dyDescent="0.3">
      <c r="A127" s="3">
        <f t="shared" si="4"/>
        <v>43252</v>
      </c>
      <c r="B127">
        <f t="shared" si="5"/>
        <v>2018</v>
      </c>
      <c r="C127">
        <f t="shared" si="6"/>
        <v>6</v>
      </c>
      <c r="D127">
        <f t="shared" si="7"/>
        <v>1</v>
      </c>
      <c r="E127" s="2">
        <v>43280</v>
      </c>
      <c r="F127">
        <v>0</v>
      </c>
      <c r="H127">
        <v>-4.9999999999998934E-3</v>
      </c>
      <c r="I127">
        <f>IFERROR(VLOOKUP(A127,#REF!,12,0)*1,0)</f>
        <v>0</v>
      </c>
    </row>
    <row r="128" spans="1:9" ht="16.5" x14ac:dyDescent="0.3">
      <c r="A128" s="3">
        <f t="shared" si="4"/>
        <v>43282</v>
      </c>
      <c r="B128">
        <f t="shared" si="5"/>
        <v>2018</v>
      </c>
      <c r="C128">
        <f t="shared" si="6"/>
        <v>7</v>
      </c>
      <c r="D128">
        <f t="shared" si="7"/>
        <v>1</v>
      </c>
      <c r="E128" s="2">
        <v>43308</v>
      </c>
      <c r="F128">
        <v>0</v>
      </c>
      <c r="H128">
        <v>0</v>
      </c>
      <c r="I128">
        <f>IFERROR(VLOOKUP(A128,#REF!,12,0)*1,0)</f>
        <v>0</v>
      </c>
    </row>
    <row r="129" spans="1:9" ht="16.5" x14ac:dyDescent="0.3">
      <c r="A129" s="3">
        <f t="shared" si="4"/>
        <v>43313</v>
      </c>
      <c r="B129">
        <f t="shared" si="5"/>
        <v>2018</v>
      </c>
      <c r="C129">
        <f t="shared" si="6"/>
        <v>8</v>
      </c>
      <c r="D129">
        <f t="shared" si="7"/>
        <v>1</v>
      </c>
      <c r="E129" s="2">
        <v>43313</v>
      </c>
      <c r="F129">
        <v>0</v>
      </c>
      <c r="H129">
        <v>0</v>
      </c>
      <c r="I129">
        <f>IFERROR(VLOOKUP(A129,#REF!,12,0)*1,0)</f>
        <v>0</v>
      </c>
    </row>
    <row r="130" spans="1:9" ht="16.5" x14ac:dyDescent="0.3">
      <c r="A130" s="3">
        <f t="shared" si="4"/>
        <v>43344</v>
      </c>
      <c r="B130">
        <f t="shared" si="5"/>
        <v>2018</v>
      </c>
      <c r="C130">
        <f t="shared" si="6"/>
        <v>9</v>
      </c>
      <c r="D130">
        <f t="shared" si="7"/>
        <v>1</v>
      </c>
      <c r="E130" s="2">
        <v>43371</v>
      </c>
      <c r="F130">
        <v>0</v>
      </c>
      <c r="H130">
        <v>1.000000000000334E-3</v>
      </c>
      <c r="I130">
        <f>IFERROR(VLOOKUP(A130,#REF!,12,0)*1,0)</f>
        <v>0</v>
      </c>
    </row>
    <row r="131" spans="1:9" ht="16.5" x14ac:dyDescent="0.3">
      <c r="A131" s="3">
        <f t="shared" ref="A131:A194" si="8">DATE(YEAR(E131),MONTH(E131),1)</f>
        <v>43374</v>
      </c>
      <c r="B131">
        <f t="shared" ref="B131:B194" si="9">YEAR(A131)</f>
        <v>2018</v>
      </c>
      <c r="C131">
        <f t="shared" ref="C131:C194" si="10">MONTH(A131)</f>
        <v>10</v>
      </c>
      <c r="D131">
        <f t="shared" ref="D131:D194" si="11">DAY(A131)</f>
        <v>1</v>
      </c>
      <c r="E131" s="2">
        <v>43399</v>
      </c>
      <c r="F131">
        <v>0</v>
      </c>
      <c r="H131">
        <v>-2.0000000000006679E-3</v>
      </c>
      <c r="I131">
        <f>IFERROR(VLOOKUP(A131,#REF!,12,0)*1,0)</f>
        <v>0</v>
      </c>
    </row>
    <row r="132" spans="1:9" ht="16.5" x14ac:dyDescent="0.3">
      <c r="A132" s="3">
        <f t="shared" si="8"/>
        <v>43405</v>
      </c>
      <c r="B132">
        <f t="shared" si="9"/>
        <v>2018</v>
      </c>
      <c r="C132">
        <f t="shared" si="10"/>
        <v>11</v>
      </c>
      <c r="D132">
        <f t="shared" si="11"/>
        <v>1</v>
      </c>
      <c r="E132" s="2">
        <v>43405</v>
      </c>
      <c r="F132">
        <v>0</v>
      </c>
      <c r="H132">
        <v>0</v>
      </c>
      <c r="I132">
        <f>IFERROR(VLOOKUP(A132,#REF!,12,0)*1,0)</f>
        <v>0</v>
      </c>
    </row>
    <row r="133" spans="1:9" ht="16.5" x14ac:dyDescent="0.3">
      <c r="A133" s="3">
        <f t="shared" si="8"/>
        <v>43435</v>
      </c>
      <c r="B133">
        <f t="shared" si="9"/>
        <v>2018</v>
      </c>
      <c r="C133">
        <f t="shared" si="10"/>
        <v>12</v>
      </c>
      <c r="D133">
        <f t="shared" si="11"/>
        <v>1</v>
      </c>
      <c r="E133" s="2">
        <v>43455</v>
      </c>
      <c r="F133">
        <v>0</v>
      </c>
      <c r="H133">
        <v>0</v>
      </c>
      <c r="I133">
        <f>IFERROR(VLOOKUP(A133,#REF!,12,0)*1,0)</f>
        <v>0</v>
      </c>
    </row>
    <row r="134" spans="1:9" ht="16.5" x14ac:dyDescent="0.3">
      <c r="A134" s="3">
        <f t="shared" si="8"/>
        <v>43466</v>
      </c>
      <c r="B134">
        <f t="shared" si="9"/>
        <v>2019</v>
      </c>
      <c r="C134">
        <f t="shared" si="10"/>
        <v>1</v>
      </c>
      <c r="D134">
        <f t="shared" si="11"/>
        <v>1</v>
      </c>
      <c r="E134" s="2">
        <v>43496</v>
      </c>
      <c r="F134">
        <v>0</v>
      </c>
      <c r="H134">
        <v>0</v>
      </c>
      <c r="I134">
        <f>IFERROR(VLOOKUP(A134,#REF!,12,0)*1,0)</f>
        <v>0</v>
      </c>
    </row>
    <row r="135" spans="1:9" ht="16.5" x14ac:dyDescent="0.3">
      <c r="A135" s="3">
        <f t="shared" si="8"/>
        <v>43497</v>
      </c>
      <c r="B135">
        <f t="shared" si="9"/>
        <v>2019</v>
      </c>
      <c r="C135">
        <f t="shared" si="10"/>
        <v>2</v>
      </c>
      <c r="D135">
        <f t="shared" si="11"/>
        <v>1</v>
      </c>
      <c r="E135" s="2">
        <v>43497</v>
      </c>
      <c r="F135">
        <v>0</v>
      </c>
      <c r="H135">
        <v>0</v>
      </c>
      <c r="I135">
        <f>IFERROR(VLOOKUP(A135,#REF!,12,0)*1,0)</f>
        <v>0</v>
      </c>
    </row>
    <row r="136" spans="1:9" ht="16.5" x14ac:dyDescent="0.3">
      <c r="A136" s="3">
        <f t="shared" si="8"/>
        <v>43525</v>
      </c>
      <c r="B136">
        <f t="shared" si="9"/>
        <v>2019</v>
      </c>
      <c r="C136">
        <f t="shared" si="10"/>
        <v>3</v>
      </c>
      <c r="D136">
        <f t="shared" si="11"/>
        <v>1</v>
      </c>
      <c r="E136" s="2">
        <v>43546</v>
      </c>
      <c r="F136">
        <v>0</v>
      </c>
      <c r="H136">
        <v>1.000000000000334E-3</v>
      </c>
      <c r="I136">
        <f>IFERROR(VLOOKUP(A136,#REF!,12,0)*1,0)</f>
        <v>0</v>
      </c>
    </row>
    <row r="137" spans="1:9" ht="16.5" x14ac:dyDescent="0.3">
      <c r="A137" s="3">
        <f t="shared" si="8"/>
        <v>43556</v>
      </c>
      <c r="B137">
        <f t="shared" si="9"/>
        <v>2019</v>
      </c>
      <c r="C137">
        <f t="shared" si="10"/>
        <v>4</v>
      </c>
      <c r="D137">
        <f t="shared" si="11"/>
        <v>1</v>
      </c>
      <c r="E137" s="2">
        <v>43581</v>
      </c>
      <c r="F137">
        <v>0</v>
      </c>
      <c r="H137">
        <v>0</v>
      </c>
      <c r="I137">
        <f>IFERROR(VLOOKUP(A137,#REF!,12,0)*1,0)</f>
        <v>0</v>
      </c>
    </row>
    <row r="138" spans="1:9" ht="16.5" x14ac:dyDescent="0.3">
      <c r="A138" s="3">
        <f t="shared" si="8"/>
        <v>43586</v>
      </c>
      <c r="B138">
        <f t="shared" si="9"/>
        <v>2019</v>
      </c>
      <c r="C138">
        <f t="shared" si="10"/>
        <v>5</v>
      </c>
      <c r="D138">
        <f t="shared" si="11"/>
        <v>1</v>
      </c>
      <c r="E138" s="2">
        <v>43586</v>
      </c>
      <c r="F138">
        <v>0</v>
      </c>
      <c r="H138">
        <v>0</v>
      </c>
      <c r="I138">
        <f>IFERROR(VLOOKUP(A138,#REF!,12,0)*1,0)</f>
        <v>0</v>
      </c>
    </row>
    <row r="139" spans="1:9" ht="16.5" x14ac:dyDescent="0.3">
      <c r="A139" s="3">
        <f t="shared" si="8"/>
        <v>43617</v>
      </c>
      <c r="B139">
        <f t="shared" si="9"/>
        <v>2019</v>
      </c>
      <c r="C139">
        <f t="shared" si="10"/>
        <v>6</v>
      </c>
      <c r="D139">
        <f t="shared" si="11"/>
        <v>1</v>
      </c>
      <c r="E139" s="2">
        <v>43637</v>
      </c>
      <c r="F139">
        <v>0</v>
      </c>
      <c r="H139">
        <v>4.0000000000004476E-3</v>
      </c>
      <c r="I139">
        <f>IFERROR(VLOOKUP(A139,#REF!,12,0)*1,0)</f>
        <v>0</v>
      </c>
    </row>
    <row r="140" spans="1:9" ht="16.5" x14ac:dyDescent="0.3">
      <c r="A140" s="3">
        <f t="shared" si="8"/>
        <v>43647</v>
      </c>
      <c r="B140">
        <f t="shared" si="9"/>
        <v>2019</v>
      </c>
      <c r="C140">
        <f t="shared" si="10"/>
        <v>7</v>
      </c>
      <c r="D140">
        <f t="shared" si="11"/>
        <v>1</v>
      </c>
      <c r="E140" s="2">
        <v>43672</v>
      </c>
      <c r="F140">
        <v>0</v>
      </c>
      <c r="H140">
        <v>1.1000000000000121E-2</v>
      </c>
      <c r="I140">
        <f>IFERROR(VLOOKUP(A140,#REF!,12,0)*1,0)</f>
        <v>0</v>
      </c>
    </row>
    <row r="141" spans="1:9" ht="16.5" x14ac:dyDescent="0.3">
      <c r="A141" s="3">
        <f t="shared" si="8"/>
        <v>43678</v>
      </c>
      <c r="B141">
        <f t="shared" si="9"/>
        <v>2019</v>
      </c>
      <c r="C141">
        <f t="shared" si="10"/>
        <v>8</v>
      </c>
      <c r="D141">
        <f t="shared" si="11"/>
        <v>1</v>
      </c>
      <c r="E141" s="2">
        <v>43678</v>
      </c>
      <c r="F141">
        <v>0</v>
      </c>
      <c r="H141">
        <v>0</v>
      </c>
      <c r="I141">
        <f>IFERROR(VLOOKUP(A141,#REF!,12,0)*1,0)</f>
        <v>0</v>
      </c>
    </row>
    <row r="142" spans="1:9" ht="16.5" x14ac:dyDescent="0.3">
      <c r="A142" s="3">
        <f t="shared" si="8"/>
        <v>43709</v>
      </c>
      <c r="B142">
        <f t="shared" si="9"/>
        <v>2019</v>
      </c>
      <c r="C142">
        <f t="shared" si="10"/>
        <v>9</v>
      </c>
      <c r="D142">
        <f t="shared" si="11"/>
        <v>1</v>
      </c>
      <c r="E142" s="2">
        <v>43731</v>
      </c>
      <c r="F142">
        <v>0</v>
      </c>
      <c r="H142">
        <v>-1.000000000000334E-3</v>
      </c>
      <c r="I142">
        <f>IFERROR(VLOOKUP(A142,#REF!,12,0)*1,0)</f>
        <v>0</v>
      </c>
    </row>
    <row r="143" spans="1:9" ht="16.5" x14ac:dyDescent="0.3">
      <c r="A143" s="3">
        <f t="shared" si="8"/>
        <v>43739</v>
      </c>
      <c r="B143">
        <f t="shared" si="9"/>
        <v>2019</v>
      </c>
      <c r="C143">
        <f t="shared" si="10"/>
        <v>10</v>
      </c>
      <c r="D143">
        <f t="shared" si="11"/>
        <v>1</v>
      </c>
      <c r="E143" s="2">
        <v>43769</v>
      </c>
      <c r="F143">
        <v>0</v>
      </c>
      <c r="H143">
        <v>-3.0000000000001137E-3</v>
      </c>
      <c r="I143">
        <f>IFERROR(VLOOKUP(A143,#REF!,12,0)*1,0)</f>
        <v>0</v>
      </c>
    </row>
    <row r="144" spans="1:9" ht="16.5" x14ac:dyDescent="0.3">
      <c r="A144" s="3">
        <f t="shared" si="8"/>
        <v>43770</v>
      </c>
      <c r="B144">
        <f t="shared" si="9"/>
        <v>2019</v>
      </c>
      <c r="C144">
        <f t="shared" si="10"/>
        <v>11</v>
      </c>
      <c r="D144">
        <f t="shared" si="11"/>
        <v>1</v>
      </c>
      <c r="E144" s="2">
        <v>43770</v>
      </c>
      <c r="F144">
        <v>0</v>
      </c>
      <c r="H144">
        <v>0</v>
      </c>
      <c r="I144">
        <f>IFERROR(VLOOKUP(A144,#REF!,12,0)*1,0)</f>
        <v>0</v>
      </c>
    </row>
    <row r="145" spans="1:9" ht="16.5" x14ac:dyDescent="0.3">
      <c r="A145" s="3">
        <f t="shared" si="8"/>
        <v>43800</v>
      </c>
      <c r="B145">
        <f t="shared" si="9"/>
        <v>2019</v>
      </c>
      <c r="C145">
        <f t="shared" si="10"/>
        <v>12</v>
      </c>
      <c r="D145">
        <f t="shared" si="11"/>
        <v>1</v>
      </c>
      <c r="E145" s="2">
        <v>43800</v>
      </c>
      <c r="F145">
        <v>0</v>
      </c>
      <c r="H145">
        <v>0</v>
      </c>
      <c r="I145">
        <f>IFERROR(VLOOKUP(A145,#REF!,12,0)*1,0)</f>
        <v>0</v>
      </c>
    </row>
    <row r="146" spans="1:9" ht="16.5" x14ac:dyDescent="0.3">
      <c r="A146" s="3">
        <f t="shared" si="8"/>
        <v>43831</v>
      </c>
      <c r="B146">
        <f t="shared" si="9"/>
        <v>2020</v>
      </c>
      <c r="C146">
        <f t="shared" si="10"/>
        <v>1</v>
      </c>
      <c r="D146">
        <f t="shared" si="11"/>
        <v>1</v>
      </c>
      <c r="E146" s="2">
        <v>43831</v>
      </c>
      <c r="F146">
        <v>0</v>
      </c>
      <c r="H146">
        <v>-3.0000000000001137E-3</v>
      </c>
      <c r="I146">
        <f>IFERROR(VLOOKUP(A146,#REF!,12,0)*1,0)</f>
        <v>0</v>
      </c>
    </row>
    <row r="147" spans="1:9" ht="16.5" x14ac:dyDescent="0.3">
      <c r="A147" s="3">
        <f t="shared" si="8"/>
        <v>43862</v>
      </c>
      <c r="B147">
        <f t="shared" si="9"/>
        <v>2020</v>
      </c>
      <c r="C147">
        <f t="shared" si="10"/>
        <v>2</v>
      </c>
      <c r="D147">
        <f t="shared" si="11"/>
        <v>1</v>
      </c>
      <c r="E147" s="2">
        <v>43862</v>
      </c>
      <c r="F147">
        <v>0</v>
      </c>
      <c r="H147">
        <v>-1.000000000000334E-3</v>
      </c>
      <c r="I147">
        <f>IFERROR(VLOOKUP(A147,#REF!,12,0)*1,0)</f>
        <v>0</v>
      </c>
    </row>
    <row r="148" spans="1:9" ht="16.5" x14ac:dyDescent="0.3">
      <c r="A148" s="3">
        <f t="shared" si="8"/>
        <v>43891</v>
      </c>
      <c r="B148">
        <f t="shared" si="9"/>
        <v>2020</v>
      </c>
      <c r="C148">
        <f t="shared" si="10"/>
        <v>3</v>
      </c>
      <c r="D148">
        <f t="shared" si="11"/>
        <v>1</v>
      </c>
      <c r="E148" s="2">
        <v>43891</v>
      </c>
      <c r="F148">
        <v>-0.25</v>
      </c>
      <c r="H148">
        <v>-0.1030000000000002</v>
      </c>
      <c r="I148">
        <f>IFERROR(VLOOKUP(A148,#REF!,12,0)*1,0)</f>
        <v>0</v>
      </c>
    </row>
    <row r="149" spans="1:9" ht="16.5" x14ac:dyDescent="0.3">
      <c r="A149" s="3">
        <f t="shared" si="8"/>
        <v>43922</v>
      </c>
      <c r="B149">
        <f t="shared" si="9"/>
        <v>2020</v>
      </c>
      <c r="C149">
        <f t="shared" si="10"/>
        <v>4</v>
      </c>
      <c r="D149">
        <f t="shared" si="11"/>
        <v>1</v>
      </c>
      <c r="E149" s="2">
        <v>43922</v>
      </c>
      <c r="F149">
        <v>0</v>
      </c>
      <c r="H149">
        <v>7.6999999999999957E-2</v>
      </c>
      <c r="I149">
        <f>IFERROR(VLOOKUP(A149,#REF!,12,0)*1,0)</f>
        <v>0</v>
      </c>
    </row>
    <row r="150" spans="1:9" ht="16.5" x14ac:dyDescent="0.3">
      <c r="A150" s="3">
        <f t="shared" si="8"/>
        <v>43952</v>
      </c>
      <c r="B150">
        <f t="shared" si="9"/>
        <v>2020</v>
      </c>
      <c r="C150">
        <f t="shared" si="10"/>
        <v>5</v>
      </c>
      <c r="D150">
        <f t="shared" si="11"/>
        <v>1</v>
      </c>
      <c r="E150" s="2">
        <v>43952</v>
      </c>
      <c r="F150">
        <v>2.0000000000000018E-2</v>
      </c>
      <c r="H150">
        <v>2.9999999999996696E-3</v>
      </c>
      <c r="I150">
        <f>IFERROR(VLOOKUP(A150,#REF!,12,0)*1,0)</f>
        <v>0</v>
      </c>
    </row>
    <row r="151" spans="1:9" ht="16.5" x14ac:dyDescent="0.3">
      <c r="A151" s="3">
        <f t="shared" si="8"/>
        <v>43983</v>
      </c>
      <c r="B151">
        <f t="shared" si="9"/>
        <v>2020</v>
      </c>
      <c r="C151">
        <f t="shared" si="10"/>
        <v>6</v>
      </c>
      <c r="D151">
        <f t="shared" si="11"/>
        <v>1</v>
      </c>
      <c r="E151" s="2">
        <v>43983</v>
      </c>
      <c r="F151">
        <v>0.16000000000000014</v>
      </c>
      <c r="H151">
        <v>0.14299999999999979</v>
      </c>
      <c r="I151">
        <f>IFERROR(VLOOKUP(A151,#REF!,12,0)*1,0)</f>
        <v>0</v>
      </c>
    </row>
    <row r="152" spans="1:9" ht="16.5" x14ac:dyDescent="0.3">
      <c r="A152" s="3">
        <f t="shared" si="8"/>
        <v>44013</v>
      </c>
      <c r="B152">
        <f t="shared" si="9"/>
        <v>2020</v>
      </c>
      <c r="C152">
        <f t="shared" si="10"/>
        <v>7</v>
      </c>
      <c r="D152">
        <f t="shared" si="11"/>
        <v>1</v>
      </c>
      <c r="E152" s="2">
        <v>44013</v>
      </c>
      <c r="F152">
        <v>0</v>
      </c>
      <c r="H152">
        <v>-1.2000000000000011E-2</v>
      </c>
      <c r="I152">
        <f>IFERROR(VLOOKUP(A152,#REF!,12,0)*1,0)</f>
        <v>0</v>
      </c>
    </row>
    <row r="153" spans="1:9" ht="16.5" x14ac:dyDescent="0.3">
      <c r="A153" s="3">
        <f t="shared" si="8"/>
        <v>44044</v>
      </c>
      <c r="B153">
        <f t="shared" si="9"/>
        <v>2020</v>
      </c>
      <c r="C153">
        <f t="shared" si="10"/>
        <v>8</v>
      </c>
      <c r="D153">
        <f t="shared" si="11"/>
        <v>1</v>
      </c>
      <c r="E153" s="2">
        <v>44044</v>
      </c>
      <c r="F153">
        <v>0</v>
      </c>
      <c r="H153">
        <v>-4.6999999999999709E-2</v>
      </c>
      <c r="I153">
        <f>IFERROR(VLOOKUP(A153,#REF!,12,0)*1,0)</f>
        <v>0</v>
      </c>
    </row>
    <row r="154" spans="1:9" ht="16.5" x14ac:dyDescent="0.3">
      <c r="A154" s="3">
        <f t="shared" si="8"/>
        <v>44075</v>
      </c>
      <c r="B154">
        <f t="shared" si="9"/>
        <v>2020</v>
      </c>
      <c r="C154">
        <f t="shared" si="10"/>
        <v>9</v>
      </c>
      <c r="D154">
        <f t="shared" si="11"/>
        <v>1</v>
      </c>
      <c r="E154" s="2">
        <v>44075</v>
      </c>
      <c r="F154">
        <v>-9.000000000000008E-2</v>
      </c>
      <c r="H154">
        <v>-0.129</v>
      </c>
      <c r="I154">
        <f>IFERROR(VLOOKUP(A154,#REF!,12,0)*1,0)</f>
        <v>0</v>
      </c>
    </row>
    <row r="155" spans="1:9" ht="16.5" x14ac:dyDescent="0.3">
      <c r="A155" s="3">
        <f t="shared" si="8"/>
        <v>44105</v>
      </c>
      <c r="B155">
        <f t="shared" si="9"/>
        <v>2020</v>
      </c>
      <c r="C155">
        <f t="shared" si="10"/>
        <v>10</v>
      </c>
      <c r="D155">
        <f t="shared" si="11"/>
        <v>1</v>
      </c>
      <c r="E155" s="2">
        <v>44105</v>
      </c>
      <c r="F155">
        <v>3.0000000000000027E-2</v>
      </c>
      <c r="H155">
        <v>3.0000000000001137E-3</v>
      </c>
      <c r="I155">
        <f>IFERROR(VLOOKUP(A155,#REF!,12,0)*1,0)</f>
        <v>0</v>
      </c>
    </row>
    <row r="156" spans="1:9" ht="16.5" x14ac:dyDescent="0.3">
      <c r="A156" s="3">
        <f t="shared" si="8"/>
        <v>44136</v>
      </c>
      <c r="B156">
        <f t="shared" si="9"/>
        <v>2020</v>
      </c>
      <c r="C156">
        <f t="shared" si="10"/>
        <v>11</v>
      </c>
      <c r="D156">
        <f t="shared" si="11"/>
        <v>1</v>
      </c>
      <c r="E156" s="2">
        <v>44136</v>
      </c>
      <c r="F156">
        <v>0</v>
      </c>
      <c r="H156">
        <v>-6.0000000000000053E-3</v>
      </c>
      <c r="I156">
        <f>IFERROR(VLOOKUP(A156,#REF!,12,0)*1,0)</f>
        <v>0</v>
      </c>
    </row>
    <row r="157" spans="1:9" ht="16.5" x14ac:dyDescent="0.3">
      <c r="A157" s="3">
        <f t="shared" si="8"/>
        <v>44166</v>
      </c>
      <c r="B157">
        <f t="shared" si="9"/>
        <v>2020</v>
      </c>
      <c r="C157">
        <f t="shared" si="10"/>
        <v>12</v>
      </c>
      <c r="D157">
        <f t="shared" si="11"/>
        <v>1</v>
      </c>
      <c r="E157" s="2">
        <v>44166</v>
      </c>
      <c r="F157">
        <v>0</v>
      </c>
      <c r="H157">
        <v>-3.0000000000001137E-3</v>
      </c>
      <c r="I157">
        <f>IFERROR(VLOOKUP(A157,#REF!,12,0)*1,0)</f>
        <v>0</v>
      </c>
    </row>
    <row r="158" spans="1:9" ht="16.5" x14ac:dyDescent="0.3">
      <c r="A158" s="3">
        <f t="shared" si="8"/>
        <v>44197</v>
      </c>
      <c r="B158">
        <f t="shared" si="9"/>
        <v>2021</v>
      </c>
      <c r="C158">
        <f t="shared" si="10"/>
        <v>1</v>
      </c>
      <c r="D158">
        <f t="shared" si="11"/>
        <v>1</v>
      </c>
      <c r="E158" s="2">
        <v>44197</v>
      </c>
      <c r="F158">
        <v>0</v>
      </c>
      <c r="H158">
        <v>2.6999999999999691E-2</v>
      </c>
      <c r="I158">
        <f>IFERROR(VLOOKUP(A158,#REF!,12,0)*1,0)</f>
        <v>0</v>
      </c>
    </row>
    <row r="159" spans="1:9" ht="16.5" x14ac:dyDescent="0.3">
      <c r="A159" s="3">
        <f t="shared" si="8"/>
        <v>44228</v>
      </c>
      <c r="B159">
        <f t="shared" si="9"/>
        <v>2021</v>
      </c>
      <c r="C159">
        <f t="shared" si="10"/>
        <v>2</v>
      </c>
      <c r="D159">
        <f t="shared" si="11"/>
        <v>1</v>
      </c>
      <c r="E159" s="2">
        <v>44228</v>
      </c>
      <c r="F159">
        <v>0</v>
      </c>
      <c r="H159">
        <v>-9.9999999999988987E-4</v>
      </c>
      <c r="I159">
        <f>IFERROR(VLOOKUP(A159,#REF!,12,0)*1,0)</f>
        <v>0</v>
      </c>
    </row>
    <row r="160" spans="1:9" ht="16.5" x14ac:dyDescent="0.3">
      <c r="A160" s="3">
        <f t="shared" si="8"/>
        <v>44256</v>
      </c>
      <c r="B160">
        <f t="shared" si="9"/>
        <v>2021</v>
      </c>
      <c r="C160">
        <f t="shared" si="10"/>
        <v>3</v>
      </c>
      <c r="D160">
        <f t="shared" si="11"/>
        <v>1</v>
      </c>
      <c r="E160" s="2">
        <v>44256</v>
      </c>
      <c r="F160">
        <v>0</v>
      </c>
      <c r="H160">
        <v>4.0000000000000036E-3</v>
      </c>
      <c r="I160">
        <f>IFERROR(VLOOKUP(A160,#REF!,12,0)*1,0)</f>
        <v>0</v>
      </c>
    </row>
    <row r="161" spans="1:9" ht="16.5" x14ac:dyDescent="0.3">
      <c r="A161" s="3">
        <f t="shared" si="8"/>
        <v>44287</v>
      </c>
      <c r="B161">
        <f t="shared" si="9"/>
        <v>2021</v>
      </c>
      <c r="C161">
        <f t="shared" si="10"/>
        <v>4</v>
      </c>
      <c r="D161">
        <f t="shared" si="11"/>
        <v>1</v>
      </c>
      <c r="E161" s="2">
        <v>44287</v>
      </c>
      <c r="F161">
        <v>0</v>
      </c>
      <c r="H161">
        <v>6.9999999999998952E-3</v>
      </c>
      <c r="I161">
        <f>IFERROR(VLOOKUP(A161,#REF!,12,0)*1,0)</f>
        <v>0</v>
      </c>
    </row>
    <row r="162" spans="1:9" ht="16.5" x14ac:dyDescent="0.3">
      <c r="A162" s="3">
        <f t="shared" si="8"/>
        <v>44317</v>
      </c>
      <c r="B162">
        <f t="shared" si="9"/>
        <v>2021</v>
      </c>
      <c r="C162">
        <f t="shared" si="10"/>
        <v>5</v>
      </c>
      <c r="D162">
        <f t="shared" si="11"/>
        <v>1</v>
      </c>
      <c r="E162" s="2">
        <v>44317</v>
      </c>
      <c r="F162">
        <v>0</v>
      </c>
      <c r="H162">
        <v>-6.0000000000000053E-3</v>
      </c>
      <c r="I162">
        <f>IFERROR(VLOOKUP(A162,#REF!,12,0)*1,0)</f>
        <v>0</v>
      </c>
    </row>
    <row r="163" spans="1:9" ht="16.5" x14ac:dyDescent="0.3">
      <c r="A163" s="3">
        <f t="shared" si="8"/>
        <v>44348</v>
      </c>
      <c r="B163">
        <f t="shared" si="9"/>
        <v>2021</v>
      </c>
      <c r="C163">
        <f t="shared" si="10"/>
        <v>6</v>
      </c>
      <c r="D163">
        <f t="shared" si="11"/>
        <v>1</v>
      </c>
      <c r="E163" s="2">
        <v>44348</v>
      </c>
      <c r="F163">
        <v>0</v>
      </c>
      <c r="H163">
        <v>-3.4000000000000252E-2</v>
      </c>
      <c r="I163">
        <f>IFERROR(VLOOKUP(A163,#REF!,12,0)*1,0)</f>
        <v>0</v>
      </c>
    </row>
    <row r="164" spans="1:9" ht="16.5" x14ac:dyDescent="0.3">
      <c r="A164" s="3">
        <f t="shared" si="8"/>
        <v>44378</v>
      </c>
      <c r="B164">
        <f t="shared" si="9"/>
        <v>2021</v>
      </c>
      <c r="C164">
        <f t="shared" si="10"/>
        <v>7</v>
      </c>
      <c r="D164">
        <f t="shared" si="11"/>
        <v>1</v>
      </c>
      <c r="E164" s="2">
        <v>44378</v>
      </c>
      <c r="F164">
        <v>0</v>
      </c>
      <c r="H164">
        <v>-9.9999999999988987E-4</v>
      </c>
      <c r="I164">
        <f>IFERROR(VLOOKUP(A164,#REF!,12,0)*1,0)</f>
        <v>0</v>
      </c>
    </row>
    <row r="165" spans="1:9" ht="16.5" x14ac:dyDescent="0.3">
      <c r="A165" s="3">
        <f t="shared" si="8"/>
        <v>44409</v>
      </c>
      <c r="B165">
        <f t="shared" si="9"/>
        <v>2021</v>
      </c>
      <c r="C165">
        <f t="shared" si="10"/>
        <v>8</v>
      </c>
      <c r="D165">
        <f t="shared" si="11"/>
        <v>1</v>
      </c>
      <c r="E165" s="2">
        <v>44409</v>
      </c>
      <c r="F165">
        <v>0</v>
      </c>
      <c r="H165">
        <v>-2.2999999999999909E-2</v>
      </c>
      <c r="I165">
        <f>IFERROR(VLOOKUP(A165,#REF!,12,0)*1,0)</f>
        <v>0</v>
      </c>
    </row>
    <row r="166" spans="1:9" ht="16.5" x14ac:dyDescent="0.3">
      <c r="A166" s="3">
        <f t="shared" si="8"/>
        <v>44440</v>
      </c>
      <c r="B166">
        <f t="shared" si="9"/>
        <v>2021</v>
      </c>
      <c r="C166">
        <f t="shared" si="10"/>
        <v>9</v>
      </c>
      <c r="D166">
        <f t="shared" si="11"/>
        <v>1</v>
      </c>
      <c r="E166" s="2">
        <v>44440</v>
      </c>
      <c r="F166">
        <v>-9.9999999999997868E-3</v>
      </c>
      <c r="H166">
        <v>-8.3000000000000185E-2</v>
      </c>
      <c r="I166">
        <f>IFERROR(VLOOKUP(A166,#REF!,12,0)*1,0)</f>
        <v>0</v>
      </c>
    </row>
    <row r="167" spans="1:9" ht="16.5" x14ac:dyDescent="0.3">
      <c r="A167" s="3">
        <f t="shared" si="8"/>
        <v>44470</v>
      </c>
      <c r="B167">
        <f t="shared" si="9"/>
        <v>2021</v>
      </c>
      <c r="C167">
        <f t="shared" si="10"/>
        <v>10</v>
      </c>
      <c r="D167">
        <f t="shared" si="11"/>
        <v>1</v>
      </c>
      <c r="E167" s="2">
        <v>44470</v>
      </c>
      <c r="F167">
        <v>0.16999999999999993</v>
      </c>
      <c r="H167">
        <v>7.6000000000000068E-2</v>
      </c>
      <c r="I167">
        <f>IFERROR(VLOOKUP(A167,#REF!,12,0)*1,0)</f>
        <v>0</v>
      </c>
    </row>
    <row r="168" spans="1:9" ht="16.5" x14ac:dyDescent="0.3">
      <c r="A168" s="3">
        <f t="shared" si="8"/>
        <v>44501</v>
      </c>
      <c r="B168">
        <f t="shared" si="9"/>
        <v>2021</v>
      </c>
      <c r="C168">
        <f t="shared" si="10"/>
        <v>11</v>
      </c>
      <c r="D168">
        <f t="shared" si="11"/>
        <v>1</v>
      </c>
      <c r="E168" s="2">
        <v>44501</v>
      </c>
      <c r="F168">
        <v>0</v>
      </c>
      <c r="H168">
        <v>0</v>
      </c>
      <c r="I168">
        <f>IFERROR(VLOOKUP(A168,#REF!,12,0)*1,0)</f>
        <v>0</v>
      </c>
    </row>
    <row r="169" spans="1:9" ht="16.5" x14ac:dyDescent="0.3">
      <c r="A169" s="3">
        <f t="shared" si="8"/>
        <v>44531</v>
      </c>
      <c r="B169">
        <f t="shared" si="9"/>
        <v>2021</v>
      </c>
      <c r="C169">
        <f t="shared" si="10"/>
        <v>12</v>
      </c>
      <c r="D169">
        <f t="shared" si="11"/>
        <v>1</v>
      </c>
      <c r="E169" s="2">
        <v>44531</v>
      </c>
      <c r="F169">
        <v>0</v>
      </c>
      <c r="H169">
        <v>-0.129</v>
      </c>
      <c r="I169">
        <f>IFERROR(VLOOKUP(A169,#REF!,12,0)*1,0)</f>
        <v>0</v>
      </c>
    </row>
    <row r="170" spans="1:9" ht="16.5" x14ac:dyDescent="0.3">
      <c r="A170" s="3">
        <f t="shared" si="8"/>
        <v>44562</v>
      </c>
      <c r="B170">
        <f t="shared" si="9"/>
        <v>2022</v>
      </c>
      <c r="C170">
        <f t="shared" si="10"/>
        <v>1</v>
      </c>
      <c r="D170">
        <f t="shared" si="11"/>
        <v>1</v>
      </c>
      <c r="E170" s="2">
        <v>44562</v>
      </c>
      <c r="F170">
        <v>0.25</v>
      </c>
      <c r="H170">
        <v>0.13299999999999956</v>
      </c>
      <c r="I170">
        <f>IFERROR(VLOOKUP(A170,#REF!,12,0)*1,0)</f>
        <v>0</v>
      </c>
    </row>
    <row r="171" spans="1:9" ht="16.5" x14ac:dyDescent="0.3">
      <c r="A171" s="3">
        <f t="shared" si="8"/>
        <v>44593</v>
      </c>
      <c r="B171">
        <f t="shared" si="9"/>
        <v>2022</v>
      </c>
      <c r="C171">
        <f t="shared" si="10"/>
        <v>2</v>
      </c>
      <c r="D171">
        <f t="shared" si="11"/>
        <v>1</v>
      </c>
      <c r="E171" s="2">
        <v>44593</v>
      </c>
      <c r="F171">
        <v>0</v>
      </c>
      <c r="H171">
        <v>0</v>
      </c>
      <c r="I171">
        <f>IFERROR(VLOOKUP(A171,#REF!,12,0)*1,0)</f>
        <v>0</v>
      </c>
    </row>
    <row r="172" spans="1:9" ht="16.5" x14ac:dyDescent="0.3">
      <c r="A172" s="3">
        <f t="shared" si="8"/>
        <v>44621</v>
      </c>
      <c r="B172">
        <f t="shared" si="9"/>
        <v>2022</v>
      </c>
      <c r="C172">
        <f t="shared" si="10"/>
        <v>3</v>
      </c>
      <c r="D172">
        <f t="shared" si="11"/>
        <v>1</v>
      </c>
      <c r="E172" s="2">
        <v>44621</v>
      </c>
      <c r="F172">
        <v>-0.5</v>
      </c>
      <c r="H172">
        <v>-0.46699999999999964</v>
      </c>
      <c r="I172">
        <f>IFERROR(VLOOKUP(A172,#REF!,12,0)*1,0)</f>
        <v>0</v>
      </c>
    </row>
    <row r="173" spans="1:9" ht="16.5" x14ac:dyDescent="0.3">
      <c r="A173" s="3">
        <f t="shared" si="8"/>
        <v>44652</v>
      </c>
      <c r="B173">
        <f t="shared" si="9"/>
        <v>2022</v>
      </c>
      <c r="C173">
        <f t="shared" si="10"/>
        <v>4</v>
      </c>
      <c r="D173">
        <f t="shared" si="11"/>
        <v>1</v>
      </c>
      <c r="E173" s="2">
        <v>44652</v>
      </c>
      <c r="F173">
        <v>0</v>
      </c>
      <c r="H173">
        <v>-4.6000000000000263E-2</v>
      </c>
      <c r="I173">
        <f>IFERROR(VLOOKUP(A173,#REF!,12,0)*1,0)</f>
        <v>0</v>
      </c>
    </row>
    <row r="174" spans="1:9" ht="16.5" x14ac:dyDescent="0.3">
      <c r="A174" s="3">
        <f t="shared" si="8"/>
        <v>44682</v>
      </c>
      <c r="B174">
        <f t="shared" si="9"/>
        <v>2022</v>
      </c>
      <c r="C174">
        <f t="shared" si="10"/>
        <v>5</v>
      </c>
      <c r="D174">
        <f t="shared" si="11"/>
        <v>1</v>
      </c>
      <c r="E174" s="2">
        <v>44682</v>
      </c>
      <c r="F174">
        <v>0</v>
      </c>
      <c r="H174">
        <v>0</v>
      </c>
      <c r="I174">
        <f>IFERROR(VLOOKUP(A174,#REF!,12,0)*1,0)</f>
        <v>0</v>
      </c>
    </row>
    <row r="175" spans="1:9" ht="16.5" x14ac:dyDescent="0.3">
      <c r="A175" s="3">
        <f t="shared" si="8"/>
        <v>44713</v>
      </c>
      <c r="B175">
        <f t="shared" si="9"/>
        <v>2022</v>
      </c>
      <c r="C175">
        <f t="shared" si="10"/>
        <v>6</v>
      </c>
      <c r="D175">
        <f t="shared" si="11"/>
        <v>1</v>
      </c>
      <c r="E175" s="2">
        <v>44713</v>
      </c>
      <c r="F175">
        <v>0</v>
      </c>
      <c r="H175">
        <v>3.0000000000001137E-3</v>
      </c>
      <c r="I175">
        <f>IFERROR(VLOOKUP(A175,#REF!,12,0)*1,0)</f>
        <v>0</v>
      </c>
    </row>
    <row r="176" spans="1:9" ht="16.5" x14ac:dyDescent="0.3">
      <c r="A176" s="3">
        <f t="shared" si="8"/>
        <v>44743</v>
      </c>
      <c r="B176">
        <f t="shared" si="9"/>
        <v>2022</v>
      </c>
      <c r="C176">
        <f t="shared" si="10"/>
        <v>7</v>
      </c>
      <c r="D176">
        <f t="shared" si="11"/>
        <v>1</v>
      </c>
      <c r="E176" s="2">
        <v>44743</v>
      </c>
      <c r="F176">
        <v>0</v>
      </c>
      <c r="H176">
        <v>1.699999999999946E-2</v>
      </c>
      <c r="I176">
        <f>IFERROR(VLOOKUP(A176,#REF!,12,0)*1,0)</f>
        <v>0</v>
      </c>
    </row>
    <row r="177" spans="1:9" ht="16.5" x14ac:dyDescent="0.3">
      <c r="A177" s="3">
        <f t="shared" si="8"/>
        <v>44774</v>
      </c>
      <c r="B177">
        <f t="shared" si="9"/>
        <v>2022</v>
      </c>
      <c r="C177">
        <f t="shared" si="10"/>
        <v>8</v>
      </c>
      <c r="D177">
        <f t="shared" si="11"/>
        <v>1</v>
      </c>
      <c r="E177" s="2">
        <v>44774</v>
      </c>
      <c r="F177">
        <v>0</v>
      </c>
      <c r="H177">
        <v>0</v>
      </c>
      <c r="I177">
        <f>IFERROR(VLOOKUP(A177,#REF!,12,0)*1,0)</f>
        <v>0</v>
      </c>
    </row>
    <row r="178" spans="1:9" ht="16.5" x14ac:dyDescent="0.3">
      <c r="A178" s="3">
        <f t="shared" si="8"/>
        <v>44805</v>
      </c>
      <c r="B178">
        <f t="shared" si="9"/>
        <v>2022</v>
      </c>
      <c r="C178">
        <f t="shared" si="10"/>
        <v>9</v>
      </c>
      <c r="D178">
        <f t="shared" si="11"/>
        <v>1</v>
      </c>
      <c r="E178" s="2">
        <v>44805</v>
      </c>
      <c r="F178">
        <v>-0.5</v>
      </c>
      <c r="H178">
        <v>-0.3490000000000002</v>
      </c>
      <c r="I178">
        <f>IFERROR(VLOOKUP(A178,#REF!,12,0)*1,0)</f>
        <v>0</v>
      </c>
    </row>
    <row r="179" spans="1:9" ht="16.5" x14ac:dyDescent="0.3">
      <c r="A179" s="3">
        <f t="shared" si="8"/>
        <v>44835</v>
      </c>
      <c r="B179">
        <f t="shared" si="9"/>
        <v>2022</v>
      </c>
      <c r="C179">
        <f t="shared" si="10"/>
        <v>10</v>
      </c>
      <c r="D179">
        <f t="shared" si="11"/>
        <v>1</v>
      </c>
      <c r="E179" s="2">
        <v>44835</v>
      </c>
      <c r="F179">
        <v>0</v>
      </c>
      <c r="H179">
        <v>-1.6000000000000014E-2</v>
      </c>
      <c r="I179">
        <f>IFERROR(VLOOKUP(A179,#REF!,12,0)*1,0)</f>
        <v>0</v>
      </c>
    </row>
    <row r="180" spans="1:9" ht="16.5" x14ac:dyDescent="0.3">
      <c r="A180" s="3">
        <f t="shared" si="8"/>
        <v>44866</v>
      </c>
      <c r="B180">
        <f t="shared" si="9"/>
        <v>2022</v>
      </c>
      <c r="C180">
        <f t="shared" si="10"/>
        <v>11</v>
      </c>
      <c r="D180">
        <f t="shared" si="11"/>
        <v>1</v>
      </c>
      <c r="E180" s="2">
        <v>44866</v>
      </c>
      <c r="F180">
        <v>0</v>
      </c>
      <c r="H180">
        <v>0</v>
      </c>
      <c r="I180">
        <f>IFERROR(VLOOKUP(A180,#REF!,12,0)*1,0)</f>
        <v>0</v>
      </c>
    </row>
    <row r="181" spans="1:9" ht="16.5" x14ac:dyDescent="0.3">
      <c r="A181" s="3">
        <f t="shared" si="8"/>
        <v>44896</v>
      </c>
      <c r="B181">
        <f t="shared" si="9"/>
        <v>2022</v>
      </c>
      <c r="C181">
        <f t="shared" si="10"/>
        <v>12</v>
      </c>
      <c r="D181">
        <f t="shared" si="11"/>
        <v>1</v>
      </c>
      <c r="E181" s="2">
        <v>44896</v>
      </c>
      <c r="F181">
        <v>0</v>
      </c>
      <c r="H181">
        <v>0.20100000000000051</v>
      </c>
      <c r="I181">
        <f>IFERROR(VLOOKUP(A181,#REF!,12,0)*1,0)</f>
        <v>0</v>
      </c>
    </row>
    <row r="182" spans="1:9" ht="16.5" x14ac:dyDescent="0.3">
      <c r="A182" s="3">
        <f t="shared" si="8"/>
        <v>44927</v>
      </c>
      <c r="B182">
        <f t="shared" si="9"/>
        <v>2023</v>
      </c>
      <c r="C182">
        <f t="shared" si="10"/>
        <v>1</v>
      </c>
      <c r="D182">
        <f t="shared" si="11"/>
        <v>1</v>
      </c>
      <c r="E182" s="2">
        <v>44927</v>
      </c>
      <c r="F182">
        <v>-0.25</v>
      </c>
      <c r="H182">
        <v>8.3000000000000185E-2</v>
      </c>
      <c r="I182">
        <f>IFERROR(VLOOKUP(A182,#REF!,12,0)*1,0)</f>
        <v>0</v>
      </c>
    </row>
    <row r="183" spans="1:9" ht="16.5" x14ac:dyDescent="0.3">
      <c r="A183" s="3">
        <f t="shared" si="8"/>
        <v>44958</v>
      </c>
      <c r="B183">
        <f t="shared" si="9"/>
        <v>2023</v>
      </c>
      <c r="C183">
        <f t="shared" si="10"/>
        <v>2</v>
      </c>
      <c r="D183">
        <f t="shared" si="11"/>
        <v>1</v>
      </c>
      <c r="E183" s="2">
        <v>44958</v>
      </c>
      <c r="F183">
        <v>0</v>
      </c>
      <c r="H183">
        <v>0</v>
      </c>
      <c r="I183">
        <f>IFERROR(VLOOKUP(A183,#REF!,12,0)*1,0)</f>
        <v>0</v>
      </c>
    </row>
    <row r="184" spans="1:9" ht="16.5" x14ac:dyDescent="0.3">
      <c r="A184" s="3">
        <f t="shared" si="8"/>
        <v>44986</v>
      </c>
      <c r="B184">
        <f t="shared" si="9"/>
        <v>2023</v>
      </c>
      <c r="C184">
        <f t="shared" si="10"/>
        <v>3</v>
      </c>
      <c r="D184">
        <f t="shared" si="11"/>
        <v>1</v>
      </c>
      <c r="E184" s="2">
        <v>44986</v>
      </c>
      <c r="F184">
        <v>0</v>
      </c>
      <c r="H184">
        <v>1.2999999999998124E-2</v>
      </c>
      <c r="I184">
        <f>IFERROR(VLOOKUP(A184,#REF!,12,0)*1,0)</f>
        <v>0</v>
      </c>
    </row>
    <row r="185" spans="1:9" ht="16.5" x14ac:dyDescent="0.3">
      <c r="A185" s="3">
        <f t="shared" si="8"/>
        <v>45017</v>
      </c>
      <c r="B185">
        <f t="shared" si="9"/>
        <v>2023</v>
      </c>
      <c r="C185">
        <f t="shared" si="10"/>
        <v>4</v>
      </c>
      <c r="D185">
        <f t="shared" si="11"/>
        <v>1</v>
      </c>
      <c r="E185" s="2">
        <v>45017</v>
      </c>
      <c r="F185">
        <v>0.25</v>
      </c>
      <c r="H185">
        <v>0.13299999999999912</v>
      </c>
      <c r="I185">
        <f>IFERROR(VLOOKUP(A185,#REF!,12,0)*1,0)</f>
        <v>0</v>
      </c>
    </row>
    <row r="186" spans="1:9" ht="16.5" x14ac:dyDescent="0.3">
      <c r="A186" s="3">
        <f t="shared" si="8"/>
        <v>45047</v>
      </c>
      <c r="B186">
        <f t="shared" si="9"/>
        <v>2023</v>
      </c>
      <c r="C186">
        <f t="shared" si="10"/>
        <v>5</v>
      </c>
      <c r="D186">
        <f t="shared" si="11"/>
        <v>1</v>
      </c>
      <c r="E186" s="2">
        <v>45047</v>
      </c>
      <c r="F186">
        <v>0</v>
      </c>
      <c r="H186">
        <v>0</v>
      </c>
      <c r="I186">
        <f>IFERROR(VLOOKUP(A186,#REF!,12,0)*1,0)</f>
        <v>0</v>
      </c>
    </row>
    <row r="187" spans="1:9" ht="16.5" x14ac:dyDescent="0.3">
      <c r="A187" s="3">
        <f t="shared" si="8"/>
        <v>45078</v>
      </c>
      <c r="B187">
        <f t="shared" si="9"/>
        <v>2023</v>
      </c>
      <c r="C187">
        <f t="shared" si="10"/>
        <v>6</v>
      </c>
      <c r="D187">
        <f t="shared" si="11"/>
        <v>1</v>
      </c>
      <c r="E187" s="2">
        <v>45078</v>
      </c>
      <c r="F187">
        <v>0</v>
      </c>
      <c r="H187">
        <v>2.0000000000006679E-3</v>
      </c>
      <c r="I187">
        <f>IFERROR(VLOOKUP(A187,#REF!,12,0)*1,0)</f>
        <v>0</v>
      </c>
    </row>
    <row r="188" spans="1:9" ht="16.5" x14ac:dyDescent="0.3">
      <c r="A188" s="3">
        <f t="shared" si="8"/>
        <v>45108</v>
      </c>
      <c r="B188">
        <f t="shared" si="9"/>
        <v>2023</v>
      </c>
      <c r="C188">
        <f t="shared" si="10"/>
        <v>7</v>
      </c>
      <c r="D188">
        <f t="shared" si="11"/>
        <v>1</v>
      </c>
      <c r="E188" s="2">
        <v>45108</v>
      </c>
      <c r="F188">
        <v>0</v>
      </c>
      <c r="H188">
        <v>0</v>
      </c>
      <c r="I188">
        <f>IFERROR(VLOOKUP(A188,#REF!,12,0)*1,0)</f>
        <v>0</v>
      </c>
    </row>
    <row r="189" spans="1:9" ht="16.5" x14ac:dyDescent="0.3">
      <c r="A189" s="3">
        <f t="shared" si="8"/>
        <v>45139</v>
      </c>
      <c r="B189">
        <f t="shared" si="9"/>
        <v>2023</v>
      </c>
      <c r="C189">
        <f t="shared" si="10"/>
        <v>8</v>
      </c>
      <c r="D189">
        <f t="shared" si="11"/>
        <v>1</v>
      </c>
      <c r="E189" s="2">
        <v>45139</v>
      </c>
      <c r="F189">
        <v>0</v>
      </c>
      <c r="H189">
        <v>0</v>
      </c>
      <c r="I189">
        <f>IFERROR(VLOOKUP(A189,#REF!,12,0)*1,0)</f>
        <v>0</v>
      </c>
    </row>
    <row r="190" spans="1:9" ht="16.5" x14ac:dyDescent="0.3">
      <c r="A190" s="3">
        <f t="shared" si="8"/>
        <v>45170</v>
      </c>
      <c r="B190">
        <f t="shared" si="9"/>
        <v>2023</v>
      </c>
      <c r="C190">
        <f t="shared" si="10"/>
        <v>9</v>
      </c>
      <c r="D190">
        <f t="shared" si="11"/>
        <v>1</v>
      </c>
      <c r="E190" s="2">
        <v>45170</v>
      </c>
      <c r="F190">
        <v>0</v>
      </c>
      <c r="H190">
        <v>1.0999999999999233E-2</v>
      </c>
      <c r="I190">
        <f>IFERROR(VLOOKUP(A190,#REF!,12,0)*1,0)</f>
        <v>0</v>
      </c>
    </row>
    <row r="191" spans="1:9" ht="16.5" x14ac:dyDescent="0.3">
      <c r="A191" s="3">
        <f t="shared" si="8"/>
        <v>45200</v>
      </c>
      <c r="B191">
        <f t="shared" si="9"/>
        <v>2023</v>
      </c>
      <c r="C191">
        <f t="shared" si="10"/>
        <v>10</v>
      </c>
      <c r="D191">
        <f t="shared" si="11"/>
        <v>1</v>
      </c>
      <c r="E191" s="2">
        <v>45200</v>
      </c>
      <c r="F191">
        <v>0</v>
      </c>
      <c r="H191">
        <v>-9.9999999999944578E-4</v>
      </c>
      <c r="I191">
        <f>IFERROR(VLOOKUP(A191,#REF!,12,0)*1,0)</f>
        <v>0</v>
      </c>
    </row>
    <row r="192" spans="1:9" ht="16.5" x14ac:dyDescent="0.3">
      <c r="A192" s="3">
        <f t="shared" si="8"/>
        <v>45231</v>
      </c>
      <c r="B192">
        <f t="shared" si="9"/>
        <v>2023</v>
      </c>
      <c r="C192">
        <f t="shared" si="10"/>
        <v>11</v>
      </c>
      <c r="D192">
        <f t="shared" si="11"/>
        <v>1</v>
      </c>
      <c r="E192" s="2">
        <v>45231</v>
      </c>
      <c r="F192">
        <v>0</v>
      </c>
      <c r="H192">
        <v>0</v>
      </c>
      <c r="I192">
        <f>IFERROR(VLOOKUP(A192,#REF!,12,0)*1,0)</f>
        <v>0</v>
      </c>
    </row>
    <row r="193" spans="1:9" ht="16.5" x14ac:dyDescent="0.3">
      <c r="A193" s="3">
        <f t="shared" si="8"/>
        <v>45261</v>
      </c>
      <c r="B193">
        <f t="shared" si="9"/>
        <v>2023</v>
      </c>
      <c r="C193">
        <f t="shared" si="10"/>
        <v>12</v>
      </c>
      <c r="D193">
        <f t="shared" si="11"/>
        <v>1</v>
      </c>
      <c r="E193" s="2">
        <v>45261</v>
      </c>
      <c r="F193">
        <v>0</v>
      </c>
      <c r="H193">
        <v>-0.10000000000000142</v>
      </c>
      <c r="I193">
        <f>IFERROR(VLOOKUP(A193,#REF!,12,0)*1,0)</f>
        <v>0</v>
      </c>
    </row>
    <row r="194" spans="1:9" ht="16.5" x14ac:dyDescent="0.3">
      <c r="A194" s="3">
        <f t="shared" si="8"/>
        <v>45292</v>
      </c>
      <c r="B194">
        <f t="shared" si="9"/>
        <v>2024</v>
      </c>
      <c r="C194">
        <f t="shared" si="10"/>
        <v>1</v>
      </c>
      <c r="D194">
        <f t="shared" si="11"/>
        <v>1</v>
      </c>
      <c r="E194" s="2">
        <v>45292</v>
      </c>
      <c r="F194">
        <v>0.25</v>
      </c>
      <c r="H194">
        <v>0.18299999999999983</v>
      </c>
      <c r="I194">
        <f>IFERROR(VLOOKUP(A194,#REF!,12,0)*1,0)</f>
        <v>0</v>
      </c>
    </row>
    <row r="195" spans="1:9" ht="16.5" x14ac:dyDescent="0.3">
      <c r="A195" s="3">
        <f t="shared" ref="A195:A211" si="12">DATE(YEAR(E195),MONTH(E195),1)</f>
        <v>45323</v>
      </c>
      <c r="B195">
        <f t="shared" ref="B195:B211" si="13">YEAR(A195)</f>
        <v>2024</v>
      </c>
      <c r="C195">
        <f t="shared" ref="C195:C211" si="14">MONTH(A195)</f>
        <v>2</v>
      </c>
      <c r="D195">
        <f t="shared" ref="D195:D211" si="15">DAY(A195)</f>
        <v>1</v>
      </c>
      <c r="E195" s="2">
        <v>45323</v>
      </c>
      <c r="F195">
        <v>0</v>
      </c>
      <c r="H195">
        <v>0</v>
      </c>
      <c r="I195">
        <f>IFERROR(VLOOKUP(A195,#REF!,12,0)*1,0)</f>
        <v>0</v>
      </c>
    </row>
    <row r="196" spans="1:9" ht="16.5" x14ac:dyDescent="0.3">
      <c r="A196" s="3">
        <f t="shared" si="12"/>
        <v>45352</v>
      </c>
      <c r="B196">
        <f t="shared" si="13"/>
        <v>2024</v>
      </c>
      <c r="C196">
        <f t="shared" si="14"/>
        <v>3</v>
      </c>
      <c r="D196">
        <f t="shared" si="15"/>
        <v>1</v>
      </c>
      <c r="E196" s="2">
        <v>45352</v>
      </c>
      <c r="F196">
        <v>0</v>
      </c>
      <c r="H196">
        <v>-1.8000000000000682E-2</v>
      </c>
      <c r="I196">
        <f>IFERROR(VLOOKUP(A196,#REF!,12,0)*1,0)</f>
        <v>0</v>
      </c>
    </row>
    <row r="197" spans="1:9" ht="16.5" x14ac:dyDescent="0.3">
      <c r="A197" s="3">
        <f t="shared" si="12"/>
        <v>45383</v>
      </c>
      <c r="B197">
        <f t="shared" si="13"/>
        <v>2024</v>
      </c>
      <c r="C197">
        <f t="shared" si="14"/>
        <v>4</v>
      </c>
      <c r="D197">
        <f t="shared" si="15"/>
        <v>1</v>
      </c>
      <c r="E197" s="2">
        <v>45383</v>
      </c>
      <c r="F197">
        <v>0</v>
      </c>
      <c r="H197">
        <v>-2.2000000000000242E-2</v>
      </c>
      <c r="I197">
        <f>IFERROR(VLOOKUP(A197,#REF!,12,0)*1,0)</f>
        <v>0</v>
      </c>
    </row>
    <row r="198" spans="1:9" ht="16.5" x14ac:dyDescent="0.3">
      <c r="A198" s="3">
        <f t="shared" si="12"/>
        <v>45413</v>
      </c>
      <c r="B198">
        <f t="shared" si="13"/>
        <v>2024</v>
      </c>
      <c r="C198">
        <f t="shared" si="14"/>
        <v>5</v>
      </c>
      <c r="D198">
        <f t="shared" si="15"/>
        <v>1</v>
      </c>
      <c r="E198" s="2">
        <v>45413</v>
      </c>
      <c r="F198">
        <v>0</v>
      </c>
      <c r="H198">
        <v>0</v>
      </c>
      <c r="I198">
        <f>IFERROR(VLOOKUP(A198,#REF!,12,0)*1,0)</f>
        <v>0</v>
      </c>
    </row>
    <row r="199" spans="1:9" ht="16.5" x14ac:dyDescent="0.3">
      <c r="A199" s="3">
        <f t="shared" si="12"/>
        <v>45444</v>
      </c>
      <c r="B199">
        <f t="shared" si="13"/>
        <v>2024</v>
      </c>
      <c r="C199">
        <f t="shared" si="14"/>
        <v>6</v>
      </c>
      <c r="D199">
        <f t="shared" si="15"/>
        <v>1</v>
      </c>
      <c r="E199" s="2">
        <v>45444</v>
      </c>
      <c r="F199">
        <v>0</v>
      </c>
      <c r="H199">
        <v>2.8000000000000469E-2</v>
      </c>
      <c r="I199">
        <f>IFERROR(VLOOKUP(A199,#REF!,12,0)*1,0)</f>
        <v>0</v>
      </c>
    </row>
    <row r="200" spans="1:9" ht="16.5" x14ac:dyDescent="0.3">
      <c r="A200" s="3">
        <f t="shared" si="12"/>
        <v>45474</v>
      </c>
      <c r="B200">
        <f t="shared" si="13"/>
        <v>2024</v>
      </c>
      <c r="C200">
        <f t="shared" si="14"/>
        <v>7</v>
      </c>
      <c r="D200">
        <f t="shared" si="15"/>
        <v>1</v>
      </c>
      <c r="E200" s="2">
        <v>45474</v>
      </c>
      <c r="F200">
        <v>0</v>
      </c>
      <c r="H200">
        <v>1.2000000000000455E-2</v>
      </c>
      <c r="I200">
        <f>IFERROR(VLOOKUP(A200,#REF!,12,0)*1,0)</f>
        <v>0</v>
      </c>
    </row>
    <row r="201" spans="1:9" ht="16.5" x14ac:dyDescent="0.3">
      <c r="A201" s="3">
        <f t="shared" si="12"/>
        <v>45505</v>
      </c>
      <c r="B201">
        <f t="shared" si="13"/>
        <v>2024</v>
      </c>
      <c r="C201">
        <f t="shared" si="14"/>
        <v>8</v>
      </c>
      <c r="D201">
        <f t="shared" si="15"/>
        <v>1</v>
      </c>
      <c r="E201" s="2">
        <v>45505</v>
      </c>
      <c r="F201">
        <v>0</v>
      </c>
      <c r="H201">
        <v>0</v>
      </c>
      <c r="I201">
        <f>IFERROR(VLOOKUP(A201,#REF!,12,0)*1,0)</f>
        <v>0</v>
      </c>
    </row>
    <row r="202" spans="1:9" ht="16.5" x14ac:dyDescent="0.3">
      <c r="A202" s="3">
        <f t="shared" si="12"/>
        <v>45536</v>
      </c>
      <c r="B202">
        <f t="shared" si="13"/>
        <v>2024</v>
      </c>
      <c r="C202">
        <f t="shared" si="14"/>
        <v>9</v>
      </c>
      <c r="D202">
        <f t="shared" si="15"/>
        <v>1</v>
      </c>
      <c r="E202" s="2">
        <v>45536</v>
      </c>
      <c r="F202">
        <v>0</v>
      </c>
      <c r="H202">
        <v>7.7999999999999403E-2</v>
      </c>
      <c r="I202">
        <f>IFERROR(VLOOKUP(A202,#REF!,12,0)*1,0)</f>
        <v>0</v>
      </c>
    </row>
    <row r="203" spans="1:9" ht="16.5" x14ac:dyDescent="0.3">
      <c r="A203" s="3">
        <f t="shared" si="12"/>
        <v>45566</v>
      </c>
      <c r="B203">
        <f t="shared" si="13"/>
        <v>2024</v>
      </c>
      <c r="C203">
        <f t="shared" si="14"/>
        <v>10</v>
      </c>
      <c r="D203">
        <f t="shared" si="15"/>
        <v>1</v>
      </c>
      <c r="E203" s="2">
        <v>45566</v>
      </c>
      <c r="F203">
        <v>0</v>
      </c>
      <c r="H203">
        <v>1.699999999999946E-2</v>
      </c>
      <c r="I203">
        <f>IFERROR(VLOOKUP(A203,#REF!,12,0)*1,0)</f>
        <v>0</v>
      </c>
    </row>
    <row r="204" spans="1:9" ht="16.5" x14ac:dyDescent="0.3">
      <c r="A204" s="3">
        <f t="shared" si="12"/>
        <v>45597</v>
      </c>
      <c r="B204">
        <f t="shared" si="13"/>
        <v>2024</v>
      </c>
      <c r="C204">
        <f t="shared" si="14"/>
        <v>11</v>
      </c>
      <c r="D204">
        <f t="shared" si="15"/>
        <v>1</v>
      </c>
      <c r="E204" s="2">
        <v>45597</v>
      </c>
      <c r="F204">
        <v>0</v>
      </c>
      <c r="H204">
        <v>0</v>
      </c>
      <c r="I204">
        <f>IFERROR(VLOOKUP(A204,#REF!,12,0)*1,0)</f>
        <v>0</v>
      </c>
    </row>
    <row r="205" spans="1:9" ht="16.5" x14ac:dyDescent="0.3">
      <c r="A205" s="3">
        <f t="shared" si="12"/>
        <v>45627</v>
      </c>
      <c r="B205">
        <f t="shared" si="13"/>
        <v>2024</v>
      </c>
      <c r="C205">
        <f t="shared" si="14"/>
        <v>12</v>
      </c>
      <c r="D205">
        <f t="shared" si="15"/>
        <v>1</v>
      </c>
      <c r="E205" s="2">
        <v>45627</v>
      </c>
      <c r="F205">
        <v>0.25</v>
      </c>
      <c r="H205">
        <v>0.2370000000000001</v>
      </c>
      <c r="I205">
        <f>IFERROR(VLOOKUP(A205,#REF!,12,0)*1,0)</f>
        <v>0</v>
      </c>
    </row>
    <row r="206" spans="1:9" ht="16.5" x14ac:dyDescent="0.3">
      <c r="A206" s="3">
        <f t="shared" si="12"/>
        <v>45658</v>
      </c>
      <c r="B206">
        <f t="shared" si="13"/>
        <v>2025</v>
      </c>
      <c r="C206">
        <f t="shared" si="14"/>
        <v>1</v>
      </c>
      <c r="D206">
        <f t="shared" si="15"/>
        <v>1</v>
      </c>
      <c r="E206" s="2">
        <v>45658</v>
      </c>
      <c r="F206">
        <v>0.25</v>
      </c>
      <c r="H206">
        <v>0.14499999999999957</v>
      </c>
      <c r="I206">
        <f>IFERROR(VLOOKUP(A206,#REF!,12,0)*1,0)</f>
        <v>0</v>
      </c>
    </row>
    <row r="207" spans="1:9" ht="16.5" x14ac:dyDescent="0.3">
      <c r="A207" s="3">
        <f t="shared" si="12"/>
        <v>45689</v>
      </c>
      <c r="B207">
        <f t="shared" si="13"/>
        <v>2025</v>
      </c>
      <c r="C207">
        <f t="shared" si="14"/>
        <v>2</v>
      </c>
      <c r="D207">
        <f t="shared" si="15"/>
        <v>1</v>
      </c>
      <c r="E207" s="2">
        <v>45689</v>
      </c>
      <c r="F207">
        <v>0</v>
      </c>
      <c r="H207">
        <v>0</v>
      </c>
      <c r="I207">
        <f>IFERROR(VLOOKUP(A207,#REF!,12,0)*1,0)</f>
        <v>0</v>
      </c>
    </row>
    <row r="208" spans="1:9" ht="16.5" x14ac:dyDescent="0.3">
      <c r="A208" s="3">
        <f t="shared" si="12"/>
        <v>45717</v>
      </c>
      <c r="B208">
        <f t="shared" si="13"/>
        <v>2025</v>
      </c>
      <c r="C208">
        <f t="shared" si="14"/>
        <v>3</v>
      </c>
      <c r="D208">
        <f t="shared" si="15"/>
        <v>1</v>
      </c>
      <c r="E208" s="2">
        <v>45717</v>
      </c>
      <c r="F208">
        <v>7.0000000000000284E-2</v>
      </c>
      <c r="H208">
        <v>0</v>
      </c>
      <c r="I208">
        <f>IFERROR(VLOOKUP(A208,#REF!,12,0)*1,0)</f>
        <v>0</v>
      </c>
    </row>
    <row r="209" spans="1:9" ht="16.5" x14ac:dyDescent="0.3">
      <c r="A209" s="3">
        <f t="shared" si="12"/>
        <v>45748</v>
      </c>
      <c r="B209">
        <f t="shared" si="13"/>
        <v>2025</v>
      </c>
      <c r="C209">
        <f t="shared" si="14"/>
        <v>4</v>
      </c>
      <c r="D209">
        <f t="shared" si="15"/>
        <v>1</v>
      </c>
      <c r="E209" s="2">
        <v>45748</v>
      </c>
      <c r="F209">
        <v>-0.21000000000000085</v>
      </c>
      <c r="H209">
        <v>-0.25</v>
      </c>
      <c r="I209">
        <f>IFERROR(VLOOKUP(A209,#REF!,12,0)*1,0)</f>
        <v>0</v>
      </c>
    </row>
    <row r="210" spans="1:9" ht="16.5" x14ac:dyDescent="0.3">
      <c r="A210" s="3">
        <f t="shared" si="12"/>
        <v>45778</v>
      </c>
      <c r="B210">
        <f t="shared" si="13"/>
        <v>2025</v>
      </c>
      <c r="C210">
        <f t="shared" si="14"/>
        <v>5</v>
      </c>
      <c r="D210">
        <f t="shared" si="15"/>
        <v>1</v>
      </c>
      <c r="E210" s="2">
        <v>45778</v>
      </c>
      <c r="F210">
        <v>5.0000000000000711E-2</v>
      </c>
      <c r="H210">
        <v>0</v>
      </c>
      <c r="I210">
        <f>IFERROR(VLOOKUP(A210,#REF!,12,0)*1,0)</f>
        <v>0</v>
      </c>
    </row>
    <row r="211" spans="1:9" ht="16.5" x14ac:dyDescent="0.3">
      <c r="A211" s="3">
        <f t="shared" si="12"/>
        <v>45809</v>
      </c>
      <c r="B211">
        <f t="shared" si="13"/>
        <v>2025</v>
      </c>
      <c r="C211">
        <f t="shared" si="14"/>
        <v>6</v>
      </c>
      <c r="D211">
        <f t="shared" si="15"/>
        <v>1</v>
      </c>
      <c r="E211" s="2">
        <v>45809</v>
      </c>
      <c r="F211">
        <v>0.16999999999999993</v>
      </c>
      <c r="H211">
        <v>0</v>
      </c>
      <c r="I211">
        <f>IFERROR(VLOOKUP(A211,#REF!,12,0)*1,0)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D913-0F27-477B-A7A8-26B8624359B5}">
  <dimension ref="A1:F276"/>
  <sheetViews>
    <sheetView tabSelected="1" workbookViewId="0">
      <selection activeCell="F15" sqref="F15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9</v>
      </c>
      <c r="F1" t="s">
        <v>10</v>
      </c>
    </row>
    <row r="2" spans="1:6" x14ac:dyDescent="0.25">
      <c r="A2" s="3">
        <v>37653</v>
      </c>
      <c r="B2">
        <f>YEAR(A2)</f>
        <v>2003</v>
      </c>
      <c r="C2">
        <f>MONTH(A2)</f>
        <v>2</v>
      </c>
      <c r="D2">
        <f>DAY(A2)</f>
        <v>1</v>
      </c>
      <c r="F2">
        <f>IFERROR(VLOOKUP(A2,[1]BEI!$A$15:$L$289,12,0)*1,0)</f>
        <v>-0.24000000000000199</v>
      </c>
    </row>
    <row r="3" spans="1:6" x14ac:dyDescent="0.25">
      <c r="A3" s="3">
        <v>37681</v>
      </c>
      <c r="B3">
        <f t="shared" ref="B3:B66" si="0">YEAR(A3)</f>
        <v>2003</v>
      </c>
      <c r="C3">
        <f t="shared" ref="C3:C66" si="1">MONTH(A3)</f>
        <v>3</v>
      </c>
      <c r="D3">
        <f t="shared" ref="D3:D66" si="2">DAY(A3)</f>
        <v>1</v>
      </c>
      <c r="F3">
        <f>IFERROR(VLOOKUP(A3,[1]BEI!$A$15:$L$289,12,0)*1,0)</f>
        <v>-0.54999999999999982</v>
      </c>
    </row>
    <row r="4" spans="1:6" x14ac:dyDescent="0.25">
      <c r="A4" s="3">
        <v>37712</v>
      </c>
      <c r="B4">
        <f t="shared" si="0"/>
        <v>2003</v>
      </c>
      <c r="C4">
        <f t="shared" si="1"/>
        <v>4</v>
      </c>
      <c r="D4">
        <f t="shared" si="2"/>
        <v>1</v>
      </c>
      <c r="F4">
        <f>IFERROR(VLOOKUP(A4,[1]BEI!$A$15:$L$289,12,0)*1,0)</f>
        <v>0.15999999999999837</v>
      </c>
    </row>
    <row r="5" spans="1:6" x14ac:dyDescent="0.25">
      <c r="A5" s="3">
        <v>37742</v>
      </c>
      <c r="B5">
        <f t="shared" si="0"/>
        <v>2003</v>
      </c>
      <c r="C5">
        <f t="shared" si="1"/>
        <v>5</v>
      </c>
      <c r="D5">
        <f t="shared" si="2"/>
        <v>1</v>
      </c>
      <c r="F5">
        <f>IFERROR(VLOOKUP(A5,[1]BEI!$A$15:$L$289,12,0)*1,0)</f>
        <v>-1.0300000000000011</v>
      </c>
    </row>
    <row r="6" spans="1:6" x14ac:dyDescent="0.25">
      <c r="A6" s="3">
        <v>37773</v>
      </c>
      <c r="B6">
        <f t="shared" si="0"/>
        <v>2003</v>
      </c>
      <c r="C6">
        <f t="shared" si="1"/>
        <v>6</v>
      </c>
      <c r="D6">
        <f t="shared" si="2"/>
        <v>1</v>
      </c>
      <c r="F6">
        <f>IFERROR(VLOOKUP(A6,[1]BEI!$A$15:$L$289,12,0)*1,0)</f>
        <v>0.3199999999999994</v>
      </c>
    </row>
    <row r="7" spans="1:6" x14ac:dyDescent="0.25">
      <c r="A7" s="3">
        <v>37803</v>
      </c>
      <c r="B7">
        <f t="shared" si="0"/>
        <v>2003</v>
      </c>
      <c r="C7">
        <f t="shared" si="1"/>
        <v>7</v>
      </c>
      <c r="D7">
        <f t="shared" si="2"/>
        <v>1</v>
      </c>
      <c r="F7">
        <f>IFERROR(VLOOKUP(A7,[1]BEI!$A$15:$L$289,12,0)*1,0)</f>
        <v>0.19000000000000039</v>
      </c>
    </row>
    <row r="8" spans="1:6" x14ac:dyDescent="0.25">
      <c r="A8" s="3">
        <v>37834</v>
      </c>
      <c r="B8">
        <f t="shared" si="0"/>
        <v>2003</v>
      </c>
      <c r="C8">
        <f t="shared" si="1"/>
        <v>8</v>
      </c>
      <c r="D8">
        <f t="shared" si="2"/>
        <v>1</v>
      </c>
      <c r="F8">
        <f>IFERROR(VLOOKUP(A8,[1]BEI!$A$15:$L$289,12,0)*1,0)</f>
        <v>-3.0000000000000249E-2</v>
      </c>
    </row>
    <row r="9" spans="1:6" x14ac:dyDescent="0.25">
      <c r="A9" s="3">
        <v>37865</v>
      </c>
      <c r="B9">
        <f t="shared" si="0"/>
        <v>2003</v>
      </c>
      <c r="C9">
        <f t="shared" si="1"/>
        <v>9</v>
      </c>
      <c r="D9">
        <f t="shared" si="2"/>
        <v>1</v>
      </c>
      <c r="F9">
        <f>IFERROR(VLOOKUP(A9,[1]BEI!$A$15:$L$289,12,0)*1,0)</f>
        <v>-3.0000000000000249E-2</v>
      </c>
    </row>
    <row r="10" spans="1:6" x14ac:dyDescent="0.25">
      <c r="A10" s="3">
        <v>37895</v>
      </c>
      <c r="B10">
        <f t="shared" si="0"/>
        <v>2003</v>
      </c>
      <c r="C10">
        <f t="shared" si="1"/>
        <v>10</v>
      </c>
      <c r="D10">
        <f t="shared" si="2"/>
        <v>1</v>
      </c>
      <c r="F10">
        <f>IFERROR(VLOOKUP(A10,[1]BEI!$A$15:$L$289,12,0)*1,0)</f>
        <v>-0.14000000000000146</v>
      </c>
    </row>
    <row r="11" spans="1:6" x14ac:dyDescent="0.25">
      <c r="A11" s="3">
        <v>37926</v>
      </c>
      <c r="B11">
        <f t="shared" si="0"/>
        <v>2003</v>
      </c>
      <c r="C11">
        <f t="shared" si="1"/>
        <v>11</v>
      </c>
      <c r="D11">
        <f t="shared" si="2"/>
        <v>1</v>
      </c>
      <c r="F11">
        <f>IFERROR(VLOOKUP(A11,[1]BEI!$A$15:$L$289,12,0)*1,0)</f>
        <v>0.49000000000000021</v>
      </c>
    </row>
    <row r="12" spans="1:6" x14ac:dyDescent="0.25">
      <c r="A12" s="3">
        <v>37956</v>
      </c>
      <c r="B12">
        <f t="shared" si="0"/>
        <v>2003</v>
      </c>
      <c r="C12">
        <f t="shared" si="1"/>
        <v>12</v>
      </c>
      <c r="D12">
        <f t="shared" si="2"/>
        <v>1</v>
      </c>
      <c r="F12">
        <f>IFERROR(VLOOKUP(A12,[1]BEI!$A$15:$L$289,12,0)*1,0)</f>
        <v>0.17999999999999972</v>
      </c>
    </row>
    <row r="13" spans="1:6" x14ac:dyDescent="0.25">
      <c r="A13" s="3">
        <v>37987</v>
      </c>
      <c r="B13">
        <f t="shared" si="0"/>
        <v>2004</v>
      </c>
      <c r="C13">
        <f t="shared" si="1"/>
        <v>1</v>
      </c>
      <c r="D13">
        <f t="shared" si="2"/>
        <v>1</v>
      </c>
      <c r="F13">
        <f>IFERROR(VLOOKUP(A13,[1]BEI!$A$15:$L$289,12,0)*1,0)</f>
        <v>-8.9999999999999858E-2</v>
      </c>
    </row>
    <row r="14" spans="1:6" x14ac:dyDescent="0.25">
      <c r="A14" s="3">
        <v>38018</v>
      </c>
      <c r="B14">
        <f t="shared" si="0"/>
        <v>2004</v>
      </c>
      <c r="C14">
        <f t="shared" si="1"/>
        <v>2</v>
      </c>
      <c r="D14">
        <f t="shared" si="2"/>
        <v>1</v>
      </c>
      <c r="F14">
        <f>IFERROR(VLOOKUP(A14,[1]BEI!$A$15:$L$289,12,0)*1,0)</f>
        <v>7.0000000000000284E-2</v>
      </c>
    </row>
    <row r="15" spans="1:6" ht="16.5" x14ac:dyDescent="0.3">
      <c r="A15" s="3">
        <v>38047</v>
      </c>
      <c r="B15">
        <f t="shared" si="0"/>
        <v>2004</v>
      </c>
      <c r="C15">
        <f t="shared" si="1"/>
        <v>3</v>
      </c>
      <c r="D15">
        <f t="shared" si="2"/>
        <v>1</v>
      </c>
      <c r="E15" s="4">
        <v>0.12999999999999989</v>
      </c>
      <c r="F15">
        <f>IFERROR(VLOOKUP(A15,[1]BEI!$A$15:$L$289,12,0)*1,0)</f>
        <v>0</v>
      </c>
    </row>
    <row r="16" spans="1:6" ht="16.5" x14ac:dyDescent="0.3">
      <c r="A16" s="3">
        <v>38078</v>
      </c>
      <c r="B16">
        <f t="shared" si="0"/>
        <v>2004</v>
      </c>
      <c r="C16">
        <f t="shared" si="1"/>
        <v>4</v>
      </c>
      <c r="D16">
        <f t="shared" si="2"/>
        <v>1</v>
      </c>
      <c r="E16" s="4">
        <v>0.12000000000000011</v>
      </c>
      <c r="F16">
        <f>IFERROR(VLOOKUP(A16,[1]BEI!$A$15:$L$289,12,0)*1,0)</f>
        <v>-0.11000000000000032</v>
      </c>
    </row>
    <row r="17" spans="1:6" ht="16.5" x14ac:dyDescent="0.3">
      <c r="A17" s="3">
        <v>38108</v>
      </c>
      <c r="B17">
        <f t="shared" si="0"/>
        <v>2004</v>
      </c>
      <c r="C17">
        <f t="shared" si="1"/>
        <v>5</v>
      </c>
      <c r="D17">
        <f t="shared" si="2"/>
        <v>1</v>
      </c>
      <c r="E17" s="4">
        <v>0</v>
      </c>
      <c r="F17">
        <f>IFERROR(VLOOKUP(A17,[1]BEI!$A$15:$L$289,12,0)*1,0)</f>
        <v>-0.46999999999999886</v>
      </c>
    </row>
    <row r="18" spans="1:6" ht="16.5" x14ac:dyDescent="0.3">
      <c r="A18" s="3">
        <v>38139</v>
      </c>
      <c r="B18">
        <f t="shared" si="0"/>
        <v>2004</v>
      </c>
      <c r="C18">
        <f t="shared" si="1"/>
        <v>6</v>
      </c>
      <c r="D18">
        <f t="shared" si="2"/>
        <v>1</v>
      </c>
      <c r="E18" s="4">
        <v>1.9999999999999574E-2</v>
      </c>
      <c r="F18">
        <f>IFERROR(VLOOKUP(A18,[1]BEI!$A$15:$L$289,12,0)*1,0)</f>
        <v>0.22999999999999954</v>
      </c>
    </row>
    <row r="19" spans="1:6" ht="16.5" x14ac:dyDescent="0.3">
      <c r="A19" s="3">
        <v>38169</v>
      </c>
      <c r="B19">
        <f t="shared" si="0"/>
        <v>2004</v>
      </c>
      <c r="C19">
        <f t="shared" si="1"/>
        <v>7</v>
      </c>
      <c r="D19">
        <f t="shared" si="2"/>
        <v>1</v>
      </c>
      <c r="E19" s="4">
        <v>-1.9999999999999574E-2</v>
      </c>
      <c r="F19">
        <f>IFERROR(VLOOKUP(A19,[1]BEI!$A$15:$L$289,12,0)*1,0)</f>
        <v>0.25999999999999979</v>
      </c>
    </row>
    <row r="20" spans="1:6" ht="16.5" x14ac:dyDescent="0.3">
      <c r="A20" s="3">
        <v>38200</v>
      </c>
      <c r="B20">
        <f t="shared" si="0"/>
        <v>2004</v>
      </c>
      <c r="C20">
        <f t="shared" si="1"/>
        <v>8</v>
      </c>
      <c r="D20">
        <f t="shared" si="2"/>
        <v>1</v>
      </c>
      <c r="E20" s="4">
        <v>-4.9999999999999822E-2</v>
      </c>
      <c r="F20">
        <f>IFERROR(VLOOKUP(A20,[1]BEI!$A$15:$L$289,12,0)*1,0)</f>
        <v>-0.27999999999999936</v>
      </c>
    </row>
    <row r="21" spans="1:6" ht="16.5" x14ac:dyDescent="0.3">
      <c r="A21" s="3">
        <v>38231</v>
      </c>
      <c r="B21">
        <f t="shared" si="0"/>
        <v>2004</v>
      </c>
      <c r="C21">
        <f t="shared" si="1"/>
        <v>9</v>
      </c>
      <c r="D21">
        <f t="shared" si="2"/>
        <v>1</v>
      </c>
      <c r="E21" s="4">
        <v>0</v>
      </c>
      <c r="F21">
        <f>IFERROR(VLOOKUP(A21,[1]BEI!$A$15:$L$289,12,0)*1,0)</f>
        <v>-0.39999999999999858</v>
      </c>
    </row>
    <row r="22" spans="1:6" ht="16.5" x14ac:dyDescent="0.3">
      <c r="A22" s="3">
        <v>38261</v>
      </c>
      <c r="B22">
        <f t="shared" si="0"/>
        <v>2004</v>
      </c>
      <c r="C22">
        <f t="shared" si="1"/>
        <v>10</v>
      </c>
      <c r="D22">
        <f t="shared" si="2"/>
        <v>1</v>
      </c>
      <c r="E22" s="4">
        <v>0</v>
      </c>
      <c r="F22">
        <f>IFERROR(VLOOKUP(A22,[1]BEI!$A$15:$L$289,12,0)*1,0)</f>
        <v>-0.2599999999999989</v>
      </c>
    </row>
    <row r="23" spans="1:6" ht="16.5" x14ac:dyDescent="0.3">
      <c r="A23" s="3">
        <v>38292</v>
      </c>
      <c r="B23">
        <f t="shared" si="0"/>
        <v>2004</v>
      </c>
      <c r="C23">
        <f t="shared" si="1"/>
        <v>11</v>
      </c>
      <c r="D23">
        <f t="shared" si="2"/>
        <v>1</v>
      </c>
      <c r="E23" s="4">
        <v>0</v>
      </c>
      <c r="F23">
        <f>IFERROR(VLOOKUP(A23,[1]BEI!$A$15:$L$289,12,0)*1,0)</f>
        <v>2.9999999999998472E-2</v>
      </c>
    </row>
    <row r="24" spans="1:6" ht="16.5" x14ac:dyDescent="0.3">
      <c r="A24" s="3">
        <v>38322</v>
      </c>
      <c r="B24">
        <f t="shared" si="0"/>
        <v>2004</v>
      </c>
      <c r="C24">
        <f t="shared" si="1"/>
        <v>12</v>
      </c>
      <c r="D24">
        <f t="shared" si="2"/>
        <v>1</v>
      </c>
      <c r="E24" s="4">
        <v>-0.25</v>
      </c>
      <c r="F24">
        <f>IFERROR(VLOOKUP(A24,[1]BEI!$A$15:$L$289,12,0)*1,0)</f>
        <v>5.9999999999999609E-2</v>
      </c>
    </row>
    <row r="25" spans="1:6" ht="16.5" x14ac:dyDescent="0.3">
      <c r="A25" s="3">
        <v>38353</v>
      </c>
      <c r="B25">
        <f t="shared" si="0"/>
        <v>2005</v>
      </c>
      <c r="C25">
        <f t="shared" si="1"/>
        <v>1</v>
      </c>
      <c r="D25">
        <f t="shared" si="2"/>
        <v>1</v>
      </c>
      <c r="E25" s="4">
        <v>0</v>
      </c>
      <c r="F25">
        <f>IFERROR(VLOOKUP(A25,[1]BEI!$A$15:$L$289,12,0)*1,0)</f>
        <v>0.10000000000000053</v>
      </c>
    </row>
    <row r="26" spans="1:6" ht="16.5" x14ac:dyDescent="0.3">
      <c r="A26" s="3">
        <v>38384</v>
      </c>
      <c r="B26">
        <f t="shared" si="0"/>
        <v>2005</v>
      </c>
      <c r="C26">
        <f t="shared" si="1"/>
        <v>2</v>
      </c>
      <c r="D26">
        <f t="shared" si="2"/>
        <v>1</v>
      </c>
      <c r="E26" s="4">
        <v>0</v>
      </c>
      <c r="F26">
        <f>IFERROR(VLOOKUP(A26,[1]BEI!$A$15:$L$289,12,0)*1,0)</f>
        <v>2.9999999999999361E-2</v>
      </c>
    </row>
    <row r="27" spans="1:6" ht="16.5" x14ac:dyDescent="0.3">
      <c r="A27" s="3">
        <v>38412</v>
      </c>
      <c r="B27">
        <f t="shared" si="0"/>
        <v>2005</v>
      </c>
      <c r="C27">
        <f t="shared" si="1"/>
        <v>3</v>
      </c>
      <c r="D27">
        <f t="shared" si="2"/>
        <v>1</v>
      </c>
      <c r="E27" s="4">
        <v>1.9999999999999574E-2</v>
      </c>
      <c r="F27">
        <f>IFERROR(VLOOKUP(A27,[1]BEI!$A$15:$L$289,12,0)*1,0)</f>
        <v>2.2999999999999998</v>
      </c>
    </row>
    <row r="28" spans="1:6" ht="16.5" x14ac:dyDescent="0.3">
      <c r="A28" s="3">
        <v>38443</v>
      </c>
      <c r="B28">
        <f t="shared" si="0"/>
        <v>2005</v>
      </c>
      <c r="C28">
        <f t="shared" si="1"/>
        <v>4</v>
      </c>
      <c r="D28">
        <f t="shared" si="2"/>
        <v>1</v>
      </c>
      <c r="E28" s="4">
        <v>0</v>
      </c>
      <c r="F28">
        <f>IFERROR(VLOOKUP(A28,[1]BEI!$A$15:$L$289,12,0)*1,0)</f>
        <v>0.12000000000000099</v>
      </c>
    </row>
    <row r="29" spans="1:6" ht="16.5" x14ac:dyDescent="0.3">
      <c r="A29" s="3">
        <v>38473</v>
      </c>
      <c r="B29">
        <f t="shared" si="0"/>
        <v>2005</v>
      </c>
      <c r="C29">
        <f t="shared" si="1"/>
        <v>5</v>
      </c>
      <c r="D29">
        <f t="shared" si="2"/>
        <v>1</v>
      </c>
      <c r="E29" s="4">
        <v>9.9999999999997868E-3</v>
      </c>
      <c r="F29">
        <f>IFERROR(VLOOKUP(A29,[1]BEI!$A$15:$L$289,12,0)*1,0)</f>
        <v>-5.9999999999999609E-2</v>
      </c>
    </row>
    <row r="30" spans="1:6" ht="16.5" x14ac:dyDescent="0.3">
      <c r="A30" s="3">
        <v>38504</v>
      </c>
      <c r="B30">
        <f t="shared" si="0"/>
        <v>2005</v>
      </c>
      <c r="C30">
        <f t="shared" si="1"/>
        <v>6</v>
      </c>
      <c r="D30">
        <f t="shared" si="2"/>
        <v>1</v>
      </c>
      <c r="E30" s="4">
        <v>1.9999999999999574E-2</v>
      </c>
      <c r="F30">
        <f>IFERROR(VLOOKUP(A30,[1]BEI!$A$15:$L$289,12,0)*1,0)</f>
        <v>-0.33999999999999986</v>
      </c>
    </row>
    <row r="31" spans="1:6" ht="16.5" x14ac:dyDescent="0.3">
      <c r="A31" s="3">
        <v>38534</v>
      </c>
      <c r="B31">
        <f t="shared" si="0"/>
        <v>2005</v>
      </c>
      <c r="C31">
        <f t="shared" si="1"/>
        <v>7</v>
      </c>
      <c r="D31">
        <f t="shared" si="2"/>
        <v>1</v>
      </c>
      <c r="E31" s="4">
        <v>0</v>
      </c>
      <c r="F31">
        <f>IFERROR(VLOOKUP(A31,[1]BEI!$A$15:$L$289,12,0)*1,0)</f>
        <v>-0.61999999999999922</v>
      </c>
    </row>
    <row r="32" spans="1:6" ht="16.5" x14ac:dyDescent="0.3">
      <c r="A32" s="3">
        <v>38565</v>
      </c>
      <c r="B32">
        <f t="shared" si="0"/>
        <v>2005</v>
      </c>
      <c r="C32">
        <f t="shared" si="1"/>
        <v>8</v>
      </c>
      <c r="D32">
        <f t="shared" si="2"/>
        <v>1</v>
      </c>
      <c r="E32" s="4">
        <v>0</v>
      </c>
      <c r="F32">
        <f>IFERROR(VLOOKUP(A32,[1]BEI!$A$15:$L$289,12,0)*1,0)</f>
        <v>9.9999999999997868E-3</v>
      </c>
    </row>
    <row r="33" spans="1:6" ht="16.5" x14ac:dyDescent="0.3">
      <c r="A33" s="3">
        <v>38596</v>
      </c>
      <c r="B33">
        <f t="shared" si="0"/>
        <v>2005</v>
      </c>
      <c r="C33">
        <f t="shared" si="1"/>
        <v>9</v>
      </c>
      <c r="D33">
        <f t="shared" si="2"/>
        <v>1</v>
      </c>
      <c r="E33" s="4">
        <v>-0.46999999999999975</v>
      </c>
      <c r="F33">
        <f>IFERROR(VLOOKUP(A33,[1]BEI!$A$15:$L$289,12,0)*1,0)</f>
        <v>-7.0000000000000284E-2</v>
      </c>
    </row>
    <row r="34" spans="1:6" ht="16.5" x14ac:dyDescent="0.3">
      <c r="A34" s="3">
        <v>38626</v>
      </c>
      <c r="B34">
        <f t="shared" si="0"/>
        <v>2005</v>
      </c>
      <c r="C34">
        <f t="shared" si="1"/>
        <v>10</v>
      </c>
      <c r="D34">
        <f t="shared" si="2"/>
        <v>1</v>
      </c>
      <c r="E34" s="4">
        <v>8.0000000000000071E-2</v>
      </c>
      <c r="F34">
        <f>IFERROR(VLOOKUP(A34,[1]BEI!$A$15:$L$289,12,0)*1,0)</f>
        <v>-0.25</v>
      </c>
    </row>
    <row r="35" spans="1:6" ht="16.5" x14ac:dyDescent="0.3">
      <c r="A35" s="3">
        <v>38657</v>
      </c>
      <c r="B35">
        <f t="shared" si="0"/>
        <v>2005</v>
      </c>
      <c r="C35">
        <f t="shared" si="1"/>
        <v>11</v>
      </c>
      <c r="D35">
        <f t="shared" si="2"/>
        <v>1</v>
      </c>
      <c r="E35" s="4">
        <v>0</v>
      </c>
      <c r="F35">
        <f>IFERROR(VLOOKUP(A35,[1]BEI!$A$15:$L$289,12,0)*1,0)</f>
        <v>-4.0000000000000036E-2</v>
      </c>
    </row>
    <row r="36" spans="1:6" ht="16.5" x14ac:dyDescent="0.3">
      <c r="A36" s="3">
        <v>38687</v>
      </c>
      <c r="B36">
        <f t="shared" si="0"/>
        <v>2005</v>
      </c>
      <c r="C36">
        <f t="shared" si="1"/>
        <v>12</v>
      </c>
      <c r="D36">
        <f t="shared" si="2"/>
        <v>1</v>
      </c>
      <c r="E36" s="4">
        <v>0</v>
      </c>
      <c r="F36">
        <f>IFERROR(VLOOKUP(A36,[1]BEI!$A$15:$L$289,12,0)*1,0)</f>
        <v>0.70000000000000018</v>
      </c>
    </row>
    <row r="37" spans="1:6" ht="16.5" x14ac:dyDescent="0.3">
      <c r="A37" s="3">
        <v>38718</v>
      </c>
      <c r="B37">
        <f t="shared" si="0"/>
        <v>2006</v>
      </c>
      <c r="C37">
        <f t="shared" si="1"/>
        <v>1</v>
      </c>
      <c r="D37">
        <f t="shared" si="2"/>
        <v>1</v>
      </c>
      <c r="E37" s="4">
        <v>0</v>
      </c>
      <c r="F37">
        <f>IFERROR(VLOOKUP(A37,[1]BEI!$A$15:$L$289,12,0)*1,0)</f>
        <v>7.0000000000000284E-2</v>
      </c>
    </row>
    <row r="38" spans="1:6" ht="16.5" x14ac:dyDescent="0.3">
      <c r="A38" s="3">
        <v>38749</v>
      </c>
      <c r="B38">
        <f t="shared" si="0"/>
        <v>2006</v>
      </c>
      <c r="C38">
        <f t="shared" si="1"/>
        <v>2</v>
      </c>
      <c r="D38">
        <f t="shared" si="2"/>
        <v>1</v>
      </c>
      <c r="E38" s="4">
        <v>0</v>
      </c>
      <c r="F38">
        <f>IFERROR(VLOOKUP(A38,[1]BEI!$A$15:$L$289,12,0)*1,0)</f>
        <v>0</v>
      </c>
    </row>
    <row r="39" spans="1:6" ht="16.5" x14ac:dyDescent="0.3">
      <c r="A39" s="3">
        <v>38777</v>
      </c>
      <c r="B39">
        <f t="shared" si="0"/>
        <v>2006</v>
      </c>
      <c r="C39">
        <f t="shared" si="1"/>
        <v>3</v>
      </c>
      <c r="D39">
        <f t="shared" si="2"/>
        <v>1</v>
      </c>
      <c r="E39" s="4">
        <v>0</v>
      </c>
      <c r="F39">
        <f>IFERROR(VLOOKUP(A39,[1]BEI!$A$15:$L$289,12,0)*1,0)</f>
        <v>0.13000000000000078</v>
      </c>
    </row>
    <row r="40" spans="1:6" ht="16.5" x14ac:dyDescent="0.3">
      <c r="A40" s="3">
        <v>38808</v>
      </c>
      <c r="B40">
        <f t="shared" si="0"/>
        <v>2006</v>
      </c>
      <c r="C40">
        <f t="shared" si="1"/>
        <v>4</v>
      </c>
      <c r="D40">
        <f t="shared" si="2"/>
        <v>1</v>
      </c>
      <c r="E40" s="4">
        <v>-1.9999999999999574E-2</v>
      </c>
      <c r="F40">
        <f>IFERROR(VLOOKUP(A40,[1]BEI!$A$15:$L$289,12,0)*1,0)</f>
        <v>1.8199999999999994</v>
      </c>
    </row>
    <row r="41" spans="1:6" ht="16.5" x14ac:dyDescent="0.3">
      <c r="A41" s="3">
        <v>38838</v>
      </c>
      <c r="B41">
        <f t="shared" si="0"/>
        <v>2006</v>
      </c>
      <c r="C41">
        <f t="shared" si="1"/>
        <v>5</v>
      </c>
      <c r="D41">
        <f t="shared" si="2"/>
        <v>1</v>
      </c>
      <c r="E41" s="4">
        <v>-0.12999999999999989</v>
      </c>
      <c r="F41">
        <f>IFERROR(VLOOKUP(A41,[1]BEI!$A$15:$L$289,12,0)*1,0)</f>
        <v>-1.0200000000000014</v>
      </c>
    </row>
    <row r="42" spans="1:6" ht="16.5" x14ac:dyDescent="0.3">
      <c r="A42" s="3">
        <v>38869</v>
      </c>
      <c r="B42">
        <f t="shared" si="0"/>
        <v>2006</v>
      </c>
      <c r="C42">
        <f t="shared" si="1"/>
        <v>6</v>
      </c>
      <c r="D42">
        <f t="shared" si="2"/>
        <v>1</v>
      </c>
      <c r="E42" s="4">
        <v>4.0000000000000036E-2</v>
      </c>
      <c r="F42">
        <f>IFERROR(VLOOKUP(A42,[1]BEI!$A$15:$L$289,12,0)*1,0)</f>
        <v>-9.9999999999999645E-2</v>
      </c>
    </row>
    <row r="43" spans="1:6" ht="16.5" x14ac:dyDescent="0.3">
      <c r="A43" s="3">
        <v>38899</v>
      </c>
      <c r="B43">
        <f t="shared" si="0"/>
        <v>2006</v>
      </c>
      <c r="C43">
        <f t="shared" si="1"/>
        <v>7</v>
      </c>
      <c r="D43">
        <f t="shared" si="2"/>
        <v>1</v>
      </c>
      <c r="E43" s="4">
        <v>-7.0000000000000284E-2</v>
      </c>
      <c r="F43">
        <f>IFERROR(VLOOKUP(A43,[1]BEI!$A$15:$L$289,12,0)*1,0)</f>
        <v>-1.4000000000000004</v>
      </c>
    </row>
    <row r="44" spans="1:6" ht="16.5" x14ac:dyDescent="0.3">
      <c r="A44" s="3">
        <v>38930</v>
      </c>
      <c r="B44">
        <f t="shared" si="0"/>
        <v>2006</v>
      </c>
      <c r="C44">
        <f t="shared" si="1"/>
        <v>8</v>
      </c>
      <c r="D44">
        <f t="shared" si="2"/>
        <v>1</v>
      </c>
      <c r="E44" s="4">
        <v>3.0000000000000249E-2</v>
      </c>
      <c r="F44">
        <f>IFERROR(VLOOKUP(A44,[1]BEI!$A$15:$L$289,12,0)*1,0)</f>
        <v>-0.14000000000000146</v>
      </c>
    </row>
    <row r="45" spans="1:6" ht="16.5" x14ac:dyDescent="0.3">
      <c r="A45" s="3">
        <v>38961</v>
      </c>
      <c r="B45">
        <f t="shared" si="0"/>
        <v>2006</v>
      </c>
      <c r="C45">
        <f t="shared" si="1"/>
        <v>9</v>
      </c>
      <c r="D45">
        <f t="shared" si="2"/>
        <v>1</v>
      </c>
      <c r="E45" s="4">
        <v>0.15000000000000036</v>
      </c>
      <c r="F45">
        <f>IFERROR(VLOOKUP(A45,[1]BEI!$A$15:$L$289,12,0)*1,0)</f>
        <v>-5.0000000000000711E-2</v>
      </c>
    </row>
    <row r="46" spans="1:6" ht="16.5" x14ac:dyDescent="0.3">
      <c r="A46" s="3">
        <v>38991</v>
      </c>
      <c r="B46">
        <f t="shared" si="0"/>
        <v>2006</v>
      </c>
      <c r="C46">
        <f t="shared" si="1"/>
        <v>10</v>
      </c>
      <c r="D46">
        <f t="shared" si="2"/>
        <v>1</v>
      </c>
      <c r="E46" s="4">
        <v>8.0000000000000071E-2</v>
      </c>
      <c r="F46">
        <f>IFERROR(VLOOKUP(A46,[1]BEI!$A$15:$L$289,12,0)*1,0)</f>
        <v>0.39999999999999947</v>
      </c>
    </row>
    <row r="47" spans="1:6" ht="16.5" x14ac:dyDescent="0.3">
      <c r="A47" s="3">
        <v>39022</v>
      </c>
      <c r="B47">
        <f t="shared" si="0"/>
        <v>2006</v>
      </c>
      <c r="C47">
        <f t="shared" si="1"/>
        <v>11</v>
      </c>
      <c r="D47">
        <f t="shared" si="2"/>
        <v>1</v>
      </c>
      <c r="E47" s="4">
        <v>-4.9999999999999822E-2</v>
      </c>
      <c r="F47">
        <f>IFERROR(VLOOKUP(A47,[1]BEI!$A$15:$L$289,12,0)*1,0)</f>
        <v>-1.9999999999999574E-2</v>
      </c>
    </row>
    <row r="48" spans="1:6" ht="16.5" x14ac:dyDescent="0.3">
      <c r="A48" s="3">
        <v>39052</v>
      </c>
      <c r="B48">
        <f t="shared" si="0"/>
        <v>2006</v>
      </c>
      <c r="C48">
        <f t="shared" si="1"/>
        <v>12</v>
      </c>
      <c r="D48">
        <f t="shared" si="2"/>
        <v>1</v>
      </c>
      <c r="E48" s="4">
        <v>0.20000000000000018</v>
      </c>
      <c r="F48">
        <f>IFERROR(VLOOKUP(A48,[1]BEI!$A$15:$L$289,12,0)*1,0)</f>
        <v>1.9999999999999574E-2</v>
      </c>
    </row>
    <row r="49" spans="1:6" ht="16.5" x14ac:dyDescent="0.3">
      <c r="A49" s="3">
        <v>39083</v>
      </c>
      <c r="B49">
        <f t="shared" si="0"/>
        <v>2007</v>
      </c>
      <c r="C49">
        <f t="shared" si="1"/>
        <v>1</v>
      </c>
      <c r="D49">
        <f t="shared" si="2"/>
        <v>1</v>
      </c>
      <c r="E49" s="4">
        <v>0.12999999999999989</v>
      </c>
      <c r="F49">
        <f>IFERROR(VLOOKUP(A49,[1]BEI!$A$15:$L$289,12,0)*1,0)</f>
        <v>-0.92000000000000171</v>
      </c>
    </row>
    <row r="50" spans="1:6" ht="16.5" x14ac:dyDescent="0.3">
      <c r="A50" s="3">
        <v>39114</v>
      </c>
      <c r="B50">
        <f t="shared" si="0"/>
        <v>2007</v>
      </c>
      <c r="C50">
        <f t="shared" si="1"/>
        <v>2</v>
      </c>
      <c r="D50">
        <f t="shared" si="2"/>
        <v>1</v>
      </c>
      <c r="E50" s="4">
        <v>-1.9999999999999574E-2</v>
      </c>
      <c r="F50">
        <f>IFERROR(VLOOKUP(A50,[1]BEI!$A$15:$L$289,12,0)*1,0)</f>
        <v>-2.2400000000000002</v>
      </c>
    </row>
    <row r="51" spans="1:6" ht="16.5" x14ac:dyDescent="0.3">
      <c r="A51" s="3">
        <v>39142</v>
      </c>
      <c r="B51">
        <f t="shared" si="0"/>
        <v>2007</v>
      </c>
      <c r="C51">
        <f t="shared" si="1"/>
        <v>3</v>
      </c>
      <c r="D51">
        <f t="shared" si="2"/>
        <v>1</v>
      </c>
      <c r="E51" s="4">
        <v>0</v>
      </c>
      <c r="F51">
        <f>IFERROR(VLOOKUP(A51,[1]BEI!$A$15:$L$289,12,0)*1,0)</f>
        <v>-0.71</v>
      </c>
    </row>
    <row r="52" spans="1:6" ht="16.5" x14ac:dyDescent="0.3">
      <c r="A52" s="3">
        <v>39173</v>
      </c>
      <c r="B52">
        <f t="shared" si="0"/>
        <v>2007</v>
      </c>
      <c r="C52">
        <f t="shared" si="1"/>
        <v>4</v>
      </c>
      <c r="D52">
        <f t="shared" si="2"/>
        <v>1</v>
      </c>
      <c r="E52" s="4">
        <v>-1.9999999999999574E-2</v>
      </c>
      <c r="F52">
        <f>IFERROR(VLOOKUP(A52,[1]BEI!$A$15:$L$289,12,0)*1,0)</f>
        <v>0.11999999999999922</v>
      </c>
    </row>
    <row r="53" spans="1:6" ht="16.5" x14ac:dyDescent="0.3">
      <c r="A53" s="3">
        <v>39203</v>
      </c>
      <c r="B53">
        <f t="shared" si="0"/>
        <v>2007</v>
      </c>
      <c r="C53">
        <f t="shared" si="1"/>
        <v>5</v>
      </c>
      <c r="D53">
        <f t="shared" si="2"/>
        <v>1</v>
      </c>
      <c r="E53" s="4">
        <v>9.9999999999997868E-3</v>
      </c>
      <c r="F53">
        <f>IFERROR(VLOOKUP(A53,[1]BEI!$A$15:$L$289,12,0)*1,0)</f>
        <v>-5.3100000000000005</v>
      </c>
    </row>
    <row r="54" spans="1:6" ht="16.5" x14ac:dyDescent="0.3">
      <c r="A54" s="3">
        <v>39234</v>
      </c>
      <c r="B54">
        <f t="shared" si="0"/>
        <v>2007</v>
      </c>
      <c r="C54">
        <f t="shared" si="1"/>
        <v>6</v>
      </c>
      <c r="D54">
        <f t="shared" si="2"/>
        <v>1</v>
      </c>
      <c r="E54" s="4">
        <v>8.0000000000000071E-2</v>
      </c>
      <c r="F54">
        <f>IFERROR(VLOOKUP(A54,[1]BEI!$A$15:$L$289,12,0)*1,0)</f>
        <v>-2.17</v>
      </c>
    </row>
    <row r="55" spans="1:6" ht="16.5" x14ac:dyDescent="0.3">
      <c r="A55" s="3">
        <v>39264</v>
      </c>
      <c r="B55">
        <f t="shared" si="0"/>
        <v>2007</v>
      </c>
      <c r="C55">
        <f t="shared" si="1"/>
        <v>7</v>
      </c>
      <c r="D55">
        <f t="shared" si="2"/>
        <v>1</v>
      </c>
      <c r="E55" s="4">
        <v>0.10999999999999943</v>
      </c>
      <c r="F55">
        <f>IFERROR(VLOOKUP(A55,[1]BEI!$A$15:$L$289,12,0)*1,0)</f>
        <v>1.9999999999999574E-2</v>
      </c>
    </row>
    <row r="56" spans="1:6" ht="16.5" x14ac:dyDescent="0.3">
      <c r="A56" s="3">
        <v>39295</v>
      </c>
      <c r="B56">
        <f t="shared" si="0"/>
        <v>2007</v>
      </c>
      <c r="C56">
        <f t="shared" si="1"/>
        <v>8</v>
      </c>
      <c r="D56">
        <f t="shared" si="2"/>
        <v>1</v>
      </c>
      <c r="E56" s="4">
        <v>-0.16000000000000014</v>
      </c>
      <c r="F56">
        <f>IFERROR(VLOOKUP(A56,[1]BEI!$A$15:$L$289,12,0)*1,0)</f>
        <v>0.50999999999999979</v>
      </c>
    </row>
    <row r="57" spans="1:6" ht="16.5" x14ac:dyDescent="0.3">
      <c r="A57" s="3">
        <v>39326</v>
      </c>
      <c r="B57">
        <f t="shared" si="0"/>
        <v>2007</v>
      </c>
      <c r="C57">
        <f t="shared" si="1"/>
        <v>9</v>
      </c>
      <c r="D57">
        <f t="shared" si="2"/>
        <v>1</v>
      </c>
      <c r="E57" s="4">
        <v>-9.9999999999997868E-3</v>
      </c>
      <c r="F57">
        <f>IFERROR(VLOOKUP(A57,[1]BEI!$A$15:$L$289,12,0)*1,0)</f>
        <v>-5.1100000000000012</v>
      </c>
    </row>
    <row r="58" spans="1:6" ht="16.5" x14ac:dyDescent="0.3">
      <c r="A58" s="3">
        <v>39356</v>
      </c>
      <c r="B58">
        <f t="shared" si="0"/>
        <v>2007</v>
      </c>
      <c r="C58">
        <f t="shared" si="1"/>
        <v>10</v>
      </c>
      <c r="D58">
        <f t="shared" si="2"/>
        <v>1</v>
      </c>
      <c r="E58" s="4">
        <v>-9.9999999999997868E-3</v>
      </c>
      <c r="F58">
        <f>IFERROR(VLOOKUP(A58,[1]BEI!$A$15:$L$289,12,0)*1,0)</f>
        <v>-5.5900000000000007</v>
      </c>
    </row>
    <row r="59" spans="1:6" ht="16.5" x14ac:dyDescent="0.3">
      <c r="A59" s="3">
        <v>39387</v>
      </c>
      <c r="B59">
        <f t="shared" si="0"/>
        <v>2007</v>
      </c>
      <c r="C59">
        <f t="shared" si="1"/>
        <v>11</v>
      </c>
      <c r="D59">
        <f t="shared" si="2"/>
        <v>1</v>
      </c>
      <c r="E59" s="4">
        <v>0.24000000000000021</v>
      </c>
      <c r="F59">
        <f>IFERROR(VLOOKUP(A59,[1]BEI!$A$15:$L$289,12,0)*1,0)</f>
        <v>-2.0000000000000462E-2</v>
      </c>
    </row>
    <row r="60" spans="1:6" ht="16.5" x14ac:dyDescent="0.3">
      <c r="A60" s="3">
        <v>39417</v>
      </c>
      <c r="B60">
        <f t="shared" si="0"/>
        <v>2007</v>
      </c>
      <c r="C60">
        <f t="shared" si="1"/>
        <v>12</v>
      </c>
      <c r="D60">
        <f t="shared" si="2"/>
        <v>1</v>
      </c>
      <c r="E60" s="4">
        <v>-9.9999999999997868E-3</v>
      </c>
      <c r="F60">
        <f>IFERROR(VLOOKUP(A60,[1]BEI!$A$15:$L$289,12,0)*1,0)</f>
        <v>5.2099999999999991</v>
      </c>
    </row>
    <row r="61" spans="1:6" ht="16.5" x14ac:dyDescent="0.3">
      <c r="A61" s="3">
        <v>39448</v>
      </c>
      <c r="B61">
        <f t="shared" si="0"/>
        <v>2008</v>
      </c>
      <c r="C61">
        <f t="shared" si="1"/>
        <v>1</v>
      </c>
      <c r="D61">
        <f t="shared" si="2"/>
        <v>1</v>
      </c>
      <c r="E61" s="4">
        <v>-3.9999999999999147E-2</v>
      </c>
      <c r="F61">
        <f>IFERROR(VLOOKUP(A61,[1]BEI!$A$15:$L$289,12,0)*1,0)</f>
        <v>8.0000000000000071E-2</v>
      </c>
    </row>
    <row r="62" spans="1:6" ht="16.5" x14ac:dyDescent="0.3">
      <c r="A62" s="3">
        <v>39479</v>
      </c>
      <c r="B62">
        <f t="shared" si="0"/>
        <v>2008</v>
      </c>
      <c r="C62">
        <f t="shared" si="1"/>
        <v>2</v>
      </c>
      <c r="D62">
        <f t="shared" si="2"/>
        <v>1</v>
      </c>
      <c r="E62" s="4">
        <v>0.16000000000000014</v>
      </c>
      <c r="F62">
        <f>IFERROR(VLOOKUP(A62,[1]BEI!$A$15:$L$289,12,0)*1,0)</f>
        <v>2.9999999999999361E-2</v>
      </c>
    </row>
    <row r="63" spans="1:6" ht="16.5" x14ac:dyDescent="0.3">
      <c r="A63" s="3">
        <v>39508</v>
      </c>
      <c r="B63">
        <f t="shared" si="0"/>
        <v>2008</v>
      </c>
      <c r="C63">
        <f t="shared" si="1"/>
        <v>3</v>
      </c>
      <c r="D63">
        <f t="shared" si="2"/>
        <v>1</v>
      </c>
      <c r="E63" s="4">
        <v>0</v>
      </c>
      <c r="F63">
        <f>IFERROR(VLOOKUP(A63,[1]BEI!$A$15:$L$289,12,0)*1,0)</f>
        <v>5.0000000000000009</v>
      </c>
    </row>
    <row r="64" spans="1:6" ht="16.5" x14ac:dyDescent="0.3">
      <c r="A64" s="3">
        <v>39539</v>
      </c>
      <c r="B64">
        <f t="shared" si="0"/>
        <v>2008</v>
      </c>
      <c r="C64">
        <f t="shared" si="1"/>
        <v>4</v>
      </c>
      <c r="D64">
        <f t="shared" si="2"/>
        <v>1</v>
      </c>
      <c r="E64" s="4">
        <v>0</v>
      </c>
      <c r="F64">
        <f>IFERROR(VLOOKUP(A64,[1]BEI!$A$15:$L$289,12,0)*1,0)</f>
        <v>5.53</v>
      </c>
    </row>
    <row r="65" spans="1:6" ht="16.5" x14ac:dyDescent="0.3">
      <c r="A65" s="3">
        <v>39569</v>
      </c>
      <c r="B65">
        <f t="shared" si="0"/>
        <v>2008</v>
      </c>
      <c r="C65">
        <f t="shared" si="1"/>
        <v>5</v>
      </c>
      <c r="D65">
        <f t="shared" si="2"/>
        <v>1</v>
      </c>
      <c r="E65" s="4">
        <v>-5.0000000000000711E-2</v>
      </c>
      <c r="F65">
        <f>IFERROR(VLOOKUP(A65,[1]BEI!$A$15:$L$289,12,0)*1,0)</f>
        <v>-5.53</v>
      </c>
    </row>
    <row r="66" spans="1:6" ht="16.5" x14ac:dyDescent="0.3">
      <c r="A66" s="3">
        <v>39600</v>
      </c>
      <c r="B66">
        <f t="shared" si="0"/>
        <v>2008</v>
      </c>
      <c r="C66">
        <f t="shared" si="1"/>
        <v>6</v>
      </c>
      <c r="D66">
        <f t="shared" si="2"/>
        <v>1</v>
      </c>
      <c r="E66" s="4">
        <v>-9.9999999999999645E-2</v>
      </c>
      <c r="F66">
        <f>IFERROR(VLOOKUP(A66,[1]BEI!$A$15:$L$289,12,0)*1,0)</f>
        <v>-5.45</v>
      </c>
    </row>
    <row r="67" spans="1:6" ht="16.5" x14ac:dyDescent="0.3">
      <c r="A67" s="3">
        <v>39630</v>
      </c>
      <c r="B67">
        <f t="shared" ref="B67:B130" si="3">YEAR(A67)</f>
        <v>2008</v>
      </c>
      <c r="C67">
        <f t="shared" ref="C67:C130" si="4">MONTH(A67)</f>
        <v>7</v>
      </c>
      <c r="D67">
        <f t="shared" ref="D67:D130" si="5">DAY(A67)</f>
        <v>1</v>
      </c>
      <c r="E67" s="4">
        <v>0.13000000000000078</v>
      </c>
      <c r="F67">
        <f>IFERROR(VLOOKUP(A67,[1]BEI!$A$15:$L$289,12,0)*1,0)</f>
        <v>5.120000000000001</v>
      </c>
    </row>
    <row r="68" spans="1:6" ht="16.5" x14ac:dyDescent="0.3">
      <c r="A68" s="3">
        <v>39661</v>
      </c>
      <c r="B68">
        <f t="shared" si="3"/>
        <v>2008</v>
      </c>
      <c r="C68">
        <f t="shared" si="4"/>
        <v>8</v>
      </c>
      <c r="D68">
        <f t="shared" si="5"/>
        <v>1</v>
      </c>
      <c r="E68" s="4">
        <v>-2.9999999999999361E-2</v>
      </c>
      <c r="F68">
        <f>IFERROR(VLOOKUP(A68,[1]BEI!$A$15:$L$289,12,0)*1,0)</f>
        <v>-6.0000000000000497E-2</v>
      </c>
    </row>
    <row r="69" spans="1:6" ht="16.5" x14ac:dyDescent="0.3">
      <c r="A69" s="3">
        <v>39692</v>
      </c>
      <c r="B69">
        <f t="shared" si="3"/>
        <v>2008</v>
      </c>
      <c r="C69">
        <f t="shared" si="4"/>
        <v>9</v>
      </c>
      <c r="D69">
        <f t="shared" si="5"/>
        <v>1</v>
      </c>
      <c r="E69" s="4">
        <v>0</v>
      </c>
      <c r="F69">
        <f>IFERROR(VLOOKUP(A69,[1]BEI!$A$15:$L$289,12,0)*1,0)</f>
        <v>0.39000000000000057</v>
      </c>
    </row>
    <row r="70" spans="1:6" ht="16.5" x14ac:dyDescent="0.3">
      <c r="A70" s="3">
        <v>39722</v>
      </c>
      <c r="B70">
        <f t="shared" si="3"/>
        <v>2008</v>
      </c>
      <c r="C70">
        <f t="shared" si="4"/>
        <v>10</v>
      </c>
      <c r="D70">
        <f t="shared" si="5"/>
        <v>1</v>
      </c>
      <c r="E70" s="4">
        <v>1.9999999999999574E-2</v>
      </c>
      <c r="F70">
        <f>IFERROR(VLOOKUP(A70,[1]BEI!$A$15:$L$289,12,0)*1,0)</f>
        <v>-6.1599999999999984</v>
      </c>
    </row>
    <row r="71" spans="1:6" ht="16.5" x14ac:dyDescent="0.3">
      <c r="A71" s="3">
        <v>39753</v>
      </c>
      <c r="B71">
        <f t="shared" si="3"/>
        <v>2008</v>
      </c>
      <c r="C71">
        <f t="shared" si="4"/>
        <v>11</v>
      </c>
      <c r="D71">
        <f t="shared" si="5"/>
        <v>1</v>
      </c>
      <c r="E71" s="4">
        <v>3.9999999999999147E-2</v>
      </c>
      <c r="F71">
        <f>IFERROR(VLOOKUP(A71,[1]BEI!$A$15:$L$289,12,0)*1,0)</f>
        <v>-4.7799999999999994</v>
      </c>
    </row>
    <row r="72" spans="1:6" ht="16.5" x14ac:dyDescent="0.3">
      <c r="A72" s="3">
        <v>39783</v>
      </c>
      <c r="B72">
        <f t="shared" si="3"/>
        <v>2008</v>
      </c>
      <c r="C72">
        <f t="shared" si="4"/>
        <v>12</v>
      </c>
      <c r="D72">
        <f t="shared" si="5"/>
        <v>1</v>
      </c>
      <c r="E72" s="4">
        <v>-0.38000000000000078</v>
      </c>
      <c r="F72">
        <f>IFERROR(VLOOKUP(A72,[1]BEI!$A$15:$L$289,12,0)*1,0)</f>
        <v>4.089999999999999</v>
      </c>
    </row>
    <row r="73" spans="1:6" ht="16.5" x14ac:dyDescent="0.3">
      <c r="A73" s="3">
        <v>39814</v>
      </c>
      <c r="B73">
        <f t="shared" si="3"/>
        <v>2009</v>
      </c>
      <c r="C73">
        <f t="shared" si="4"/>
        <v>1</v>
      </c>
      <c r="D73">
        <f t="shared" si="5"/>
        <v>1</v>
      </c>
      <c r="E73" s="4">
        <v>0</v>
      </c>
      <c r="F73">
        <f>IFERROR(VLOOKUP(A73,[1]BEI!$A$15:$L$289,12,0)*1,0)</f>
        <v>-3.3599999999999994</v>
      </c>
    </row>
    <row r="74" spans="1:6" ht="16.5" x14ac:dyDescent="0.3">
      <c r="A74" s="3">
        <v>39845</v>
      </c>
      <c r="B74">
        <f t="shared" si="3"/>
        <v>2009</v>
      </c>
      <c r="C74">
        <f t="shared" si="4"/>
        <v>2</v>
      </c>
      <c r="D74">
        <f t="shared" si="5"/>
        <v>1</v>
      </c>
      <c r="E74" s="4">
        <v>-0.5</v>
      </c>
      <c r="F74">
        <f>IFERROR(VLOOKUP(A74,[1]BEI!$A$15:$L$289,12,0)*1,0)</f>
        <v>-0.1399999999999979</v>
      </c>
    </row>
    <row r="75" spans="1:6" ht="16.5" x14ac:dyDescent="0.3">
      <c r="A75" s="3">
        <v>39873</v>
      </c>
      <c r="B75">
        <f t="shared" si="3"/>
        <v>2009</v>
      </c>
      <c r="C75">
        <f t="shared" si="4"/>
        <v>3</v>
      </c>
      <c r="D75">
        <f t="shared" si="5"/>
        <v>1</v>
      </c>
      <c r="E75" s="4">
        <v>0</v>
      </c>
      <c r="F75">
        <f>IFERROR(VLOOKUP(A75,[1]BEI!$A$15:$L$289,12,0)*1,0)</f>
        <v>-0.12999999999999989</v>
      </c>
    </row>
    <row r="76" spans="1:6" ht="16.5" x14ac:dyDescent="0.3">
      <c r="A76" s="3">
        <v>39904</v>
      </c>
      <c r="B76">
        <f t="shared" si="3"/>
        <v>2009</v>
      </c>
      <c r="C76">
        <f t="shared" si="4"/>
        <v>4</v>
      </c>
      <c r="D76">
        <f t="shared" si="5"/>
        <v>1</v>
      </c>
      <c r="E76" s="4">
        <v>0</v>
      </c>
      <c r="F76">
        <f>IFERROR(VLOOKUP(A76,[1]BEI!$A$15:$L$289,12,0)*1,0)</f>
        <v>-0.53999999999999959</v>
      </c>
    </row>
    <row r="77" spans="1:6" ht="16.5" x14ac:dyDescent="0.3">
      <c r="A77" s="3">
        <v>39934</v>
      </c>
      <c r="B77">
        <f t="shared" si="3"/>
        <v>2009</v>
      </c>
      <c r="C77">
        <f t="shared" si="4"/>
        <v>5</v>
      </c>
      <c r="D77">
        <f t="shared" si="5"/>
        <v>1</v>
      </c>
      <c r="E77" s="4">
        <v>0</v>
      </c>
      <c r="F77">
        <f>IFERROR(VLOOKUP(A77,[1]BEI!$A$15:$L$289,12,0)*1,0)</f>
        <v>-1.0000000000000231E-2</v>
      </c>
    </row>
    <row r="78" spans="1:6" ht="16.5" x14ac:dyDescent="0.3">
      <c r="A78" s="3">
        <v>39965</v>
      </c>
      <c r="B78">
        <f t="shared" si="3"/>
        <v>2009</v>
      </c>
      <c r="C78">
        <f t="shared" si="4"/>
        <v>6</v>
      </c>
      <c r="D78">
        <f t="shared" si="5"/>
        <v>1</v>
      </c>
      <c r="E78" s="4">
        <v>0</v>
      </c>
      <c r="F78">
        <f>IFERROR(VLOOKUP(A78,[1]BEI!$A$15:$L$289,12,0)*1,0)</f>
        <v>-5.07</v>
      </c>
    </row>
    <row r="79" spans="1:6" ht="16.5" x14ac:dyDescent="0.3">
      <c r="A79" s="3">
        <v>39995</v>
      </c>
      <c r="B79">
        <f t="shared" si="3"/>
        <v>2009</v>
      </c>
      <c r="C79">
        <f t="shared" si="4"/>
        <v>7</v>
      </c>
      <c r="D79">
        <f t="shared" si="5"/>
        <v>1</v>
      </c>
      <c r="E79" s="4">
        <v>0</v>
      </c>
      <c r="F79">
        <f>IFERROR(VLOOKUP(A79,[1]BEI!$A$15:$L$289,12,0)*1,0)</f>
        <v>0.1899999999999995</v>
      </c>
    </row>
    <row r="80" spans="1:6" ht="16.5" x14ac:dyDescent="0.3">
      <c r="A80" s="3">
        <v>40026</v>
      </c>
      <c r="B80">
        <f t="shared" si="3"/>
        <v>2009</v>
      </c>
      <c r="C80">
        <f t="shared" si="4"/>
        <v>8</v>
      </c>
      <c r="D80">
        <f t="shared" si="5"/>
        <v>1</v>
      </c>
      <c r="E80" s="4">
        <v>0</v>
      </c>
      <c r="F80">
        <f>IFERROR(VLOOKUP(A80,[1]BEI!$A$15:$L$289,12,0)*1,0)</f>
        <v>-0.2200000000000002</v>
      </c>
    </row>
    <row r="81" spans="1:6" ht="16.5" x14ac:dyDescent="0.3">
      <c r="A81" s="3">
        <v>40057</v>
      </c>
      <c r="B81">
        <f t="shared" si="3"/>
        <v>2009</v>
      </c>
      <c r="C81">
        <f t="shared" si="4"/>
        <v>9</v>
      </c>
      <c r="D81">
        <f t="shared" si="5"/>
        <v>1</v>
      </c>
      <c r="E81" s="4">
        <v>-0.5</v>
      </c>
      <c r="F81">
        <f>IFERROR(VLOOKUP(A81,[1]BEI!$A$15:$L$289,12,0)*1,0)</f>
        <v>-0.42000000000000037</v>
      </c>
    </row>
    <row r="82" spans="1:6" ht="16.5" x14ac:dyDescent="0.3">
      <c r="A82" s="3">
        <v>40087</v>
      </c>
      <c r="B82">
        <f t="shared" si="3"/>
        <v>2009</v>
      </c>
      <c r="C82">
        <f t="shared" si="4"/>
        <v>10</v>
      </c>
      <c r="D82">
        <f t="shared" si="5"/>
        <v>1</v>
      </c>
      <c r="E82" s="4">
        <v>0</v>
      </c>
      <c r="F82">
        <f>IFERROR(VLOOKUP(A82,[1]BEI!$A$15:$L$289,12,0)*1,0)</f>
        <v>-2.0000000000000018E-2</v>
      </c>
    </row>
    <row r="83" spans="1:6" ht="16.5" x14ac:dyDescent="0.3">
      <c r="A83" s="3">
        <v>40118</v>
      </c>
      <c r="B83">
        <f t="shared" si="3"/>
        <v>2009</v>
      </c>
      <c r="C83">
        <f t="shared" si="4"/>
        <v>11</v>
      </c>
      <c r="D83">
        <f t="shared" si="5"/>
        <v>1</v>
      </c>
      <c r="E83" s="4">
        <v>-0.5</v>
      </c>
      <c r="F83">
        <f>IFERROR(VLOOKUP(A83,[1]BEI!$A$15:$L$289,12,0)*1,0)</f>
        <v>-1.4300000000000002</v>
      </c>
    </row>
    <row r="84" spans="1:6" ht="16.5" x14ac:dyDescent="0.3">
      <c r="A84" s="3">
        <v>40148</v>
      </c>
      <c r="B84">
        <f t="shared" si="3"/>
        <v>2009</v>
      </c>
      <c r="C84">
        <f t="shared" si="4"/>
        <v>12</v>
      </c>
      <c r="D84">
        <f t="shared" si="5"/>
        <v>1</v>
      </c>
      <c r="E84" s="4">
        <v>0</v>
      </c>
      <c r="F84">
        <f>IFERROR(VLOOKUP(A84,[1]BEI!$A$15:$L$289,12,0)*1,0)</f>
        <v>0.25999999999999979</v>
      </c>
    </row>
    <row r="85" spans="1:6" ht="17.25" x14ac:dyDescent="0.35">
      <c r="A85" s="3">
        <v>40179</v>
      </c>
      <c r="B85">
        <f t="shared" si="3"/>
        <v>2010</v>
      </c>
      <c r="C85">
        <f t="shared" si="4"/>
        <v>1</v>
      </c>
      <c r="D85">
        <f t="shared" si="5"/>
        <v>1</v>
      </c>
      <c r="E85" s="5">
        <v>0</v>
      </c>
      <c r="F85">
        <f>IFERROR(VLOOKUP(A85,[1]BEI!$A$15:$L$289,12,0)*1,0)</f>
        <v>0.13000000000000034</v>
      </c>
    </row>
    <row r="86" spans="1:6" ht="16.5" x14ac:dyDescent="0.3">
      <c r="A86" s="3">
        <v>40210</v>
      </c>
      <c r="B86">
        <f t="shared" si="3"/>
        <v>2010</v>
      </c>
      <c r="C86">
        <f t="shared" si="4"/>
        <v>2</v>
      </c>
      <c r="D86">
        <f t="shared" si="5"/>
        <v>1</v>
      </c>
      <c r="E86" s="6">
        <v>0</v>
      </c>
      <c r="F86">
        <f>IFERROR(VLOOKUP(A86,[1]BEI!$A$15:$L$289,12,0)*1,0)</f>
        <v>0.61999999999999966</v>
      </c>
    </row>
    <row r="87" spans="1:6" ht="16.5" x14ac:dyDescent="0.3">
      <c r="A87" s="3">
        <v>40238</v>
      </c>
      <c r="B87">
        <f t="shared" si="3"/>
        <v>2010</v>
      </c>
      <c r="C87">
        <f t="shared" si="4"/>
        <v>3</v>
      </c>
      <c r="D87">
        <f t="shared" si="5"/>
        <v>1</v>
      </c>
      <c r="E87" s="6">
        <v>0</v>
      </c>
      <c r="F87">
        <f>IFERROR(VLOOKUP(A87,[1]BEI!$A$15:$L$289,12,0)*1,0)</f>
        <v>0</v>
      </c>
    </row>
    <row r="88" spans="1:6" ht="16.5" x14ac:dyDescent="0.3">
      <c r="A88" s="3">
        <v>40269</v>
      </c>
      <c r="B88">
        <f t="shared" si="3"/>
        <v>2010</v>
      </c>
      <c r="C88">
        <f t="shared" si="4"/>
        <v>4</v>
      </c>
      <c r="D88">
        <f t="shared" si="5"/>
        <v>1</v>
      </c>
      <c r="E88" s="6">
        <v>-0.5</v>
      </c>
      <c r="F88">
        <f>IFERROR(VLOOKUP(A88,[1]BEI!$A$15:$L$289,12,0)*1,0)</f>
        <v>-0.26000000000000023</v>
      </c>
    </row>
    <row r="89" spans="1:6" ht="16.5" x14ac:dyDescent="0.3">
      <c r="A89" s="3">
        <v>40299</v>
      </c>
      <c r="B89">
        <f t="shared" si="3"/>
        <v>2010</v>
      </c>
      <c r="C89">
        <f t="shared" si="4"/>
        <v>5</v>
      </c>
      <c r="D89">
        <f t="shared" si="5"/>
        <v>1</v>
      </c>
      <c r="E89" s="6">
        <v>0</v>
      </c>
      <c r="F89">
        <f>IFERROR(VLOOKUP(A89,[1]BEI!$A$15:$L$289,12,0)*1,0)</f>
        <v>-9.0000000000000302E-2</v>
      </c>
    </row>
    <row r="90" spans="1:6" ht="16.5" x14ac:dyDescent="0.3">
      <c r="A90" s="3">
        <v>40330</v>
      </c>
      <c r="B90">
        <f t="shared" si="3"/>
        <v>2010</v>
      </c>
      <c r="C90">
        <f t="shared" si="4"/>
        <v>6</v>
      </c>
      <c r="D90">
        <f t="shared" si="5"/>
        <v>1</v>
      </c>
      <c r="E90" s="6">
        <v>0</v>
      </c>
      <c r="F90">
        <f>IFERROR(VLOOKUP(A90,[1]BEI!$A$15:$L$289,12,0)*1,0)</f>
        <v>-9.0000000000000302E-2</v>
      </c>
    </row>
    <row r="91" spans="1:6" ht="16.5" x14ac:dyDescent="0.3">
      <c r="A91" s="3">
        <v>40360</v>
      </c>
      <c r="B91">
        <f t="shared" si="3"/>
        <v>2010</v>
      </c>
      <c r="C91">
        <f t="shared" si="4"/>
        <v>7</v>
      </c>
      <c r="D91">
        <f t="shared" si="5"/>
        <v>1</v>
      </c>
      <c r="E91" s="6">
        <v>0</v>
      </c>
      <c r="F91">
        <f>IFERROR(VLOOKUP(A91,[1]BEI!$A$15:$L$289,12,0)*1,0)</f>
        <v>-6.9999999999999396E-2</v>
      </c>
    </row>
    <row r="92" spans="1:6" ht="16.5" x14ac:dyDescent="0.3">
      <c r="A92" s="3">
        <v>40391</v>
      </c>
      <c r="B92">
        <f t="shared" si="3"/>
        <v>2010</v>
      </c>
      <c r="C92">
        <f t="shared" si="4"/>
        <v>8</v>
      </c>
      <c r="D92">
        <f t="shared" si="5"/>
        <v>1</v>
      </c>
      <c r="E92" s="6">
        <v>0</v>
      </c>
      <c r="F92">
        <f>IFERROR(VLOOKUP(A92,[1]BEI!$A$15:$L$289,12,0)*1,0)</f>
        <v>2.89</v>
      </c>
    </row>
    <row r="93" spans="1:6" ht="16.5" x14ac:dyDescent="0.3">
      <c r="A93" s="3">
        <v>40422</v>
      </c>
      <c r="B93">
        <f t="shared" si="3"/>
        <v>2010</v>
      </c>
      <c r="C93">
        <f t="shared" si="4"/>
        <v>9</v>
      </c>
      <c r="D93">
        <f t="shared" si="5"/>
        <v>1</v>
      </c>
      <c r="E93" s="6">
        <v>0</v>
      </c>
      <c r="F93">
        <f>IFERROR(VLOOKUP(A93,[1]BEI!$A$15:$L$289,12,0)*1,0)</f>
        <v>-1.7199999999999998</v>
      </c>
    </row>
    <row r="94" spans="1:6" ht="16.5" x14ac:dyDescent="0.3">
      <c r="A94" s="3">
        <v>40452</v>
      </c>
      <c r="B94">
        <f t="shared" si="3"/>
        <v>2010</v>
      </c>
      <c r="C94">
        <f t="shared" si="4"/>
        <v>10</v>
      </c>
      <c r="D94">
        <f t="shared" si="5"/>
        <v>1</v>
      </c>
      <c r="E94" s="6">
        <v>0</v>
      </c>
      <c r="F94">
        <f>IFERROR(VLOOKUP(A94,[1]BEI!$A$15:$L$289,12,0)*1,0)</f>
        <v>4.0000000000000258E-2</v>
      </c>
    </row>
    <row r="95" spans="1:6" ht="16.5" x14ac:dyDescent="0.3">
      <c r="A95" s="3">
        <v>40483</v>
      </c>
      <c r="B95">
        <f t="shared" si="3"/>
        <v>2010</v>
      </c>
      <c r="C95">
        <f t="shared" si="4"/>
        <v>11</v>
      </c>
      <c r="D95">
        <f t="shared" si="5"/>
        <v>1</v>
      </c>
      <c r="E95" s="6">
        <v>0</v>
      </c>
      <c r="F95">
        <f>IFERROR(VLOOKUP(A95,[1]BEI!$A$15:$L$289,12,0)*1,0)</f>
        <v>1.8500000000000005</v>
      </c>
    </row>
    <row r="96" spans="1:6" ht="16.5" x14ac:dyDescent="0.3">
      <c r="A96" s="3">
        <v>40513</v>
      </c>
      <c r="B96">
        <f t="shared" si="3"/>
        <v>2010</v>
      </c>
      <c r="C96">
        <f t="shared" si="4"/>
        <v>12</v>
      </c>
      <c r="D96">
        <f t="shared" si="5"/>
        <v>1</v>
      </c>
      <c r="E96" s="6">
        <v>0</v>
      </c>
      <c r="F96">
        <f>IFERROR(VLOOKUP(A96,[1]BEI!$A$15:$L$289,12,0)*1,0)</f>
        <v>-0.15000000000000036</v>
      </c>
    </row>
    <row r="97" spans="1:6" ht="16.5" x14ac:dyDescent="0.3">
      <c r="A97" s="3">
        <v>40544</v>
      </c>
      <c r="B97">
        <f t="shared" si="3"/>
        <v>2011</v>
      </c>
      <c r="C97">
        <f t="shared" si="4"/>
        <v>1</v>
      </c>
      <c r="D97">
        <f t="shared" si="5"/>
        <v>1</v>
      </c>
      <c r="E97" s="6">
        <v>0</v>
      </c>
      <c r="F97">
        <f>IFERROR(VLOOKUP(A97,[1]BEI!$A$15:$L$289,12,0)*1,0)</f>
        <v>0.13000000000000034</v>
      </c>
    </row>
    <row r="98" spans="1:6" ht="16.5" x14ac:dyDescent="0.3">
      <c r="A98" s="3">
        <v>40575</v>
      </c>
      <c r="B98">
        <f t="shared" si="3"/>
        <v>2011</v>
      </c>
      <c r="C98">
        <f t="shared" si="4"/>
        <v>2</v>
      </c>
      <c r="D98">
        <f t="shared" si="5"/>
        <v>1</v>
      </c>
      <c r="E98" s="6">
        <v>0.25</v>
      </c>
      <c r="F98">
        <f>IFERROR(VLOOKUP(A98,[1]BEI!$A$15:$L$289,12,0)*1,0)</f>
        <v>0.15000000000000036</v>
      </c>
    </row>
    <row r="99" spans="1:6" ht="16.5" x14ac:dyDescent="0.3">
      <c r="A99" s="3">
        <v>40603</v>
      </c>
      <c r="B99">
        <f t="shared" si="3"/>
        <v>2011</v>
      </c>
      <c r="C99">
        <f t="shared" si="4"/>
        <v>3</v>
      </c>
      <c r="D99">
        <f t="shared" si="5"/>
        <v>1</v>
      </c>
      <c r="E99" s="6">
        <v>0</v>
      </c>
      <c r="F99">
        <f>IFERROR(VLOOKUP(A99,[1]BEI!$A$15:$L$289,12,0)*1,0)</f>
        <v>2.2999999999999998</v>
      </c>
    </row>
    <row r="100" spans="1:6" ht="16.5" x14ac:dyDescent="0.3">
      <c r="A100" s="3">
        <v>40634</v>
      </c>
      <c r="B100">
        <f t="shared" si="3"/>
        <v>2011</v>
      </c>
      <c r="C100">
        <f t="shared" si="4"/>
        <v>4</v>
      </c>
      <c r="D100">
        <f t="shared" si="5"/>
        <v>1</v>
      </c>
      <c r="E100" s="6">
        <v>0</v>
      </c>
      <c r="F100">
        <f>IFERROR(VLOOKUP(A100,[1]BEI!$A$15:$L$289,12,0)*1,0)</f>
        <v>-1.9999999999999574E-2</v>
      </c>
    </row>
    <row r="101" spans="1:6" ht="16.5" x14ac:dyDescent="0.3">
      <c r="A101" s="3">
        <v>40664</v>
      </c>
      <c r="B101">
        <f t="shared" si="3"/>
        <v>2011</v>
      </c>
      <c r="C101">
        <f t="shared" si="4"/>
        <v>5</v>
      </c>
      <c r="D101">
        <f t="shared" si="5"/>
        <v>1</v>
      </c>
      <c r="E101" s="6">
        <v>0</v>
      </c>
      <c r="F101">
        <f>IFERROR(VLOOKUP(A101,[1]BEI!$A$15:$L$289,12,0)*1,0)</f>
        <v>0.28000000000000025</v>
      </c>
    </row>
    <row r="102" spans="1:6" ht="16.5" x14ac:dyDescent="0.3">
      <c r="A102" s="3">
        <v>40695</v>
      </c>
      <c r="B102">
        <f t="shared" si="3"/>
        <v>2011</v>
      </c>
      <c r="C102">
        <f t="shared" si="4"/>
        <v>6</v>
      </c>
      <c r="D102">
        <f t="shared" si="5"/>
        <v>1</v>
      </c>
      <c r="E102" s="6">
        <v>0</v>
      </c>
      <c r="F102">
        <f>IFERROR(VLOOKUP(A102,[1]BEI!$A$15:$L$289,12,0)*1,0)</f>
        <v>1.9999999999999574E-2</v>
      </c>
    </row>
    <row r="103" spans="1:6" ht="16.5" x14ac:dyDescent="0.3">
      <c r="A103" s="3">
        <v>40725</v>
      </c>
      <c r="B103">
        <f t="shared" si="3"/>
        <v>2011</v>
      </c>
      <c r="C103">
        <f t="shared" si="4"/>
        <v>7</v>
      </c>
      <c r="D103">
        <f t="shared" si="5"/>
        <v>1</v>
      </c>
      <c r="E103" s="6">
        <v>0</v>
      </c>
      <c r="F103">
        <f>IFERROR(VLOOKUP(A103,[1]BEI!$A$15:$L$289,12,0)*1,0)</f>
        <v>-4.000000000000048E-2</v>
      </c>
    </row>
    <row r="104" spans="1:6" ht="16.5" x14ac:dyDescent="0.3">
      <c r="A104" s="3">
        <v>40756</v>
      </c>
      <c r="B104">
        <f t="shared" si="3"/>
        <v>2011</v>
      </c>
      <c r="C104">
        <f t="shared" si="4"/>
        <v>8</v>
      </c>
      <c r="D104">
        <f t="shared" si="5"/>
        <v>1</v>
      </c>
      <c r="E104" s="6">
        <v>-0.25</v>
      </c>
      <c r="F104">
        <f>IFERROR(VLOOKUP(A104,[1]BEI!$A$15:$L$289,12,0)*1,0)</f>
        <v>-2.1499999999999995</v>
      </c>
    </row>
    <row r="105" spans="1:6" ht="16.5" x14ac:dyDescent="0.3">
      <c r="A105" s="3">
        <v>40787</v>
      </c>
      <c r="B105">
        <f t="shared" si="3"/>
        <v>2011</v>
      </c>
      <c r="C105">
        <f t="shared" si="4"/>
        <v>9</v>
      </c>
      <c r="D105">
        <f t="shared" si="5"/>
        <v>1</v>
      </c>
      <c r="E105" s="6">
        <v>0</v>
      </c>
      <c r="F105">
        <f>IFERROR(VLOOKUP(A105,[1]BEI!$A$15:$L$289,12,0)*1,0)</f>
        <v>-0.14000000000000057</v>
      </c>
    </row>
    <row r="106" spans="1:6" ht="16.5" x14ac:dyDescent="0.3">
      <c r="A106" s="3">
        <v>40817</v>
      </c>
      <c r="B106">
        <f t="shared" si="3"/>
        <v>2011</v>
      </c>
      <c r="C106">
        <f t="shared" si="4"/>
        <v>10</v>
      </c>
      <c r="D106">
        <f t="shared" si="5"/>
        <v>1</v>
      </c>
      <c r="E106" s="6">
        <v>0</v>
      </c>
      <c r="F106">
        <f>IFERROR(VLOOKUP(A106,[1]BEI!$A$15:$L$289,12,0)*1,0)</f>
        <v>-8.0000000000000515E-2</v>
      </c>
    </row>
    <row r="107" spans="1:6" ht="16.5" x14ac:dyDescent="0.3">
      <c r="A107" s="3">
        <v>40848</v>
      </c>
      <c r="B107">
        <f t="shared" si="3"/>
        <v>2011</v>
      </c>
      <c r="C107">
        <f t="shared" si="4"/>
        <v>11</v>
      </c>
      <c r="D107">
        <f t="shared" si="5"/>
        <v>1</v>
      </c>
      <c r="E107" s="6">
        <v>0</v>
      </c>
      <c r="F107">
        <f>IFERROR(VLOOKUP(A107,[1]BEI!$A$15:$L$289,12,0)*1,0)</f>
        <v>-0.14000000000000101</v>
      </c>
    </row>
    <row r="108" spans="1:6" ht="16.5" x14ac:dyDescent="0.3">
      <c r="A108" s="3">
        <v>40878</v>
      </c>
      <c r="B108">
        <f t="shared" si="3"/>
        <v>2011</v>
      </c>
      <c r="C108">
        <f t="shared" si="4"/>
        <v>12</v>
      </c>
      <c r="D108">
        <f t="shared" si="5"/>
        <v>1</v>
      </c>
      <c r="E108" s="6">
        <v>0</v>
      </c>
      <c r="F108">
        <f>IFERROR(VLOOKUP(A108,[1]BEI!$A$15:$L$289,12,0)*1,0)</f>
        <v>9.9999999999997868E-3</v>
      </c>
    </row>
    <row r="109" spans="1:6" ht="16.5" x14ac:dyDescent="0.3">
      <c r="A109" s="3">
        <v>40909</v>
      </c>
      <c r="B109">
        <f t="shared" si="3"/>
        <v>2012</v>
      </c>
      <c r="C109">
        <f t="shared" si="4"/>
        <v>1</v>
      </c>
      <c r="D109">
        <f t="shared" si="5"/>
        <v>1</v>
      </c>
      <c r="E109" s="6">
        <v>0.25</v>
      </c>
      <c r="F109">
        <f>IFERROR(VLOOKUP(A109,[1]BEI!$A$15:$L$289,12,0)*1,0)</f>
        <v>0.12999999999999989</v>
      </c>
    </row>
    <row r="110" spans="1:6" ht="16.5" x14ac:dyDescent="0.3">
      <c r="A110" s="3">
        <v>40940</v>
      </c>
      <c r="B110">
        <f t="shared" si="3"/>
        <v>2012</v>
      </c>
      <c r="C110">
        <f t="shared" si="4"/>
        <v>2</v>
      </c>
      <c r="D110">
        <f t="shared" si="5"/>
        <v>1</v>
      </c>
      <c r="E110" s="6">
        <v>0</v>
      </c>
      <c r="F110">
        <f>IFERROR(VLOOKUP(A110,[1]BEI!$A$15:$L$289,12,0)*1,0)</f>
        <v>4.9999999999999822E-2</v>
      </c>
    </row>
    <row r="111" spans="1:6" ht="16.5" x14ac:dyDescent="0.3">
      <c r="A111" s="3">
        <v>40969</v>
      </c>
      <c r="B111">
        <f t="shared" si="3"/>
        <v>2012</v>
      </c>
      <c r="C111">
        <f t="shared" si="4"/>
        <v>3</v>
      </c>
      <c r="D111">
        <f t="shared" si="5"/>
        <v>1</v>
      </c>
      <c r="E111" s="6">
        <v>0</v>
      </c>
      <c r="F111">
        <f>IFERROR(VLOOKUP(A111,[1]BEI!$A$15:$L$289,12,0)*1,0)</f>
        <v>-0.11000000000000032</v>
      </c>
    </row>
    <row r="112" spans="1:6" ht="16.5" x14ac:dyDescent="0.3">
      <c r="A112" s="3">
        <v>41000</v>
      </c>
      <c r="B112">
        <f t="shared" si="3"/>
        <v>2012</v>
      </c>
      <c r="C112">
        <f t="shared" si="4"/>
        <v>4</v>
      </c>
      <c r="D112">
        <f t="shared" si="5"/>
        <v>1</v>
      </c>
      <c r="E112" s="6">
        <v>0</v>
      </c>
      <c r="F112">
        <f>IFERROR(VLOOKUP(A112,[1]BEI!$A$15:$L$289,12,0)*1,0)</f>
        <v>-8.0000000000000959E-2</v>
      </c>
    </row>
    <row r="113" spans="1:6" ht="16.5" x14ac:dyDescent="0.3">
      <c r="A113" s="3">
        <v>41030</v>
      </c>
      <c r="B113">
        <f t="shared" si="3"/>
        <v>2012</v>
      </c>
      <c r="C113">
        <f t="shared" si="4"/>
        <v>5</v>
      </c>
      <c r="D113">
        <f t="shared" si="5"/>
        <v>1</v>
      </c>
      <c r="E113" s="6">
        <v>0</v>
      </c>
      <c r="F113">
        <f>IFERROR(VLOOKUP(A113,[1]BEI!$A$15:$L$289,12,0)*1,0)</f>
        <v>-3.06</v>
      </c>
    </row>
    <row r="114" spans="1:6" ht="16.5" x14ac:dyDescent="0.3">
      <c r="A114" s="3">
        <v>41061</v>
      </c>
      <c r="B114">
        <f t="shared" si="3"/>
        <v>2012</v>
      </c>
      <c r="C114">
        <f t="shared" si="4"/>
        <v>6</v>
      </c>
      <c r="D114">
        <f t="shared" si="5"/>
        <v>1</v>
      </c>
      <c r="E114" s="6">
        <v>0</v>
      </c>
      <c r="F114">
        <f>IFERROR(VLOOKUP(A114,[1]BEI!$A$15:$L$289,12,0)*1,0)</f>
        <v>1.0000000000000675E-2</v>
      </c>
    </row>
    <row r="115" spans="1:6" ht="16.5" x14ac:dyDescent="0.3">
      <c r="A115" s="3">
        <v>41091</v>
      </c>
      <c r="B115">
        <f t="shared" si="3"/>
        <v>2012</v>
      </c>
      <c r="C115">
        <f t="shared" si="4"/>
        <v>7</v>
      </c>
      <c r="D115">
        <f t="shared" si="5"/>
        <v>1</v>
      </c>
      <c r="E115" s="6">
        <v>-0.25</v>
      </c>
      <c r="F115">
        <f>IFERROR(VLOOKUP(A115,[1]BEI!$A$15:$L$289,12,0)*1,0)</f>
        <v>-0.10000000000000053</v>
      </c>
    </row>
    <row r="116" spans="1:6" ht="16.5" x14ac:dyDescent="0.3">
      <c r="A116" s="3">
        <v>41122</v>
      </c>
      <c r="B116">
        <f t="shared" si="3"/>
        <v>2012</v>
      </c>
      <c r="C116">
        <f t="shared" si="4"/>
        <v>8</v>
      </c>
      <c r="D116">
        <f t="shared" si="5"/>
        <v>1</v>
      </c>
      <c r="E116" s="6">
        <v>0</v>
      </c>
      <c r="F116">
        <f>IFERROR(VLOOKUP(A116,[1]BEI!$A$15:$L$289,12,0)*1,0)</f>
        <v>2.0000000000000462E-2</v>
      </c>
    </row>
    <row r="117" spans="1:6" ht="16.5" x14ac:dyDescent="0.3">
      <c r="A117" s="3">
        <v>41153</v>
      </c>
      <c r="B117">
        <f t="shared" si="3"/>
        <v>2012</v>
      </c>
      <c r="C117">
        <f t="shared" si="4"/>
        <v>9</v>
      </c>
      <c r="D117">
        <f t="shared" si="5"/>
        <v>1</v>
      </c>
      <c r="E117" s="6">
        <v>0</v>
      </c>
      <c r="F117">
        <f>IFERROR(VLOOKUP(A117,[1]BEI!$A$15:$L$289,12,0)*1,0)</f>
        <v>-2.08</v>
      </c>
    </row>
    <row r="118" spans="1:6" ht="16.5" x14ac:dyDescent="0.3">
      <c r="A118" s="3">
        <v>41183</v>
      </c>
      <c r="B118">
        <f t="shared" si="3"/>
        <v>2012</v>
      </c>
      <c r="C118">
        <f t="shared" si="4"/>
        <v>10</v>
      </c>
      <c r="D118">
        <f t="shared" si="5"/>
        <v>1</v>
      </c>
      <c r="E118" s="6">
        <v>0</v>
      </c>
      <c r="F118">
        <f>IFERROR(VLOOKUP(A118,[1]BEI!$A$15:$L$289,12,0)*1,0)</f>
        <v>6.999999999999984E-2</v>
      </c>
    </row>
    <row r="119" spans="1:6" ht="16.5" x14ac:dyDescent="0.3">
      <c r="A119" s="3">
        <v>41214</v>
      </c>
      <c r="B119">
        <f t="shared" si="3"/>
        <v>2012</v>
      </c>
      <c r="C119">
        <f t="shared" si="4"/>
        <v>11</v>
      </c>
      <c r="D119">
        <f t="shared" si="5"/>
        <v>1</v>
      </c>
      <c r="E119" s="6">
        <v>-0.25</v>
      </c>
      <c r="F119">
        <f>IFERROR(VLOOKUP(A119,[1]BEI!$A$15:$L$289,12,0)*1,0)</f>
        <v>-1.4500000000000002</v>
      </c>
    </row>
    <row r="120" spans="1:6" ht="16.5" x14ac:dyDescent="0.3">
      <c r="A120" s="3">
        <v>41244</v>
      </c>
      <c r="B120">
        <f t="shared" si="3"/>
        <v>2012</v>
      </c>
      <c r="C120">
        <f t="shared" si="4"/>
        <v>12</v>
      </c>
      <c r="D120">
        <f t="shared" si="5"/>
        <v>1</v>
      </c>
      <c r="E120" s="6">
        <v>-0.25</v>
      </c>
      <c r="F120">
        <f>IFERROR(VLOOKUP(A120,[1]BEI!$A$15:$L$289,12,0)*1,0)</f>
        <v>2.9999999999999361E-2</v>
      </c>
    </row>
    <row r="121" spans="1:6" ht="16.5" x14ac:dyDescent="0.3">
      <c r="A121" s="3">
        <v>41275</v>
      </c>
      <c r="B121">
        <f t="shared" si="3"/>
        <v>2013</v>
      </c>
      <c r="C121">
        <f t="shared" si="4"/>
        <v>1</v>
      </c>
      <c r="D121">
        <f t="shared" si="5"/>
        <v>1</v>
      </c>
      <c r="E121" s="6">
        <v>0</v>
      </c>
      <c r="F121">
        <f>IFERROR(VLOOKUP(A121,[1]BEI!$A$15:$L$289,12,0)*1,0)</f>
        <v>4.0000000000000036E-2</v>
      </c>
    </row>
    <row r="122" spans="1:6" ht="16.5" x14ac:dyDescent="0.3">
      <c r="A122" s="3">
        <v>41306</v>
      </c>
      <c r="B122">
        <f t="shared" si="3"/>
        <v>2013</v>
      </c>
      <c r="C122">
        <f t="shared" si="4"/>
        <v>2</v>
      </c>
      <c r="D122">
        <f t="shared" si="5"/>
        <v>1</v>
      </c>
      <c r="E122" s="6">
        <v>0</v>
      </c>
      <c r="F122">
        <f>IFERROR(VLOOKUP(A122,[1]BEI!$A$15:$L$289,12,0)*1,0)</f>
        <v>1.7399999999999998</v>
      </c>
    </row>
    <row r="123" spans="1:6" ht="16.5" x14ac:dyDescent="0.3">
      <c r="A123" s="3">
        <v>41334</v>
      </c>
      <c r="B123">
        <f t="shared" si="3"/>
        <v>2013</v>
      </c>
      <c r="C123">
        <f t="shared" si="4"/>
        <v>3</v>
      </c>
      <c r="D123">
        <f t="shared" si="5"/>
        <v>1</v>
      </c>
      <c r="E123" s="6">
        <v>-0.25</v>
      </c>
      <c r="F123">
        <f>IFERROR(VLOOKUP(A123,[1]BEI!$A$15:$L$289,12,0)*1,0)</f>
        <v>-1.5499999999999998</v>
      </c>
    </row>
    <row r="124" spans="1:6" ht="16.5" x14ac:dyDescent="0.3">
      <c r="A124" s="3">
        <v>41365</v>
      </c>
      <c r="B124">
        <f t="shared" si="3"/>
        <v>2013</v>
      </c>
      <c r="C124">
        <f t="shared" si="4"/>
        <v>4</v>
      </c>
      <c r="D124">
        <f t="shared" si="5"/>
        <v>1</v>
      </c>
      <c r="E124" s="6">
        <v>0</v>
      </c>
      <c r="F124">
        <f>IFERROR(VLOOKUP(A124,[1]BEI!$A$15:$L$289,12,0)*1,0)</f>
        <v>1.48</v>
      </c>
    </row>
    <row r="125" spans="1:6" ht="16.5" x14ac:dyDescent="0.3">
      <c r="A125" s="3">
        <v>41395</v>
      </c>
      <c r="B125">
        <f t="shared" si="3"/>
        <v>2013</v>
      </c>
      <c r="C125">
        <f t="shared" si="4"/>
        <v>5</v>
      </c>
      <c r="D125">
        <f t="shared" si="5"/>
        <v>1</v>
      </c>
      <c r="E125" s="6">
        <v>0</v>
      </c>
      <c r="F125">
        <f>IFERROR(VLOOKUP(A125,[1]BEI!$A$15:$L$289,12,0)*1,0)</f>
        <v>2.11</v>
      </c>
    </row>
    <row r="126" spans="1:6" ht="16.5" x14ac:dyDescent="0.3">
      <c r="A126" s="3">
        <v>41426</v>
      </c>
      <c r="B126">
        <f t="shared" si="3"/>
        <v>2013</v>
      </c>
      <c r="C126">
        <f t="shared" si="4"/>
        <v>6</v>
      </c>
      <c r="D126">
        <f t="shared" si="5"/>
        <v>1</v>
      </c>
      <c r="E126" s="6">
        <v>0</v>
      </c>
      <c r="F126">
        <f>IFERROR(VLOOKUP(A126,[1]BEI!$A$15:$L$289,12,0)*1,0)</f>
        <v>2.57</v>
      </c>
    </row>
    <row r="127" spans="1:6" ht="16.5" x14ac:dyDescent="0.3">
      <c r="A127" s="3">
        <v>41456</v>
      </c>
      <c r="B127">
        <f t="shared" si="3"/>
        <v>2013</v>
      </c>
      <c r="C127">
        <f t="shared" si="4"/>
        <v>7</v>
      </c>
      <c r="D127">
        <f t="shared" si="5"/>
        <v>1</v>
      </c>
      <c r="E127" s="6">
        <v>0</v>
      </c>
      <c r="F127">
        <f>IFERROR(VLOOKUP(A127,[1]BEI!$A$15:$L$289,12,0)*1,0)</f>
        <v>2.0300000000000002</v>
      </c>
    </row>
    <row r="128" spans="1:6" ht="16.5" x14ac:dyDescent="0.3">
      <c r="A128" s="3">
        <v>41487</v>
      </c>
      <c r="B128">
        <f t="shared" si="3"/>
        <v>2013</v>
      </c>
      <c r="C128">
        <f t="shared" si="4"/>
        <v>8</v>
      </c>
      <c r="D128">
        <f t="shared" si="5"/>
        <v>1</v>
      </c>
      <c r="E128" s="6">
        <v>0</v>
      </c>
      <c r="F128">
        <f>IFERROR(VLOOKUP(A128,[1]BEI!$A$15:$L$289,12,0)*1,0)</f>
        <v>-1.8899999999999997</v>
      </c>
    </row>
    <row r="129" spans="1:6" ht="16.5" x14ac:dyDescent="0.3">
      <c r="A129" s="3">
        <v>41518</v>
      </c>
      <c r="B129">
        <f t="shared" si="3"/>
        <v>2013</v>
      </c>
      <c r="C129">
        <f t="shared" si="4"/>
        <v>9</v>
      </c>
      <c r="D129">
        <f t="shared" si="5"/>
        <v>1</v>
      </c>
      <c r="E129" s="6">
        <v>0</v>
      </c>
      <c r="F129">
        <f>IFERROR(VLOOKUP(A129,[1]BEI!$A$15:$L$289,12,0)*1,0)</f>
        <v>-8.8817841970012523E-16</v>
      </c>
    </row>
    <row r="130" spans="1:6" ht="16.5" x14ac:dyDescent="0.3">
      <c r="A130" s="3">
        <v>41548</v>
      </c>
      <c r="B130">
        <f t="shared" si="3"/>
        <v>2013</v>
      </c>
      <c r="C130">
        <f t="shared" si="4"/>
        <v>10</v>
      </c>
      <c r="D130">
        <f t="shared" si="5"/>
        <v>1</v>
      </c>
      <c r="E130" s="6">
        <v>0</v>
      </c>
      <c r="F130">
        <f>IFERROR(VLOOKUP(A130,[1]BEI!$A$15:$L$289,12,0)*1,0)</f>
        <v>3.0000000000000249E-2</v>
      </c>
    </row>
    <row r="131" spans="1:6" ht="16.5" x14ac:dyDescent="0.3">
      <c r="A131" s="3">
        <v>41579</v>
      </c>
      <c r="B131">
        <f t="shared" ref="B131:B194" si="6">YEAR(A131)</f>
        <v>2013</v>
      </c>
      <c r="C131">
        <f t="shared" ref="C131:C194" si="7">MONTH(A131)</f>
        <v>11</v>
      </c>
      <c r="D131">
        <f t="shared" ref="D131:D194" si="8">DAY(A131)</f>
        <v>1</v>
      </c>
      <c r="E131" s="6">
        <v>0</v>
      </c>
      <c r="F131">
        <f>IFERROR(VLOOKUP(A131,[1]BEI!$A$15:$L$289,12,0)*1,0)</f>
        <v>0</v>
      </c>
    </row>
    <row r="132" spans="1:6" ht="16.5" x14ac:dyDescent="0.3">
      <c r="A132" s="3">
        <v>41609</v>
      </c>
      <c r="B132">
        <f t="shared" si="6"/>
        <v>2013</v>
      </c>
      <c r="C132">
        <f t="shared" si="7"/>
        <v>12</v>
      </c>
      <c r="D132">
        <f t="shared" si="8"/>
        <v>1</v>
      </c>
      <c r="E132" s="6">
        <v>0</v>
      </c>
      <c r="F132">
        <f>IFERROR(VLOOKUP(A132,[1]BEI!$A$15:$L$289,12,0)*1,0)</f>
        <v>4.0000000000000036E-2</v>
      </c>
    </row>
    <row r="133" spans="1:6" ht="16.5" x14ac:dyDescent="0.3">
      <c r="A133" s="3">
        <v>41640</v>
      </c>
      <c r="B133">
        <f t="shared" si="6"/>
        <v>2014</v>
      </c>
      <c r="C133">
        <f t="shared" si="7"/>
        <v>1</v>
      </c>
      <c r="D133">
        <f t="shared" si="8"/>
        <v>1</v>
      </c>
      <c r="E133" s="6">
        <v>0</v>
      </c>
      <c r="F133">
        <f>IFERROR(VLOOKUP(A133,[1]BEI!$A$15:$L$289,12,0)*1,0)</f>
        <v>7.0000000000000284E-2</v>
      </c>
    </row>
    <row r="134" spans="1:6" ht="16.5" x14ac:dyDescent="0.3">
      <c r="A134" s="3">
        <v>41671</v>
      </c>
      <c r="B134">
        <f t="shared" si="6"/>
        <v>2014</v>
      </c>
      <c r="C134">
        <f t="shared" si="7"/>
        <v>2</v>
      </c>
      <c r="D134">
        <f t="shared" si="8"/>
        <v>1</v>
      </c>
      <c r="E134" s="6">
        <v>0</v>
      </c>
      <c r="F134">
        <f>IFERROR(VLOOKUP(A134,[1]BEI!$A$15:$L$289,12,0)*1,0)</f>
        <v>-1.9999999999999574E-2</v>
      </c>
    </row>
    <row r="135" spans="1:6" ht="16.5" x14ac:dyDescent="0.3">
      <c r="A135" s="3">
        <v>41699</v>
      </c>
      <c r="B135">
        <f t="shared" si="6"/>
        <v>2014</v>
      </c>
      <c r="C135">
        <f t="shared" si="7"/>
        <v>3</v>
      </c>
      <c r="D135">
        <f t="shared" si="8"/>
        <v>1</v>
      </c>
      <c r="E135" s="6">
        <v>0</v>
      </c>
      <c r="F135">
        <f>IFERROR(VLOOKUP(A135,[1]BEI!$A$15:$L$289,12,0)*1,0)</f>
        <v>4.4408920985006262E-16</v>
      </c>
    </row>
    <row r="136" spans="1:6" ht="16.5" x14ac:dyDescent="0.3">
      <c r="A136" s="3">
        <v>41730</v>
      </c>
      <c r="B136">
        <f t="shared" si="6"/>
        <v>2014</v>
      </c>
      <c r="C136">
        <f t="shared" si="7"/>
        <v>4</v>
      </c>
      <c r="D136">
        <f t="shared" si="8"/>
        <v>1</v>
      </c>
      <c r="E136" s="6">
        <v>0.25</v>
      </c>
      <c r="F136">
        <f>IFERROR(VLOOKUP(A136,[1]BEI!$A$15:$L$289,12,0)*1,0)</f>
        <v>-4.9999999999999822E-2</v>
      </c>
    </row>
    <row r="137" spans="1:6" ht="16.5" x14ac:dyDescent="0.3">
      <c r="A137" s="3">
        <v>41760</v>
      </c>
      <c r="B137">
        <f t="shared" si="6"/>
        <v>2014</v>
      </c>
      <c r="C137">
        <f t="shared" si="7"/>
        <v>5</v>
      </c>
      <c r="D137">
        <f t="shared" si="8"/>
        <v>1</v>
      </c>
      <c r="E137" s="6">
        <v>0</v>
      </c>
      <c r="F137">
        <f>IFERROR(VLOOKUP(A137,[1]BEI!$A$15:$L$289,12,0)*1,0)</f>
        <v>0.18000000000000016</v>
      </c>
    </row>
    <row r="138" spans="1:6" ht="16.5" x14ac:dyDescent="0.3">
      <c r="A138" s="3">
        <v>41791</v>
      </c>
      <c r="B138">
        <f t="shared" si="6"/>
        <v>2014</v>
      </c>
      <c r="C138">
        <f t="shared" si="7"/>
        <v>6</v>
      </c>
      <c r="D138">
        <f t="shared" si="8"/>
        <v>1</v>
      </c>
      <c r="E138" s="6">
        <v>0</v>
      </c>
      <c r="F138">
        <f>IFERROR(VLOOKUP(A138,[1]BEI!$A$15:$L$289,12,0)*1,0)</f>
        <v>-8.0000000000000071E-2</v>
      </c>
    </row>
    <row r="139" spans="1:6" ht="16.5" x14ac:dyDescent="0.3">
      <c r="A139" s="3">
        <v>41821</v>
      </c>
      <c r="B139">
        <f t="shared" si="6"/>
        <v>2014</v>
      </c>
      <c r="C139">
        <f t="shared" si="7"/>
        <v>7</v>
      </c>
      <c r="D139">
        <f t="shared" si="8"/>
        <v>1</v>
      </c>
      <c r="E139" s="6">
        <v>0</v>
      </c>
      <c r="F139">
        <f>IFERROR(VLOOKUP(A139,[1]BEI!$A$15:$L$289,12,0)*1,0)</f>
        <v>0.16999999999999993</v>
      </c>
    </row>
    <row r="140" spans="1:6" ht="16.5" x14ac:dyDescent="0.3">
      <c r="A140" s="3">
        <v>41852</v>
      </c>
      <c r="B140">
        <f t="shared" si="6"/>
        <v>2014</v>
      </c>
      <c r="C140">
        <f t="shared" si="7"/>
        <v>8</v>
      </c>
      <c r="D140">
        <f t="shared" si="8"/>
        <v>1</v>
      </c>
      <c r="E140" s="6">
        <v>0</v>
      </c>
      <c r="F140">
        <f>IFERROR(VLOOKUP(A140,[1]BEI!$A$15:$L$289,12,0)*1,0)</f>
        <v>-4.9999999999999822E-2</v>
      </c>
    </row>
    <row r="141" spans="1:6" ht="16.5" x14ac:dyDescent="0.3">
      <c r="A141" s="3">
        <v>41883</v>
      </c>
      <c r="B141">
        <f t="shared" si="6"/>
        <v>2014</v>
      </c>
      <c r="C141">
        <f t="shared" si="7"/>
        <v>9</v>
      </c>
      <c r="D141">
        <f t="shared" si="8"/>
        <v>1</v>
      </c>
      <c r="E141" s="6">
        <v>0</v>
      </c>
      <c r="F141">
        <f>IFERROR(VLOOKUP(A141,[1]BEI!$A$15:$L$289,12,0)*1,0)</f>
        <v>8.9999999999999858E-2</v>
      </c>
    </row>
    <row r="142" spans="1:6" ht="16.5" x14ac:dyDescent="0.3">
      <c r="A142" s="3">
        <v>41913</v>
      </c>
      <c r="B142">
        <f t="shared" si="6"/>
        <v>2014</v>
      </c>
      <c r="C142">
        <f t="shared" si="7"/>
        <v>10</v>
      </c>
      <c r="D142">
        <f t="shared" si="8"/>
        <v>1</v>
      </c>
      <c r="E142" s="6">
        <v>0</v>
      </c>
      <c r="F142">
        <f>IFERROR(VLOOKUP(A142,[1]BEI!$A$15:$L$289,12,0)*1,0)</f>
        <v>-0.33000000000000007</v>
      </c>
    </row>
    <row r="143" spans="1:6" ht="16.5" x14ac:dyDescent="0.3">
      <c r="A143" s="3">
        <v>41944</v>
      </c>
      <c r="B143">
        <f t="shared" si="6"/>
        <v>2014</v>
      </c>
      <c r="C143">
        <f t="shared" si="7"/>
        <v>11</v>
      </c>
      <c r="D143">
        <f t="shared" si="8"/>
        <v>1</v>
      </c>
      <c r="E143" s="6">
        <v>0</v>
      </c>
      <c r="F143">
        <f>IFERROR(VLOOKUP(A143,[1]BEI!$A$15:$L$289,12,0)*1,0)</f>
        <v>-2.0000000000000462E-2</v>
      </c>
    </row>
    <row r="144" spans="1:6" ht="16.5" x14ac:dyDescent="0.3">
      <c r="A144" s="3">
        <v>41974</v>
      </c>
      <c r="B144">
        <f t="shared" si="6"/>
        <v>2014</v>
      </c>
      <c r="C144">
        <f t="shared" si="7"/>
        <v>12</v>
      </c>
      <c r="D144">
        <f t="shared" si="8"/>
        <v>1</v>
      </c>
      <c r="E144" s="6">
        <v>0</v>
      </c>
      <c r="F144">
        <f>IFERROR(VLOOKUP(A144,[1]BEI!$A$15:$L$289,12,0)*1,0)</f>
        <v>-0.69999999999999973</v>
      </c>
    </row>
    <row r="145" spans="1:6" ht="16.5" x14ac:dyDescent="0.3">
      <c r="A145" s="3">
        <v>42005</v>
      </c>
      <c r="B145">
        <f t="shared" si="6"/>
        <v>2015</v>
      </c>
      <c r="C145">
        <f t="shared" si="7"/>
        <v>1</v>
      </c>
      <c r="D145">
        <f t="shared" si="8"/>
        <v>1</v>
      </c>
      <c r="E145" s="6">
        <v>0</v>
      </c>
      <c r="F145">
        <f>IFERROR(VLOOKUP(A145,[1]BEI!$A$15:$L$289,12,0)*1,0)</f>
        <v>4.0000000000000036E-2</v>
      </c>
    </row>
    <row r="146" spans="1:6" ht="16.5" x14ac:dyDescent="0.3">
      <c r="A146" s="3">
        <v>42036</v>
      </c>
      <c r="B146">
        <f t="shared" si="6"/>
        <v>2015</v>
      </c>
      <c r="C146">
        <f t="shared" si="7"/>
        <v>2</v>
      </c>
      <c r="D146">
        <f t="shared" si="8"/>
        <v>1</v>
      </c>
      <c r="E146" s="6">
        <v>0</v>
      </c>
      <c r="F146">
        <f>IFERROR(VLOOKUP(A146,[1]BEI!$A$15:$L$289,12,0)*1,0)</f>
        <v>-1.0000000000000675E-2</v>
      </c>
    </row>
    <row r="147" spans="1:6" ht="16.5" x14ac:dyDescent="0.3">
      <c r="A147" s="3">
        <v>42064</v>
      </c>
      <c r="B147">
        <f t="shared" si="6"/>
        <v>2015</v>
      </c>
      <c r="C147">
        <f t="shared" si="7"/>
        <v>3</v>
      </c>
      <c r="D147">
        <f t="shared" si="8"/>
        <v>1</v>
      </c>
      <c r="E147" s="6">
        <v>0</v>
      </c>
      <c r="F147">
        <f>IFERROR(VLOOKUP(A147,[1]BEI!$A$15:$L$289,12,0)*1,0)</f>
        <v>-5.9999999999999609E-2</v>
      </c>
    </row>
    <row r="148" spans="1:6" ht="16.5" x14ac:dyDescent="0.3">
      <c r="A148" s="3">
        <v>42095</v>
      </c>
      <c r="B148">
        <f t="shared" si="6"/>
        <v>2015</v>
      </c>
      <c r="C148">
        <f t="shared" si="7"/>
        <v>4</v>
      </c>
      <c r="D148">
        <f t="shared" si="8"/>
        <v>1</v>
      </c>
      <c r="E148" s="6">
        <v>0</v>
      </c>
      <c r="F148">
        <f>IFERROR(VLOOKUP(A148,[1]BEI!$A$15:$L$289,12,0)*1,0)</f>
        <v>0.26999999999999957</v>
      </c>
    </row>
    <row r="149" spans="1:6" ht="16.5" x14ac:dyDescent="0.3">
      <c r="A149" s="3">
        <v>42125</v>
      </c>
      <c r="B149">
        <f t="shared" si="6"/>
        <v>2015</v>
      </c>
      <c r="C149">
        <f t="shared" si="7"/>
        <v>5</v>
      </c>
      <c r="D149">
        <f t="shared" si="8"/>
        <v>1</v>
      </c>
      <c r="E149" s="6">
        <v>0</v>
      </c>
      <c r="F149">
        <f>IFERROR(VLOOKUP(A149,[1]BEI!$A$15:$L$289,12,0)*1,0)</f>
        <v>-0.23999999999999977</v>
      </c>
    </row>
    <row r="150" spans="1:6" ht="16.5" x14ac:dyDescent="0.3">
      <c r="A150" s="3">
        <v>42156</v>
      </c>
      <c r="B150">
        <f t="shared" si="6"/>
        <v>2015</v>
      </c>
      <c r="C150">
        <f t="shared" si="7"/>
        <v>6</v>
      </c>
      <c r="D150">
        <f t="shared" si="8"/>
        <v>1</v>
      </c>
      <c r="E150" s="6">
        <v>0</v>
      </c>
      <c r="F150">
        <f>IFERROR(VLOOKUP(A150,[1]BEI!$A$15:$L$289,12,0)*1,0)</f>
        <v>-6.999999999999984E-2</v>
      </c>
    </row>
    <row r="151" spans="1:6" ht="16.5" x14ac:dyDescent="0.3">
      <c r="A151" s="3">
        <v>42186</v>
      </c>
      <c r="B151">
        <f t="shared" si="6"/>
        <v>2015</v>
      </c>
      <c r="C151">
        <f t="shared" si="7"/>
        <v>7</v>
      </c>
      <c r="D151">
        <f t="shared" si="8"/>
        <v>1</v>
      </c>
      <c r="E151" s="6">
        <v>0</v>
      </c>
      <c r="F151">
        <f>IFERROR(VLOOKUP(A151,[1]BEI!$A$15:$L$289,12,0)*1,0)</f>
        <v>0.33000000000000052</v>
      </c>
    </row>
    <row r="152" spans="1:6" ht="16.5" x14ac:dyDescent="0.3">
      <c r="A152" s="3">
        <v>42217</v>
      </c>
      <c r="B152">
        <f t="shared" si="6"/>
        <v>2015</v>
      </c>
      <c r="C152">
        <f t="shared" si="7"/>
        <v>8</v>
      </c>
      <c r="D152">
        <f t="shared" si="8"/>
        <v>1</v>
      </c>
      <c r="E152" s="6">
        <v>0</v>
      </c>
      <c r="F152">
        <f>IFERROR(VLOOKUP(A152,[1]BEI!$A$15:$L$289,12,0)*1,0)</f>
        <v>-3.0000000000000249E-2</v>
      </c>
    </row>
    <row r="153" spans="1:6" ht="16.5" x14ac:dyDescent="0.3">
      <c r="A153" s="3">
        <v>42248</v>
      </c>
      <c r="B153">
        <f t="shared" si="6"/>
        <v>2015</v>
      </c>
      <c r="C153">
        <f t="shared" si="7"/>
        <v>9</v>
      </c>
      <c r="D153">
        <f t="shared" si="8"/>
        <v>1</v>
      </c>
      <c r="E153" s="6">
        <v>0.25</v>
      </c>
      <c r="F153">
        <f>IFERROR(VLOOKUP(A153,[1]BEI!$A$15:$L$289,12,0)*1,0)</f>
        <v>7.9999999999999183E-2</v>
      </c>
    </row>
    <row r="154" spans="1:6" ht="16.5" x14ac:dyDescent="0.3">
      <c r="A154" s="3">
        <v>42278</v>
      </c>
      <c r="B154">
        <f t="shared" si="6"/>
        <v>2015</v>
      </c>
      <c r="C154">
        <f t="shared" si="7"/>
        <v>10</v>
      </c>
      <c r="D154">
        <f t="shared" si="8"/>
        <v>1</v>
      </c>
      <c r="E154" s="6">
        <v>0.25</v>
      </c>
      <c r="F154">
        <f>IFERROR(VLOOKUP(A154,[1]BEI!$A$15:$L$289,12,0)*1,0)</f>
        <v>0.27000000000000046</v>
      </c>
    </row>
    <row r="155" spans="1:6" ht="16.5" x14ac:dyDescent="0.3">
      <c r="A155" s="3">
        <v>42309</v>
      </c>
      <c r="B155">
        <f t="shared" si="6"/>
        <v>2015</v>
      </c>
      <c r="C155">
        <f t="shared" si="7"/>
        <v>11</v>
      </c>
      <c r="D155">
        <f t="shared" si="8"/>
        <v>1</v>
      </c>
      <c r="E155" s="6">
        <v>-0.25</v>
      </c>
      <c r="F155">
        <f>IFERROR(VLOOKUP(A155,[1]BEI!$A$15:$L$289,12,0)*1,0)</f>
        <v>-2.9999999999999361E-2</v>
      </c>
    </row>
    <row r="156" spans="1:6" ht="16.5" x14ac:dyDescent="0.3">
      <c r="A156" s="3">
        <v>42339</v>
      </c>
      <c r="B156">
        <f t="shared" si="6"/>
        <v>2015</v>
      </c>
      <c r="C156">
        <f t="shared" si="7"/>
        <v>12</v>
      </c>
      <c r="D156">
        <f t="shared" si="8"/>
        <v>1</v>
      </c>
      <c r="E156" s="6">
        <v>0</v>
      </c>
      <c r="F156">
        <f>IFERROR(VLOOKUP(A156,[1]BEI!$A$15:$L$289,12,0)*1,0)</f>
        <v>3.0000000000000249E-2</v>
      </c>
    </row>
    <row r="157" spans="1:6" ht="16.5" x14ac:dyDescent="0.3">
      <c r="A157" s="3">
        <v>42370</v>
      </c>
      <c r="B157">
        <f t="shared" si="6"/>
        <v>2016</v>
      </c>
      <c r="C157">
        <f t="shared" si="7"/>
        <v>1</v>
      </c>
      <c r="D157">
        <f t="shared" si="8"/>
        <v>1</v>
      </c>
      <c r="E157" s="6">
        <v>0</v>
      </c>
      <c r="F157">
        <f>IFERROR(VLOOKUP(A157,[1]BEI!$A$15:$L$289,12,0)*1,0)</f>
        <v>-9.9999999999988987E-3</v>
      </c>
    </row>
    <row r="158" spans="1:6" ht="16.5" x14ac:dyDescent="0.3">
      <c r="A158" s="3">
        <v>42401</v>
      </c>
      <c r="B158">
        <f t="shared" si="6"/>
        <v>2016</v>
      </c>
      <c r="C158">
        <f t="shared" si="7"/>
        <v>2</v>
      </c>
      <c r="D158">
        <f t="shared" si="8"/>
        <v>1</v>
      </c>
      <c r="E158" s="6">
        <v>0</v>
      </c>
      <c r="F158">
        <f>IFERROR(VLOOKUP(A158,[1]BEI!$A$15:$L$289,12,0)*1,0)</f>
        <v>-4.9999999999999822E-2</v>
      </c>
    </row>
    <row r="159" spans="1:6" ht="16.5" x14ac:dyDescent="0.3">
      <c r="A159" s="3">
        <v>42430</v>
      </c>
      <c r="B159">
        <f t="shared" si="6"/>
        <v>2016</v>
      </c>
      <c r="C159">
        <f t="shared" si="7"/>
        <v>3</v>
      </c>
      <c r="D159">
        <f t="shared" si="8"/>
        <v>1</v>
      </c>
      <c r="E159" s="6">
        <v>0</v>
      </c>
      <c r="F159">
        <f>IFERROR(VLOOKUP(A159,[1]BEI!$A$15:$L$289,12,0)*1,0)</f>
        <v>8.9999999999999858E-2</v>
      </c>
    </row>
    <row r="160" spans="1:6" ht="16.5" x14ac:dyDescent="0.3">
      <c r="A160" s="3">
        <v>42461</v>
      </c>
      <c r="B160">
        <f t="shared" si="6"/>
        <v>2016</v>
      </c>
      <c r="C160">
        <f t="shared" si="7"/>
        <v>4</v>
      </c>
      <c r="D160">
        <f t="shared" si="8"/>
        <v>1</v>
      </c>
      <c r="E160" s="6">
        <v>0.25</v>
      </c>
      <c r="F160">
        <f>IFERROR(VLOOKUP(A160,[1]BEI!$A$15:$L$289,12,0)*1,0)</f>
        <v>0.10999999999999943</v>
      </c>
    </row>
    <row r="161" spans="1:6" ht="16.5" x14ac:dyDescent="0.3">
      <c r="A161" s="3">
        <v>42491</v>
      </c>
      <c r="B161">
        <f t="shared" si="6"/>
        <v>2016</v>
      </c>
      <c r="C161">
        <f t="shared" si="7"/>
        <v>5</v>
      </c>
      <c r="D161">
        <f t="shared" si="8"/>
        <v>1</v>
      </c>
      <c r="E161" s="6">
        <v>0</v>
      </c>
      <c r="F161">
        <f>IFERROR(VLOOKUP(A161,[1]BEI!$A$15:$L$289,12,0)*1,0)</f>
        <v>4.9999999999998934E-2</v>
      </c>
    </row>
    <row r="162" spans="1:6" ht="16.5" x14ac:dyDescent="0.3">
      <c r="A162" s="3">
        <v>42522</v>
      </c>
      <c r="B162">
        <f t="shared" si="6"/>
        <v>2016</v>
      </c>
      <c r="C162">
        <f t="shared" si="7"/>
        <v>6</v>
      </c>
      <c r="D162">
        <f t="shared" si="8"/>
        <v>1</v>
      </c>
      <c r="E162" s="6">
        <v>0</v>
      </c>
      <c r="F162">
        <f>IFERROR(VLOOKUP(A162,[1]BEI!$A$15:$L$289,12,0)*1,0)</f>
        <v>-1.9999999999999574E-2</v>
      </c>
    </row>
    <row r="163" spans="1:6" ht="16.5" x14ac:dyDescent="0.3">
      <c r="A163" s="3">
        <v>42552</v>
      </c>
      <c r="B163">
        <f t="shared" si="6"/>
        <v>2016</v>
      </c>
      <c r="C163">
        <f t="shared" si="7"/>
        <v>7</v>
      </c>
      <c r="D163">
        <f t="shared" si="8"/>
        <v>1</v>
      </c>
      <c r="E163" s="6">
        <v>0</v>
      </c>
      <c r="F163">
        <f>IFERROR(VLOOKUP(A163,[1]BEI!$A$15:$L$289,12,0)*1,0)</f>
        <v>-0.62000000000000011</v>
      </c>
    </row>
    <row r="164" spans="1:6" ht="16.5" x14ac:dyDescent="0.3">
      <c r="A164" s="3">
        <v>42583</v>
      </c>
      <c r="B164">
        <f t="shared" si="6"/>
        <v>2016</v>
      </c>
      <c r="C164">
        <f t="shared" si="7"/>
        <v>8</v>
      </c>
      <c r="D164">
        <f t="shared" si="8"/>
        <v>1</v>
      </c>
      <c r="E164" s="6">
        <v>0</v>
      </c>
      <c r="F164">
        <f>IFERROR(VLOOKUP(A164,[1]BEI!$A$15:$L$289,12,0)*1,0)</f>
        <v>-0.14999999999999947</v>
      </c>
    </row>
    <row r="165" spans="1:6" ht="16.5" x14ac:dyDescent="0.3">
      <c r="A165" s="3">
        <v>42614</v>
      </c>
      <c r="B165">
        <f t="shared" si="6"/>
        <v>2016</v>
      </c>
      <c r="C165">
        <f t="shared" si="7"/>
        <v>9</v>
      </c>
      <c r="D165">
        <f t="shared" si="8"/>
        <v>1</v>
      </c>
      <c r="E165" s="6">
        <v>0</v>
      </c>
      <c r="F165">
        <f>IFERROR(VLOOKUP(A165,[1]BEI!$A$15:$L$289,12,0)*1,0)</f>
        <v>-3.9999999999999591E-2</v>
      </c>
    </row>
    <row r="166" spans="1:6" ht="16.5" x14ac:dyDescent="0.3">
      <c r="A166" s="3">
        <v>42644</v>
      </c>
      <c r="B166">
        <f t="shared" si="6"/>
        <v>2016</v>
      </c>
      <c r="C166">
        <f t="shared" si="7"/>
        <v>10</v>
      </c>
      <c r="D166">
        <f t="shared" si="8"/>
        <v>1</v>
      </c>
      <c r="E166" s="6">
        <v>0</v>
      </c>
      <c r="F166">
        <f>IFERROR(VLOOKUP(A166,[1]BEI!$A$15:$L$289,12,0)*1,0)</f>
        <v>-2.000000000000135E-2</v>
      </c>
    </row>
    <row r="167" spans="1:6" ht="16.5" x14ac:dyDescent="0.3">
      <c r="A167" s="3">
        <v>42675</v>
      </c>
      <c r="B167">
        <f t="shared" si="6"/>
        <v>2016</v>
      </c>
      <c r="C167">
        <f t="shared" si="7"/>
        <v>11</v>
      </c>
      <c r="D167">
        <f t="shared" si="8"/>
        <v>1</v>
      </c>
      <c r="E167" s="6">
        <v>0</v>
      </c>
      <c r="F167">
        <f>IFERROR(VLOOKUP(A167,[1]BEI!$A$15:$L$289,12,0)*1,0)</f>
        <v>5.0000000000000711E-2</v>
      </c>
    </row>
    <row r="168" spans="1:6" ht="16.5" x14ac:dyDescent="0.3">
      <c r="A168" s="3">
        <v>42705</v>
      </c>
      <c r="B168">
        <f t="shared" si="6"/>
        <v>2016</v>
      </c>
      <c r="C168">
        <f t="shared" si="7"/>
        <v>12</v>
      </c>
      <c r="D168">
        <f t="shared" si="8"/>
        <v>1</v>
      </c>
      <c r="E168" s="6">
        <v>-0.25</v>
      </c>
      <c r="F168">
        <f>IFERROR(VLOOKUP(A168,[1]BEI!$A$15:$L$289,12,0)*1,0)</f>
        <v>-5.0000000000000711E-2</v>
      </c>
    </row>
    <row r="169" spans="1:6" ht="16.5" x14ac:dyDescent="0.3">
      <c r="A169" s="3">
        <v>42736</v>
      </c>
      <c r="B169">
        <f t="shared" si="6"/>
        <v>2017</v>
      </c>
      <c r="C169">
        <f t="shared" si="7"/>
        <v>1</v>
      </c>
      <c r="D169">
        <f t="shared" si="8"/>
        <v>1</v>
      </c>
      <c r="E169" s="6">
        <v>0.25</v>
      </c>
      <c r="F169">
        <f>IFERROR(VLOOKUP(A169,[1]BEI!$A$15:$L$289,12,0)*1,0)</f>
        <v>0.15999999999999925</v>
      </c>
    </row>
    <row r="170" spans="1:6" ht="16.5" x14ac:dyDescent="0.3">
      <c r="A170" s="3">
        <v>42767</v>
      </c>
      <c r="B170">
        <f t="shared" si="6"/>
        <v>2017</v>
      </c>
      <c r="C170">
        <f t="shared" si="7"/>
        <v>2</v>
      </c>
      <c r="D170">
        <f t="shared" si="8"/>
        <v>1</v>
      </c>
      <c r="E170" s="6">
        <v>-0.25</v>
      </c>
      <c r="F170">
        <f>IFERROR(VLOOKUP(A170,[1]BEI!$A$15:$L$289,12,0)*1,0)</f>
        <v>-7.0000000000000284E-2</v>
      </c>
    </row>
    <row r="171" spans="1:6" ht="16.5" x14ac:dyDescent="0.3">
      <c r="A171" s="3">
        <v>42795</v>
      </c>
      <c r="B171">
        <f t="shared" si="6"/>
        <v>2017</v>
      </c>
      <c r="C171">
        <f t="shared" si="7"/>
        <v>3</v>
      </c>
      <c r="D171">
        <f t="shared" si="8"/>
        <v>1</v>
      </c>
      <c r="E171" s="6">
        <v>0</v>
      </c>
      <c r="F171">
        <f>IFERROR(VLOOKUP(A171,[1]BEI!$A$15:$L$289,12,0)*1,0)</f>
        <v>-9.9999999999997868E-3</v>
      </c>
    </row>
    <row r="172" spans="1:6" ht="16.5" x14ac:dyDescent="0.3">
      <c r="A172" s="3">
        <v>42826</v>
      </c>
      <c r="B172">
        <f t="shared" si="6"/>
        <v>2017</v>
      </c>
      <c r="C172">
        <f t="shared" si="7"/>
        <v>4</v>
      </c>
      <c r="D172">
        <f t="shared" si="8"/>
        <v>1</v>
      </c>
      <c r="E172" s="6">
        <v>-0.25</v>
      </c>
      <c r="F172">
        <f>IFERROR(VLOOKUP(A172,[1]BEI!$A$15:$L$289,12,0)*1,0)</f>
        <v>-0.12999999999999989</v>
      </c>
    </row>
    <row r="173" spans="1:6" ht="16.5" x14ac:dyDescent="0.3">
      <c r="A173" s="3">
        <v>42856</v>
      </c>
      <c r="B173">
        <f t="shared" si="6"/>
        <v>2017</v>
      </c>
      <c r="C173">
        <f t="shared" si="7"/>
        <v>5</v>
      </c>
      <c r="D173">
        <f t="shared" si="8"/>
        <v>1</v>
      </c>
      <c r="E173" s="6">
        <v>0</v>
      </c>
      <c r="F173">
        <f>IFERROR(VLOOKUP(A173,[1]BEI!$A$15:$L$289,12,0)*1,0)</f>
        <v>-9.9999999999997868E-3</v>
      </c>
    </row>
    <row r="174" spans="1:6" ht="16.5" x14ac:dyDescent="0.3">
      <c r="A174" s="3">
        <v>42887</v>
      </c>
      <c r="B174">
        <f t="shared" si="6"/>
        <v>2017</v>
      </c>
      <c r="C174">
        <f t="shared" si="7"/>
        <v>6</v>
      </c>
      <c r="D174">
        <f t="shared" si="8"/>
        <v>1</v>
      </c>
      <c r="E174" s="6">
        <v>0</v>
      </c>
      <c r="F174">
        <f>IFERROR(VLOOKUP(A174,[1]BEI!$A$15:$L$289,12,0)*1,0)</f>
        <v>-0.23999999999999977</v>
      </c>
    </row>
    <row r="175" spans="1:6" ht="16.5" x14ac:dyDescent="0.3">
      <c r="A175" s="3">
        <v>42917</v>
      </c>
      <c r="B175">
        <f t="shared" si="6"/>
        <v>2017</v>
      </c>
      <c r="C175">
        <f t="shared" si="7"/>
        <v>7</v>
      </c>
      <c r="D175">
        <f t="shared" si="8"/>
        <v>1</v>
      </c>
      <c r="E175" s="6">
        <v>0</v>
      </c>
      <c r="F175">
        <f>IFERROR(VLOOKUP(A175,[1]BEI!$A$15:$L$289,12,0)*1,0)</f>
        <v>-2.0000000000000462E-2</v>
      </c>
    </row>
    <row r="176" spans="1:6" ht="16.5" x14ac:dyDescent="0.3">
      <c r="A176" s="3">
        <v>42948</v>
      </c>
      <c r="B176">
        <f t="shared" si="6"/>
        <v>2017</v>
      </c>
      <c r="C176">
        <f t="shared" si="7"/>
        <v>8</v>
      </c>
      <c r="D176">
        <f t="shared" si="8"/>
        <v>1</v>
      </c>
      <c r="E176" s="6">
        <v>0</v>
      </c>
      <c r="F176">
        <f>IFERROR(VLOOKUP(A176,[1]BEI!$A$15:$L$289,12,0)*1,0)</f>
        <v>2.9999999999999805E-2</v>
      </c>
    </row>
    <row r="177" spans="1:6" ht="16.5" x14ac:dyDescent="0.3">
      <c r="A177" s="3">
        <v>42979</v>
      </c>
      <c r="B177">
        <f t="shared" si="6"/>
        <v>2017</v>
      </c>
      <c r="C177">
        <f t="shared" si="7"/>
        <v>9</v>
      </c>
      <c r="D177">
        <f t="shared" si="8"/>
        <v>1</v>
      </c>
      <c r="E177" s="6">
        <v>0</v>
      </c>
      <c r="F177">
        <f>IFERROR(VLOOKUP(A177,[1]BEI!$A$15:$L$289,12,0)*1,0)</f>
        <v>4.9999999999999378E-2</v>
      </c>
    </row>
    <row r="178" spans="1:6" ht="16.5" x14ac:dyDescent="0.3">
      <c r="A178" s="3">
        <v>43009</v>
      </c>
      <c r="B178">
        <f t="shared" si="6"/>
        <v>2017</v>
      </c>
      <c r="C178">
        <f t="shared" si="7"/>
        <v>10</v>
      </c>
      <c r="D178">
        <f t="shared" si="8"/>
        <v>1</v>
      </c>
      <c r="E178" s="6">
        <v>-0.25</v>
      </c>
      <c r="F178">
        <f>IFERROR(VLOOKUP(A178,[1]BEI!$A$15:$L$289,12,0)*1,0)</f>
        <v>-8.9999999999999858E-2</v>
      </c>
    </row>
    <row r="179" spans="1:6" ht="16.5" x14ac:dyDescent="0.3">
      <c r="A179" s="3">
        <v>43040</v>
      </c>
      <c r="B179">
        <f t="shared" si="6"/>
        <v>2017</v>
      </c>
      <c r="C179">
        <f t="shared" si="7"/>
        <v>11</v>
      </c>
      <c r="D179">
        <f t="shared" si="8"/>
        <v>1</v>
      </c>
      <c r="E179" s="6">
        <v>-0.25</v>
      </c>
      <c r="F179">
        <f>IFERROR(VLOOKUP(A179,[1]BEI!$A$15:$L$289,12,0)*1,0)</f>
        <v>-8.9999999999999858E-2</v>
      </c>
    </row>
    <row r="180" spans="1:6" ht="16.5" x14ac:dyDescent="0.3">
      <c r="A180" s="3">
        <v>43070</v>
      </c>
      <c r="B180">
        <f t="shared" si="6"/>
        <v>2017</v>
      </c>
      <c r="C180">
        <f t="shared" si="7"/>
        <v>12</v>
      </c>
      <c r="D180">
        <f t="shared" si="8"/>
        <v>1</v>
      </c>
      <c r="E180" s="6">
        <v>0</v>
      </c>
      <c r="F180">
        <f>IFERROR(VLOOKUP(A180,[1]BEI!$A$15:$L$289,12,0)*1,0)</f>
        <v>-4.4408920985006262E-16</v>
      </c>
    </row>
    <row r="181" spans="1:6" ht="16.5" x14ac:dyDescent="0.3">
      <c r="A181" s="3">
        <v>43101</v>
      </c>
      <c r="B181">
        <f t="shared" si="6"/>
        <v>2018</v>
      </c>
      <c r="C181">
        <f t="shared" si="7"/>
        <v>1</v>
      </c>
      <c r="D181">
        <f t="shared" si="8"/>
        <v>1</v>
      </c>
      <c r="E181" s="6">
        <v>0</v>
      </c>
      <c r="F181">
        <f>IFERROR(VLOOKUP(A181,[1]BEI!$A$15:$L$289,12,0)*1,0)</f>
        <v>4.9999999999999822E-2</v>
      </c>
    </row>
    <row r="182" spans="1:6" ht="16.5" x14ac:dyDescent="0.3">
      <c r="A182" s="3">
        <v>43132</v>
      </c>
      <c r="B182">
        <f t="shared" si="6"/>
        <v>2018</v>
      </c>
      <c r="C182">
        <f t="shared" si="7"/>
        <v>2</v>
      </c>
      <c r="D182">
        <f t="shared" si="8"/>
        <v>1</v>
      </c>
      <c r="E182" s="6">
        <v>0</v>
      </c>
      <c r="F182">
        <f>IFERROR(VLOOKUP(A182,[1]BEI!$A$15:$L$289,12,0)*1,0)</f>
        <v>0</v>
      </c>
    </row>
    <row r="183" spans="1:6" ht="16.5" x14ac:dyDescent="0.3">
      <c r="A183" s="3">
        <v>43160</v>
      </c>
      <c r="B183">
        <f t="shared" si="6"/>
        <v>2018</v>
      </c>
      <c r="C183">
        <f t="shared" si="7"/>
        <v>3</v>
      </c>
      <c r="D183">
        <f t="shared" si="8"/>
        <v>1</v>
      </c>
      <c r="E183" s="6">
        <v>0</v>
      </c>
      <c r="F183">
        <f>IFERROR(VLOOKUP(A183,[1]BEI!$A$15:$L$289,12,0)*1,0)</f>
        <v>-2.0000000000000018E-2</v>
      </c>
    </row>
    <row r="184" spans="1:6" ht="16.5" x14ac:dyDescent="0.3">
      <c r="A184" s="3">
        <v>43191</v>
      </c>
      <c r="B184">
        <f t="shared" si="6"/>
        <v>2018</v>
      </c>
      <c r="C184">
        <f t="shared" si="7"/>
        <v>4</v>
      </c>
      <c r="D184">
        <f t="shared" si="8"/>
        <v>1</v>
      </c>
      <c r="E184" s="6">
        <v>0</v>
      </c>
      <c r="F184">
        <f>IFERROR(VLOOKUP(A184,[1]BEI!$A$15:$L$289,12,0)*1,0)</f>
        <v>5.9999999999999609E-2</v>
      </c>
    </row>
    <row r="185" spans="1:6" ht="16.5" x14ac:dyDescent="0.3">
      <c r="A185" s="3">
        <v>43221</v>
      </c>
      <c r="B185">
        <f t="shared" si="6"/>
        <v>2018</v>
      </c>
      <c r="C185">
        <f t="shared" si="7"/>
        <v>5</v>
      </c>
      <c r="D185">
        <f t="shared" si="8"/>
        <v>1</v>
      </c>
      <c r="E185" s="6">
        <v>0</v>
      </c>
      <c r="F185">
        <f>IFERROR(VLOOKUP(A185,[1]BEI!$A$15:$L$289,12,0)*1,0)</f>
        <v>0</v>
      </c>
    </row>
    <row r="186" spans="1:6" ht="16.5" x14ac:dyDescent="0.3">
      <c r="A186" s="3">
        <v>43252</v>
      </c>
      <c r="B186">
        <f t="shared" si="6"/>
        <v>2018</v>
      </c>
      <c r="C186">
        <f t="shared" si="7"/>
        <v>6</v>
      </c>
      <c r="D186">
        <f t="shared" si="8"/>
        <v>1</v>
      </c>
      <c r="E186" s="6">
        <v>0</v>
      </c>
      <c r="F186">
        <f>IFERROR(VLOOKUP(A186,[1]BEI!$A$15:$L$289,12,0)*1,0)</f>
        <v>-0.20999999999999996</v>
      </c>
    </row>
    <row r="187" spans="1:6" ht="16.5" x14ac:dyDescent="0.3">
      <c r="A187" s="3">
        <v>43282</v>
      </c>
      <c r="B187">
        <f t="shared" si="6"/>
        <v>2018</v>
      </c>
      <c r="C187">
        <f t="shared" si="7"/>
        <v>7</v>
      </c>
      <c r="D187">
        <f t="shared" si="8"/>
        <v>1</v>
      </c>
      <c r="E187" s="6">
        <v>0</v>
      </c>
      <c r="F187">
        <f>IFERROR(VLOOKUP(A187,[1]BEI!$A$15:$L$289,12,0)*1,0)</f>
        <v>-0.28999999999999959</v>
      </c>
    </row>
    <row r="188" spans="1:6" ht="16.5" x14ac:dyDescent="0.3">
      <c r="A188" s="3">
        <v>43313</v>
      </c>
      <c r="B188">
        <f t="shared" si="6"/>
        <v>2018</v>
      </c>
      <c r="C188">
        <f t="shared" si="7"/>
        <v>8</v>
      </c>
      <c r="D188">
        <f t="shared" si="8"/>
        <v>1</v>
      </c>
      <c r="E188" s="6">
        <v>0</v>
      </c>
      <c r="F188">
        <f>IFERROR(VLOOKUP(A188,[1]BEI!$A$15:$L$289,12,0)*1,0)</f>
        <v>0</v>
      </c>
    </row>
    <row r="189" spans="1:6" ht="16.5" x14ac:dyDescent="0.3">
      <c r="A189" s="3">
        <v>43344</v>
      </c>
      <c r="B189">
        <f t="shared" si="6"/>
        <v>2018</v>
      </c>
      <c r="C189">
        <f t="shared" si="7"/>
        <v>9</v>
      </c>
      <c r="D189">
        <f t="shared" si="8"/>
        <v>1</v>
      </c>
      <c r="E189" s="6">
        <v>0</v>
      </c>
      <c r="F189">
        <f>IFERROR(VLOOKUP(A189,[1]BEI!$A$15:$L$289,12,0)*1,0)</f>
        <v>8.8817841970012523E-16</v>
      </c>
    </row>
    <row r="190" spans="1:6" ht="16.5" x14ac:dyDescent="0.3">
      <c r="A190" s="3">
        <v>43374</v>
      </c>
      <c r="B190">
        <f t="shared" si="6"/>
        <v>2018</v>
      </c>
      <c r="C190">
        <f t="shared" si="7"/>
        <v>10</v>
      </c>
      <c r="D190">
        <f t="shared" si="8"/>
        <v>1</v>
      </c>
      <c r="E190" s="6">
        <v>0</v>
      </c>
      <c r="F190">
        <f>IFERROR(VLOOKUP(A190,[1]BEI!$A$15:$L$289,12,0)*1,0)</f>
        <v>-8.8817841970012523E-16</v>
      </c>
    </row>
    <row r="191" spans="1:6" ht="16.5" x14ac:dyDescent="0.3">
      <c r="A191" s="3">
        <v>43405</v>
      </c>
      <c r="B191">
        <f t="shared" si="6"/>
        <v>2018</v>
      </c>
      <c r="C191">
        <f t="shared" si="7"/>
        <v>11</v>
      </c>
      <c r="D191">
        <f t="shared" si="8"/>
        <v>1</v>
      </c>
      <c r="E191" s="6">
        <v>0</v>
      </c>
      <c r="F191">
        <f>IFERROR(VLOOKUP(A191,[1]BEI!$A$15:$L$289,12,0)*1,0)</f>
        <v>0</v>
      </c>
    </row>
    <row r="192" spans="1:6" ht="16.5" x14ac:dyDescent="0.3">
      <c r="A192" s="3">
        <v>43435</v>
      </c>
      <c r="B192">
        <f t="shared" si="6"/>
        <v>2018</v>
      </c>
      <c r="C192">
        <f t="shared" si="7"/>
        <v>12</v>
      </c>
      <c r="D192">
        <f t="shared" si="8"/>
        <v>1</v>
      </c>
      <c r="E192" s="6">
        <v>0</v>
      </c>
      <c r="F192">
        <f>IFERROR(VLOOKUP(A192,[1]BEI!$A$15:$L$289,12,0)*1,0)</f>
        <v>0.79999999999999982</v>
      </c>
    </row>
    <row r="193" spans="1:6" ht="16.5" x14ac:dyDescent="0.3">
      <c r="A193" s="3">
        <v>43466</v>
      </c>
      <c r="B193">
        <f t="shared" si="6"/>
        <v>2019</v>
      </c>
      <c r="C193">
        <f t="shared" si="7"/>
        <v>1</v>
      </c>
      <c r="D193">
        <f t="shared" si="8"/>
        <v>1</v>
      </c>
      <c r="E193" s="6">
        <v>0</v>
      </c>
      <c r="F193">
        <f>IFERROR(VLOOKUP(A193,[1]BEI!$A$15:$L$289,12,0)*1,0)</f>
        <v>0.13999999999999924</v>
      </c>
    </row>
    <row r="194" spans="1:6" ht="16.5" x14ac:dyDescent="0.3">
      <c r="A194" s="3">
        <v>43497</v>
      </c>
      <c r="B194">
        <f t="shared" si="6"/>
        <v>2019</v>
      </c>
      <c r="C194">
        <f t="shared" si="7"/>
        <v>2</v>
      </c>
      <c r="D194">
        <f t="shared" si="8"/>
        <v>1</v>
      </c>
      <c r="E194" s="6">
        <v>0</v>
      </c>
      <c r="F194">
        <f>IFERROR(VLOOKUP(A194,[1]BEI!$A$15:$L$289,12,0)*1,0)</f>
        <v>0</v>
      </c>
    </row>
    <row r="195" spans="1:6" ht="16.5" x14ac:dyDescent="0.3">
      <c r="A195" s="3">
        <v>43525</v>
      </c>
      <c r="B195">
        <f t="shared" ref="B195:B258" si="9">YEAR(A195)</f>
        <v>2019</v>
      </c>
      <c r="C195">
        <f t="shared" ref="C195:C258" si="10">MONTH(A195)</f>
        <v>3</v>
      </c>
      <c r="D195">
        <f t="shared" ref="D195:D258" si="11">DAY(A195)</f>
        <v>1</v>
      </c>
      <c r="E195" s="6">
        <v>0</v>
      </c>
      <c r="F195">
        <f>IFERROR(VLOOKUP(A195,[1]BEI!$A$15:$L$289,12,0)*1,0)</f>
        <v>-8.9999999999999414E-2</v>
      </c>
    </row>
    <row r="196" spans="1:6" ht="16.5" x14ac:dyDescent="0.3">
      <c r="A196" s="3">
        <v>43556</v>
      </c>
      <c r="B196">
        <f t="shared" si="9"/>
        <v>2019</v>
      </c>
      <c r="C196">
        <f t="shared" si="10"/>
        <v>4</v>
      </c>
      <c r="D196">
        <f t="shared" si="11"/>
        <v>1</v>
      </c>
      <c r="E196" s="6">
        <v>0</v>
      </c>
      <c r="F196">
        <f>IFERROR(VLOOKUP(A196,[1]BEI!$A$15:$L$289,12,0)*1,0)</f>
        <v>0.12999999999999989</v>
      </c>
    </row>
    <row r="197" spans="1:6" ht="16.5" x14ac:dyDescent="0.3">
      <c r="A197" s="3">
        <v>43586</v>
      </c>
      <c r="B197">
        <f t="shared" si="9"/>
        <v>2019</v>
      </c>
      <c r="C197">
        <f t="shared" si="10"/>
        <v>5</v>
      </c>
      <c r="D197">
        <f t="shared" si="11"/>
        <v>1</v>
      </c>
      <c r="E197" s="6">
        <v>0</v>
      </c>
      <c r="F197">
        <f>IFERROR(VLOOKUP(A197,[1]BEI!$A$15:$L$289,12,0)*1,0)</f>
        <v>0</v>
      </c>
    </row>
    <row r="198" spans="1:6" ht="16.5" x14ac:dyDescent="0.3">
      <c r="A198" s="3">
        <v>43617</v>
      </c>
      <c r="B198">
        <f t="shared" si="9"/>
        <v>2019</v>
      </c>
      <c r="C198">
        <f t="shared" si="10"/>
        <v>6</v>
      </c>
      <c r="D198">
        <f t="shared" si="11"/>
        <v>1</v>
      </c>
      <c r="E198" s="6">
        <v>0</v>
      </c>
      <c r="F198">
        <f>IFERROR(VLOOKUP(A198,[1]BEI!$A$15:$L$289,12,0)*1,0)</f>
        <v>8.9999999999999858E-2</v>
      </c>
    </row>
    <row r="199" spans="1:6" ht="16.5" x14ac:dyDescent="0.3">
      <c r="A199" s="3">
        <v>43647</v>
      </c>
      <c r="B199">
        <f t="shared" si="9"/>
        <v>2019</v>
      </c>
      <c r="C199">
        <f t="shared" si="10"/>
        <v>7</v>
      </c>
      <c r="D199">
        <f t="shared" si="11"/>
        <v>1</v>
      </c>
      <c r="E199" s="6">
        <v>0</v>
      </c>
      <c r="F199">
        <f>IFERROR(VLOOKUP(A199,[1]BEI!$A$15:$L$289,12,0)*1,0)</f>
        <v>0</v>
      </c>
    </row>
    <row r="200" spans="1:6" ht="16.5" x14ac:dyDescent="0.3">
      <c r="A200" s="3">
        <v>43678</v>
      </c>
      <c r="B200">
        <f t="shared" si="9"/>
        <v>2019</v>
      </c>
      <c r="C200">
        <f t="shared" si="10"/>
        <v>8</v>
      </c>
      <c r="D200">
        <f t="shared" si="11"/>
        <v>1</v>
      </c>
      <c r="E200" s="6">
        <v>0</v>
      </c>
      <c r="F200">
        <f>IFERROR(VLOOKUP(A200,[1]BEI!$A$15:$L$289,12,0)*1,0)</f>
        <v>0</v>
      </c>
    </row>
    <row r="201" spans="1:6" ht="16.5" x14ac:dyDescent="0.3">
      <c r="A201" s="3">
        <v>43709</v>
      </c>
      <c r="B201">
        <f t="shared" si="9"/>
        <v>2019</v>
      </c>
      <c r="C201">
        <f t="shared" si="10"/>
        <v>9</v>
      </c>
      <c r="D201">
        <f t="shared" si="11"/>
        <v>1</v>
      </c>
      <c r="E201" s="6">
        <v>0</v>
      </c>
      <c r="F201">
        <f>IFERROR(VLOOKUP(A201,[1]BEI!$A$15:$L$289,12,0)*1,0)</f>
        <v>1.0000000000000675E-2</v>
      </c>
    </row>
    <row r="202" spans="1:6" ht="16.5" x14ac:dyDescent="0.3">
      <c r="A202" s="3">
        <v>43739</v>
      </c>
      <c r="B202">
        <f t="shared" si="9"/>
        <v>2019</v>
      </c>
      <c r="C202">
        <f t="shared" si="10"/>
        <v>10</v>
      </c>
      <c r="D202">
        <f t="shared" si="11"/>
        <v>1</v>
      </c>
      <c r="E202" s="6">
        <v>0</v>
      </c>
      <c r="F202">
        <f>IFERROR(VLOOKUP(A202,[1]BEI!$A$15:$L$289,12,0)*1,0)</f>
        <v>1.2700000000000005</v>
      </c>
    </row>
    <row r="203" spans="1:6" ht="16.5" x14ac:dyDescent="0.3">
      <c r="A203" s="3">
        <v>43770</v>
      </c>
      <c r="B203">
        <f t="shared" si="9"/>
        <v>2019</v>
      </c>
      <c r="C203">
        <f t="shared" si="10"/>
        <v>11</v>
      </c>
      <c r="D203">
        <f t="shared" si="11"/>
        <v>1</v>
      </c>
      <c r="E203" s="6">
        <v>0</v>
      </c>
      <c r="F203">
        <f>IFERROR(VLOOKUP(A203,[1]BEI!$A$15:$L$289,12,0)*1,0)</f>
        <v>0</v>
      </c>
    </row>
    <row r="204" spans="1:6" ht="16.5" x14ac:dyDescent="0.3">
      <c r="A204" s="3">
        <v>43800</v>
      </c>
      <c r="B204">
        <f t="shared" si="9"/>
        <v>2019</v>
      </c>
      <c r="C204">
        <f t="shared" si="10"/>
        <v>12</v>
      </c>
      <c r="D204">
        <f t="shared" si="11"/>
        <v>1</v>
      </c>
      <c r="E204" s="6">
        <v>0</v>
      </c>
      <c r="F204">
        <f>IFERROR(VLOOKUP(A204,[1]BEI!$A$15:$L$289,12,0)*1,0)</f>
        <v>1.0299999999999998</v>
      </c>
    </row>
    <row r="205" spans="1:6" ht="16.5" x14ac:dyDescent="0.3">
      <c r="A205" s="3">
        <v>43831</v>
      </c>
      <c r="B205">
        <f t="shared" si="9"/>
        <v>2020</v>
      </c>
      <c r="C205">
        <f t="shared" si="10"/>
        <v>1</v>
      </c>
      <c r="D205">
        <f t="shared" si="11"/>
        <v>1</v>
      </c>
      <c r="E205" s="6">
        <v>0</v>
      </c>
      <c r="F205">
        <f>IFERROR(VLOOKUP(A205,[1]BEI!$A$15:$L$289,12,0)*1,0)</f>
        <v>-0.19000000000000039</v>
      </c>
    </row>
    <row r="206" spans="1:6" ht="16.5" x14ac:dyDescent="0.3">
      <c r="A206" s="3">
        <v>43862</v>
      </c>
      <c r="B206">
        <f t="shared" si="9"/>
        <v>2020</v>
      </c>
      <c r="C206">
        <f t="shared" si="10"/>
        <v>2</v>
      </c>
      <c r="D206">
        <f t="shared" si="11"/>
        <v>1</v>
      </c>
      <c r="E206" s="6">
        <v>0</v>
      </c>
      <c r="F206">
        <f>IFERROR(VLOOKUP(A206,[1]BEI!$A$15:$L$289,12,0)*1,0)</f>
        <v>0</v>
      </c>
    </row>
    <row r="207" spans="1:6" ht="16.5" x14ac:dyDescent="0.3">
      <c r="A207" s="3">
        <v>43891</v>
      </c>
      <c r="B207">
        <f t="shared" si="9"/>
        <v>2020</v>
      </c>
      <c r="C207">
        <f t="shared" si="10"/>
        <v>3</v>
      </c>
      <c r="D207">
        <f t="shared" si="11"/>
        <v>1</v>
      </c>
      <c r="E207" s="6">
        <v>-0.25</v>
      </c>
      <c r="F207">
        <f>IFERROR(VLOOKUP(A207,[1]BEI!$A$15:$L$289,12,0)*1,0)</f>
        <v>6.999999999999984E-2</v>
      </c>
    </row>
    <row r="208" spans="1:6" ht="16.5" x14ac:dyDescent="0.3">
      <c r="A208" s="3">
        <v>43922</v>
      </c>
      <c r="B208">
        <f t="shared" si="9"/>
        <v>2020</v>
      </c>
      <c r="C208">
        <f t="shared" si="10"/>
        <v>4</v>
      </c>
      <c r="D208">
        <f t="shared" si="11"/>
        <v>1</v>
      </c>
      <c r="E208" s="6">
        <v>0</v>
      </c>
      <c r="F208">
        <f>IFERROR(VLOOKUP(A208,[1]BEI!$A$15:$L$289,12,0)*1,0)</f>
        <v>0.13000000000000034</v>
      </c>
    </row>
    <row r="209" spans="1:6" ht="16.5" x14ac:dyDescent="0.3">
      <c r="A209" s="3">
        <v>43952</v>
      </c>
      <c r="B209">
        <f t="shared" si="9"/>
        <v>2020</v>
      </c>
      <c r="C209">
        <f t="shared" si="10"/>
        <v>5</v>
      </c>
      <c r="D209">
        <f t="shared" si="11"/>
        <v>1</v>
      </c>
      <c r="E209" s="6">
        <v>2.0000000000000018E-2</v>
      </c>
      <c r="F209">
        <f>IFERROR(VLOOKUP(A209,[1]BEI!$A$15:$L$289,12,0)*1,0)</f>
        <v>-0.14999999999999991</v>
      </c>
    </row>
    <row r="210" spans="1:6" ht="16.5" x14ac:dyDescent="0.3">
      <c r="A210" s="3">
        <v>43983</v>
      </c>
      <c r="B210">
        <f t="shared" si="9"/>
        <v>2020</v>
      </c>
      <c r="C210">
        <f t="shared" si="10"/>
        <v>6</v>
      </c>
      <c r="D210">
        <f t="shared" si="11"/>
        <v>1</v>
      </c>
      <c r="E210" s="6">
        <v>0.16000000000000014</v>
      </c>
      <c r="F210">
        <f>IFERROR(VLOOKUP(A210,[1]BEI!$A$15:$L$289,12,0)*1,0)</f>
        <v>0.1399999999999999</v>
      </c>
    </row>
    <row r="211" spans="1:6" ht="16.5" x14ac:dyDescent="0.3">
      <c r="A211" s="3">
        <v>44013</v>
      </c>
      <c r="B211">
        <f t="shared" si="9"/>
        <v>2020</v>
      </c>
      <c r="C211">
        <f t="shared" si="10"/>
        <v>7</v>
      </c>
      <c r="D211">
        <f t="shared" si="11"/>
        <v>1</v>
      </c>
      <c r="E211" s="6">
        <v>0</v>
      </c>
      <c r="F211">
        <f>IFERROR(VLOOKUP(A211,[1]BEI!$A$15:$L$289,12,0)*1,0)</f>
        <v>0.16999999999999993</v>
      </c>
    </row>
    <row r="212" spans="1:6" ht="16.5" x14ac:dyDescent="0.3">
      <c r="A212" s="3">
        <v>44044</v>
      </c>
      <c r="B212">
        <f t="shared" si="9"/>
        <v>2020</v>
      </c>
      <c r="C212">
        <f t="shared" si="10"/>
        <v>8</v>
      </c>
      <c r="D212">
        <f t="shared" si="11"/>
        <v>1</v>
      </c>
      <c r="E212" s="6">
        <v>0</v>
      </c>
      <c r="F212">
        <f>IFERROR(VLOOKUP(A212,[1]BEI!$A$15:$L$289,12,0)*1,0)</f>
        <v>0.10000000000000009</v>
      </c>
    </row>
    <row r="213" spans="1:6" ht="16.5" x14ac:dyDescent="0.3">
      <c r="A213" s="3">
        <v>44075</v>
      </c>
      <c r="B213">
        <f t="shared" si="9"/>
        <v>2020</v>
      </c>
      <c r="C213">
        <f t="shared" si="10"/>
        <v>9</v>
      </c>
      <c r="D213">
        <f t="shared" si="11"/>
        <v>1</v>
      </c>
      <c r="E213" s="6">
        <v>-9.000000000000008E-2</v>
      </c>
      <c r="F213">
        <f>IFERROR(VLOOKUP(A213,[1]BEI!$A$15:$L$289,12,0)*1,0)</f>
        <v>-0.14000000000000012</v>
      </c>
    </row>
    <row r="214" spans="1:6" ht="16.5" x14ac:dyDescent="0.3">
      <c r="A214" s="3">
        <v>44105</v>
      </c>
      <c r="B214">
        <f t="shared" si="9"/>
        <v>2020</v>
      </c>
      <c r="C214">
        <f t="shared" si="10"/>
        <v>10</v>
      </c>
      <c r="D214">
        <f t="shared" si="11"/>
        <v>1</v>
      </c>
      <c r="E214" s="6">
        <v>3.0000000000000027E-2</v>
      </c>
      <c r="F214">
        <f>IFERROR(VLOOKUP(A214,[1]BEI!$A$15:$L$289,12,0)*1,0)</f>
        <v>-3.0000000000000027E-2</v>
      </c>
    </row>
    <row r="215" spans="1:6" ht="16.5" x14ac:dyDescent="0.3">
      <c r="A215" s="3">
        <v>44136</v>
      </c>
      <c r="B215">
        <f t="shared" si="9"/>
        <v>2020</v>
      </c>
      <c r="C215">
        <f t="shared" si="10"/>
        <v>11</v>
      </c>
      <c r="D215">
        <f t="shared" si="11"/>
        <v>1</v>
      </c>
      <c r="E215" s="6">
        <v>0</v>
      </c>
      <c r="F215">
        <f>IFERROR(VLOOKUP(A215,[1]BEI!$A$15:$L$289,12,0)*1,0)</f>
        <v>2.2204460492503131E-16</v>
      </c>
    </row>
    <row r="216" spans="1:6" ht="16.5" x14ac:dyDescent="0.3">
      <c r="A216" s="3">
        <v>44166</v>
      </c>
      <c r="B216">
        <f t="shared" si="9"/>
        <v>2020</v>
      </c>
      <c r="C216">
        <f t="shared" si="10"/>
        <v>12</v>
      </c>
      <c r="D216">
        <f t="shared" si="11"/>
        <v>1</v>
      </c>
      <c r="E216" s="6">
        <v>0</v>
      </c>
      <c r="F216">
        <f>IFERROR(VLOOKUP(A216,[1]BEI!$A$15:$L$289,12,0)*1,0)</f>
        <v>0.13000000000000012</v>
      </c>
    </row>
    <row r="217" spans="1:6" ht="16.5" x14ac:dyDescent="0.3">
      <c r="A217" s="3">
        <v>44197</v>
      </c>
      <c r="B217">
        <f t="shared" si="9"/>
        <v>2021</v>
      </c>
      <c r="C217">
        <f t="shared" si="10"/>
        <v>1</v>
      </c>
      <c r="D217">
        <f t="shared" si="11"/>
        <v>1</v>
      </c>
      <c r="E217" s="6">
        <v>0</v>
      </c>
      <c r="F217">
        <f>IFERROR(VLOOKUP(A217,[1]BEI!$A$15:$L$289,12,0)*1,0)</f>
        <v>1.0000000000000231E-2</v>
      </c>
    </row>
    <row r="218" spans="1:6" ht="16.5" x14ac:dyDescent="0.3">
      <c r="A218" s="3">
        <v>44228</v>
      </c>
      <c r="B218">
        <f t="shared" si="9"/>
        <v>2021</v>
      </c>
      <c r="C218">
        <f t="shared" si="10"/>
        <v>2</v>
      </c>
      <c r="D218">
        <f t="shared" si="11"/>
        <v>1</v>
      </c>
      <c r="E218" s="6">
        <v>0</v>
      </c>
      <c r="F218">
        <f>IFERROR(VLOOKUP(A218,[1]BEI!$A$15:$L$289,12,0)*1,0)</f>
        <v>0</v>
      </c>
    </row>
    <row r="219" spans="1:6" ht="16.5" x14ac:dyDescent="0.3">
      <c r="A219" s="3">
        <v>44256</v>
      </c>
      <c r="B219">
        <f t="shared" si="9"/>
        <v>2021</v>
      </c>
      <c r="C219">
        <f t="shared" si="10"/>
        <v>3</v>
      </c>
      <c r="D219">
        <f t="shared" si="11"/>
        <v>1</v>
      </c>
      <c r="E219" s="6">
        <v>0</v>
      </c>
      <c r="F219">
        <f>IFERROR(VLOOKUP(A219,[1]BEI!$A$15:$L$289,12,0)*1,0)</f>
        <v>0.13999999999999968</v>
      </c>
    </row>
    <row r="220" spans="1:6" ht="16.5" x14ac:dyDescent="0.3">
      <c r="A220" s="3">
        <v>44287</v>
      </c>
      <c r="B220">
        <f t="shared" si="9"/>
        <v>2021</v>
      </c>
      <c r="C220">
        <f t="shared" si="10"/>
        <v>4</v>
      </c>
      <c r="D220">
        <f t="shared" si="11"/>
        <v>1</v>
      </c>
      <c r="E220" s="6">
        <v>0</v>
      </c>
      <c r="F220">
        <f>IFERROR(VLOOKUP(A220,[1]BEI!$A$15:$L$289,12,0)*1,0)</f>
        <v>0.16000000000000014</v>
      </c>
    </row>
    <row r="221" spans="1:6" ht="16.5" x14ac:dyDescent="0.3">
      <c r="A221" s="3">
        <v>44317</v>
      </c>
      <c r="B221">
        <f t="shared" si="9"/>
        <v>2021</v>
      </c>
      <c r="C221">
        <f t="shared" si="10"/>
        <v>5</v>
      </c>
      <c r="D221">
        <f t="shared" si="11"/>
        <v>1</v>
      </c>
      <c r="E221" s="6">
        <v>0</v>
      </c>
      <c r="F221">
        <f>IFERROR(VLOOKUP(A221,[1]BEI!$A$15:$L$289,12,0)*1,0)</f>
        <v>0</v>
      </c>
    </row>
    <row r="222" spans="1:6" ht="16.5" x14ac:dyDescent="0.3">
      <c r="A222" s="3">
        <v>44348</v>
      </c>
      <c r="B222">
        <f t="shared" si="9"/>
        <v>2021</v>
      </c>
      <c r="C222">
        <f t="shared" si="10"/>
        <v>6</v>
      </c>
      <c r="D222">
        <f t="shared" si="11"/>
        <v>1</v>
      </c>
      <c r="E222" s="6">
        <v>0</v>
      </c>
      <c r="F222">
        <f>IFERROR(VLOOKUP(A222,[1]BEI!$A$15:$L$289,12,0)*1,0)</f>
        <v>9.0000000000000302E-2</v>
      </c>
    </row>
    <row r="223" spans="1:6" ht="16.5" x14ac:dyDescent="0.3">
      <c r="A223" s="3">
        <v>44378</v>
      </c>
      <c r="B223">
        <f t="shared" si="9"/>
        <v>2021</v>
      </c>
      <c r="C223">
        <f t="shared" si="10"/>
        <v>7</v>
      </c>
      <c r="D223">
        <f t="shared" si="11"/>
        <v>1</v>
      </c>
      <c r="E223" s="6">
        <v>0</v>
      </c>
      <c r="F223">
        <f>IFERROR(VLOOKUP(A223,[1]BEI!$A$15:$L$289,12,0)*1,0)</f>
        <v>3.0000000000000249E-2</v>
      </c>
    </row>
    <row r="224" spans="1:6" ht="16.5" x14ac:dyDescent="0.3">
      <c r="A224" s="3">
        <v>44409</v>
      </c>
      <c r="B224">
        <f t="shared" si="9"/>
        <v>2021</v>
      </c>
      <c r="C224">
        <f t="shared" si="10"/>
        <v>8</v>
      </c>
      <c r="D224">
        <f t="shared" si="11"/>
        <v>1</v>
      </c>
      <c r="E224" s="6">
        <v>0</v>
      </c>
      <c r="F224">
        <f>IFERROR(VLOOKUP(A224,[1]BEI!$A$15:$L$289,12,0)*1,0)</f>
        <v>0</v>
      </c>
    </row>
    <row r="225" spans="1:6" ht="16.5" x14ac:dyDescent="0.3">
      <c r="A225" s="3">
        <v>44440</v>
      </c>
      <c r="B225">
        <f t="shared" si="9"/>
        <v>2021</v>
      </c>
      <c r="C225">
        <f t="shared" si="10"/>
        <v>9</v>
      </c>
      <c r="D225">
        <f t="shared" si="11"/>
        <v>1</v>
      </c>
      <c r="E225" s="6">
        <v>-9.9999999999997868E-3</v>
      </c>
      <c r="F225">
        <f>IFERROR(VLOOKUP(A225,[1]BEI!$A$15:$L$289,12,0)*1,0)</f>
        <v>4.0000000000000036E-2</v>
      </c>
    </row>
    <row r="226" spans="1:6" ht="16.5" x14ac:dyDescent="0.3">
      <c r="A226" s="3">
        <v>44470</v>
      </c>
      <c r="B226">
        <f t="shared" si="9"/>
        <v>2021</v>
      </c>
      <c r="C226">
        <f t="shared" si="10"/>
        <v>10</v>
      </c>
      <c r="D226">
        <f t="shared" si="11"/>
        <v>1</v>
      </c>
      <c r="E226" s="6">
        <v>0.16999999999999993</v>
      </c>
      <c r="F226">
        <f>IFERROR(VLOOKUP(A226,[1]BEI!$A$15:$L$289,12,0)*1,0)</f>
        <v>0.16000000000000014</v>
      </c>
    </row>
    <row r="227" spans="1:6" ht="16.5" x14ac:dyDescent="0.3">
      <c r="A227" s="3">
        <v>44501</v>
      </c>
      <c r="B227">
        <f t="shared" si="9"/>
        <v>2021</v>
      </c>
      <c r="C227">
        <f t="shared" si="10"/>
        <v>11</v>
      </c>
      <c r="D227">
        <f t="shared" si="11"/>
        <v>1</v>
      </c>
      <c r="E227" s="6">
        <v>0</v>
      </c>
      <c r="F227">
        <f>IFERROR(VLOOKUP(A227,[1]BEI!$A$15:$L$289,12,0)*1,0)</f>
        <v>0</v>
      </c>
    </row>
    <row r="228" spans="1:6" ht="16.5" x14ac:dyDescent="0.3">
      <c r="A228" s="3">
        <v>44531</v>
      </c>
      <c r="B228">
        <f t="shared" si="9"/>
        <v>2021</v>
      </c>
      <c r="C228">
        <f t="shared" si="10"/>
        <v>12</v>
      </c>
      <c r="D228">
        <f t="shared" si="11"/>
        <v>1</v>
      </c>
      <c r="E228" s="6">
        <v>0</v>
      </c>
      <c r="F228">
        <f>IFERROR(VLOOKUP(A228,[1]BEI!$A$15:$L$289,12,0)*1,0)</f>
        <v>9.0000000000000746E-2</v>
      </c>
    </row>
    <row r="229" spans="1:6" ht="16.5" x14ac:dyDescent="0.3">
      <c r="A229" s="3">
        <v>44562</v>
      </c>
      <c r="B229">
        <f t="shared" si="9"/>
        <v>2022</v>
      </c>
      <c r="C229">
        <f t="shared" si="10"/>
        <v>1</v>
      </c>
      <c r="D229">
        <f t="shared" si="11"/>
        <v>1</v>
      </c>
      <c r="E229" s="6">
        <v>0.25</v>
      </c>
      <c r="F229">
        <f>IFERROR(VLOOKUP(A229,[1]BEI!$A$15:$L$289,12,0)*1,0)</f>
        <v>8.0000000000000071E-2</v>
      </c>
    </row>
    <row r="230" spans="1:6" ht="16.5" x14ac:dyDescent="0.3">
      <c r="A230" s="3">
        <v>44593</v>
      </c>
      <c r="B230">
        <f t="shared" si="9"/>
        <v>2022</v>
      </c>
      <c r="C230">
        <f t="shared" si="10"/>
        <v>2</v>
      </c>
      <c r="D230">
        <f t="shared" si="11"/>
        <v>1</v>
      </c>
      <c r="E230" s="6">
        <v>0</v>
      </c>
      <c r="F230">
        <f>IFERROR(VLOOKUP(A230,[1]BEI!$A$15:$L$289,12,0)*1,0)</f>
        <v>0</v>
      </c>
    </row>
    <row r="231" spans="1:6" ht="16.5" x14ac:dyDescent="0.3">
      <c r="A231" s="3">
        <v>44621</v>
      </c>
      <c r="B231">
        <f t="shared" si="9"/>
        <v>2022</v>
      </c>
      <c r="C231">
        <f t="shared" si="10"/>
        <v>3</v>
      </c>
      <c r="D231">
        <f t="shared" si="11"/>
        <v>1</v>
      </c>
      <c r="E231" s="6">
        <v>-0.5</v>
      </c>
      <c r="F231">
        <f>IFERROR(VLOOKUP(A231,[1]BEI!$A$15:$L$289,12,0)*1,0)</f>
        <v>-0.29999999999999893</v>
      </c>
    </row>
    <row r="232" spans="1:6" ht="16.5" x14ac:dyDescent="0.3">
      <c r="A232" s="3">
        <v>44652</v>
      </c>
      <c r="B232">
        <f t="shared" si="9"/>
        <v>2022</v>
      </c>
      <c r="C232">
        <f t="shared" si="10"/>
        <v>4</v>
      </c>
      <c r="D232">
        <f t="shared" si="11"/>
        <v>1</v>
      </c>
      <c r="E232" s="6">
        <v>0</v>
      </c>
      <c r="F232">
        <f>IFERROR(VLOOKUP(A232,[1]BEI!$A$15:$L$289,12,0)*1,0)</f>
        <v>0.20000000000000107</v>
      </c>
    </row>
    <row r="233" spans="1:6" ht="16.5" x14ac:dyDescent="0.3">
      <c r="A233" s="3">
        <v>44682</v>
      </c>
      <c r="B233">
        <f t="shared" si="9"/>
        <v>2022</v>
      </c>
      <c r="C233">
        <f t="shared" si="10"/>
        <v>5</v>
      </c>
      <c r="D233">
        <f t="shared" si="11"/>
        <v>1</v>
      </c>
      <c r="E233" s="6">
        <v>0</v>
      </c>
      <c r="F233">
        <f>IFERROR(VLOOKUP(A233,[1]BEI!$A$15:$L$289,12,0)*1,0)</f>
        <v>0</v>
      </c>
    </row>
    <row r="234" spans="1:6" ht="16.5" x14ac:dyDescent="0.3">
      <c r="A234" s="3">
        <v>44713</v>
      </c>
      <c r="B234">
        <f t="shared" si="9"/>
        <v>2022</v>
      </c>
      <c r="C234">
        <f t="shared" si="10"/>
        <v>6</v>
      </c>
      <c r="D234">
        <f t="shared" si="11"/>
        <v>1</v>
      </c>
      <c r="E234" s="6">
        <v>0</v>
      </c>
      <c r="F234">
        <f>IFERROR(VLOOKUP(A234,[1]BEI!$A$15:$L$289,12,0)*1,0)</f>
        <v>9.9999999999997868E-3</v>
      </c>
    </row>
    <row r="235" spans="1:6" ht="16.5" x14ac:dyDescent="0.3">
      <c r="A235" s="3">
        <v>44743</v>
      </c>
      <c r="B235">
        <f t="shared" si="9"/>
        <v>2022</v>
      </c>
      <c r="C235">
        <f t="shared" si="10"/>
        <v>7</v>
      </c>
      <c r="D235">
        <f t="shared" si="11"/>
        <v>1</v>
      </c>
      <c r="E235" s="6">
        <v>0</v>
      </c>
      <c r="F235">
        <f>IFERROR(VLOOKUP(A235,[1]BEI!$A$15:$L$289,12,0)*1,0)</f>
        <v>-6.0000000000000497E-2</v>
      </c>
    </row>
    <row r="236" spans="1:6" ht="16.5" x14ac:dyDescent="0.3">
      <c r="A236" s="3">
        <v>44774</v>
      </c>
      <c r="B236">
        <f t="shared" si="9"/>
        <v>2022</v>
      </c>
      <c r="C236">
        <f t="shared" si="10"/>
        <v>8</v>
      </c>
      <c r="D236">
        <f t="shared" si="11"/>
        <v>1</v>
      </c>
      <c r="E236" s="6">
        <v>0</v>
      </c>
      <c r="F236">
        <f>IFERROR(VLOOKUP(A236,[1]BEI!$A$15:$L$289,12,0)*1,0)</f>
        <v>0</v>
      </c>
    </row>
    <row r="237" spans="1:6" ht="16.5" x14ac:dyDescent="0.3">
      <c r="A237" s="3">
        <v>44805</v>
      </c>
      <c r="B237">
        <f t="shared" si="9"/>
        <v>2022</v>
      </c>
      <c r="C237">
        <f t="shared" si="10"/>
        <v>9</v>
      </c>
      <c r="D237">
        <f t="shared" si="11"/>
        <v>1</v>
      </c>
      <c r="E237" s="6">
        <v>-0.5</v>
      </c>
      <c r="F237">
        <f>IFERROR(VLOOKUP(A237,[1]BEI!$A$15:$L$289,12,0)*1,0)</f>
        <v>-0.16999999999999815</v>
      </c>
    </row>
    <row r="238" spans="1:6" ht="16.5" x14ac:dyDescent="0.3">
      <c r="A238" s="3">
        <v>44835</v>
      </c>
      <c r="B238">
        <f t="shared" si="9"/>
        <v>2022</v>
      </c>
      <c r="C238">
        <f t="shared" si="10"/>
        <v>10</v>
      </c>
      <c r="D238">
        <f t="shared" si="11"/>
        <v>1</v>
      </c>
      <c r="E238" s="6">
        <v>0</v>
      </c>
      <c r="F238">
        <f>IFERROR(VLOOKUP(A238,[1]BEI!$A$15:$L$289,12,0)*1,0)</f>
        <v>0.13000000000000078</v>
      </c>
    </row>
    <row r="239" spans="1:6" ht="16.5" x14ac:dyDescent="0.3">
      <c r="A239" s="3">
        <v>44866</v>
      </c>
      <c r="B239">
        <f t="shared" si="9"/>
        <v>2022</v>
      </c>
      <c r="C239">
        <f t="shared" si="10"/>
        <v>11</v>
      </c>
      <c r="D239">
        <f t="shared" si="11"/>
        <v>1</v>
      </c>
      <c r="E239" s="6">
        <v>0</v>
      </c>
      <c r="F239">
        <f>IFERROR(VLOOKUP(A239,[1]BEI!$A$15:$L$289,12,0)*1,0)</f>
        <v>0</v>
      </c>
    </row>
    <row r="240" spans="1:6" ht="16.5" x14ac:dyDescent="0.3">
      <c r="A240" s="3">
        <v>44896</v>
      </c>
      <c r="B240">
        <f t="shared" si="9"/>
        <v>2022</v>
      </c>
      <c r="C240">
        <f t="shared" si="10"/>
        <v>12</v>
      </c>
      <c r="D240">
        <f t="shared" si="11"/>
        <v>1</v>
      </c>
      <c r="E240" s="6">
        <v>0</v>
      </c>
      <c r="F240">
        <f>IFERROR(VLOOKUP(A240,[1]BEI!$A$15:$L$289,12,0)*1,0)</f>
        <v>1.7763568394002505E-15</v>
      </c>
    </row>
    <row r="241" spans="1:6" ht="16.5" x14ac:dyDescent="0.3">
      <c r="A241" s="3">
        <v>44927</v>
      </c>
      <c r="B241">
        <f t="shared" si="9"/>
        <v>2023</v>
      </c>
      <c r="C241">
        <f t="shared" si="10"/>
        <v>1</v>
      </c>
      <c r="D241">
        <f t="shared" si="11"/>
        <v>1</v>
      </c>
      <c r="E241" s="6">
        <v>-0.25</v>
      </c>
      <c r="F241">
        <f>IFERROR(VLOOKUP(A241,[1]BEI!$A$15:$L$289,12,0)*1,0)</f>
        <v>0.12999999999999901</v>
      </c>
    </row>
    <row r="242" spans="1:6" ht="16.5" x14ac:dyDescent="0.3">
      <c r="A242" s="3">
        <v>44958</v>
      </c>
      <c r="B242">
        <f t="shared" si="9"/>
        <v>2023</v>
      </c>
      <c r="C242">
        <f t="shared" si="10"/>
        <v>2</v>
      </c>
      <c r="D242">
        <f t="shared" si="11"/>
        <v>1</v>
      </c>
      <c r="E242" s="6">
        <v>0</v>
      </c>
      <c r="F242">
        <f>IFERROR(VLOOKUP(A242,[1]BEI!$A$15:$L$289,12,0)*1,0)</f>
        <v>0</v>
      </c>
    </row>
    <row r="243" spans="1:6" ht="16.5" x14ac:dyDescent="0.3">
      <c r="A243" s="3">
        <v>44986</v>
      </c>
      <c r="B243">
        <f t="shared" si="9"/>
        <v>2023</v>
      </c>
      <c r="C243">
        <f t="shared" si="10"/>
        <v>3</v>
      </c>
      <c r="D243">
        <f t="shared" si="11"/>
        <v>1</v>
      </c>
      <c r="E243" s="6">
        <v>0</v>
      </c>
      <c r="F243">
        <f>IFERROR(VLOOKUP(A243,[1]BEI!$A$15:$L$289,12,0)*1,0)</f>
        <v>-7.0000000000000284E-2</v>
      </c>
    </row>
    <row r="244" spans="1:6" ht="16.5" x14ac:dyDescent="0.3">
      <c r="A244" s="3">
        <v>45017</v>
      </c>
      <c r="B244">
        <f t="shared" si="9"/>
        <v>2023</v>
      </c>
      <c r="C244">
        <f t="shared" si="10"/>
        <v>4</v>
      </c>
      <c r="D244">
        <f t="shared" si="11"/>
        <v>1</v>
      </c>
      <c r="E244" s="6">
        <v>0.25</v>
      </c>
      <c r="F244">
        <f>IFERROR(VLOOKUP(A244,[1]BEI!$A$15:$L$289,12,0)*1,0)</f>
        <v>0.16000000000000103</v>
      </c>
    </row>
    <row r="245" spans="1:6" ht="16.5" x14ac:dyDescent="0.3">
      <c r="A245" s="3">
        <v>45047</v>
      </c>
      <c r="B245">
        <f t="shared" si="9"/>
        <v>2023</v>
      </c>
      <c r="C245">
        <f t="shared" si="10"/>
        <v>5</v>
      </c>
      <c r="D245">
        <f t="shared" si="11"/>
        <v>1</v>
      </c>
      <c r="E245" s="6">
        <v>0</v>
      </c>
      <c r="F245">
        <f>IFERROR(VLOOKUP(A245,[1]BEI!$A$15:$L$289,12,0)*1,0)</f>
        <v>0</v>
      </c>
    </row>
    <row r="246" spans="1:6" ht="16.5" x14ac:dyDescent="0.3">
      <c r="A246" s="3">
        <v>45078</v>
      </c>
      <c r="B246">
        <f t="shared" si="9"/>
        <v>2023</v>
      </c>
      <c r="C246">
        <f t="shared" si="10"/>
        <v>6</v>
      </c>
      <c r="D246">
        <f t="shared" si="11"/>
        <v>1</v>
      </c>
      <c r="E246" s="6">
        <v>0</v>
      </c>
      <c r="F246">
        <f>IFERROR(VLOOKUP(A246,[1]BEI!$A$15:$L$289,12,0)*1,0)</f>
        <v>0.15999999999999925</v>
      </c>
    </row>
    <row r="247" spans="1:6" ht="16.5" x14ac:dyDescent="0.3">
      <c r="A247" s="3">
        <v>45108</v>
      </c>
      <c r="B247">
        <f t="shared" si="9"/>
        <v>2023</v>
      </c>
      <c r="C247">
        <f t="shared" si="10"/>
        <v>7</v>
      </c>
      <c r="D247">
        <f t="shared" si="11"/>
        <v>1</v>
      </c>
      <c r="E247" s="6">
        <v>0</v>
      </c>
      <c r="F247">
        <f>IFERROR(VLOOKUP(A247,[1]BEI!$A$15:$L$289,12,0)*1,0)</f>
        <v>6.9999999999999396E-2</v>
      </c>
    </row>
    <row r="248" spans="1:6" ht="16.5" x14ac:dyDescent="0.3">
      <c r="A248" s="3">
        <v>45139</v>
      </c>
      <c r="B248">
        <f t="shared" si="9"/>
        <v>2023</v>
      </c>
      <c r="C248">
        <f t="shared" si="10"/>
        <v>8</v>
      </c>
      <c r="D248">
        <f t="shared" si="11"/>
        <v>1</v>
      </c>
      <c r="E248" s="6">
        <v>0</v>
      </c>
      <c r="F248">
        <f>IFERROR(VLOOKUP(A248,[1]BEI!$A$15:$L$289,12,0)*1,0)</f>
        <v>0</v>
      </c>
    </row>
    <row r="249" spans="1:6" ht="16.5" x14ac:dyDescent="0.3">
      <c r="A249" s="3">
        <v>45170</v>
      </c>
      <c r="B249">
        <f t="shared" si="9"/>
        <v>2023</v>
      </c>
      <c r="C249">
        <f t="shared" si="10"/>
        <v>9</v>
      </c>
      <c r="D249">
        <f t="shared" si="11"/>
        <v>1</v>
      </c>
      <c r="E249" s="6">
        <v>0</v>
      </c>
      <c r="F249">
        <f>IFERROR(VLOOKUP(A249,[1]BEI!$A$15:$L$289,12,0)*1,0)</f>
        <v>7.0000000000001172E-2</v>
      </c>
    </row>
    <row r="250" spans="1:6" ht="16.5" x14ac:dyDescent="0.3">
      <c r="A250" s="3">
        <v>45200</v>
      </c>
      <c r="B250">
        <f t="shared" si="9"/>
        <v>2023</v>
      </c>
      <c r="C250">
        <f t="shared" si="10"/>
        <v>10</v>
      </c>
      <c r="D250">
        <f t="shared" si="11"/>
        <v>1</v>
      </c>
      <c r="E250" s="6">
        <v>0</v>
      </c>
      <c r="F250">
        <f>IFERROR(VLOOKUP(A250,[1]BEI!$A$15:$L$289,12,0)*1,0)</f>
        <v>8.9999999999999858E-2</v>
      </c>
    </row>
    <row r="251" spans="1:6" ht="16.5" x14ac:dyDescent="0.3">
      <c r="A251" s="3">
        <v>45231</v>
      </c>
      <c r="B251">
        <f t="shared" si="9"/>
        <v>2023</v>
      </c>
      <c r="C251">
        <f t="shared" si="10"/>
        <v>11</v>
      </c>
      <c r="D251">
        <f t="shared" si="11"/>
        <v>1</v>
      </c>
      <c r="E251" s="6">
        <v>0</v>
      </c>
      <c r="F251">
        <f>IFERROR(VLOOKUP(A251,[1]BEI!$A$15:$L$289,12,0)*1,0)</f>
        <v>0</v>
      </c>
    </row>
    <row r="252" spans="1:6" ht="16.5" x14ac:dyDescent="0.3">
      <c r="A252" s="3">
        <v>45261</v>
      </c>
      <c r="B252">
        <f t="shared" si="9"/>
        <v>2023</v>
      </c>
      <c r="C252">
        <f t="shared" si="10"/>
        <v>12</v>
      </c>
      <c r="D252">
        <f t="shared" si="11"/>
        <v>1</v>
      </c>
      <c r="E252" s="6">
        <v>0</v>
      </c>
      <c r="F252">
        <f>IFERROR(VLOOKUP(A252,[1]BEI!$A$15:$L$289,12,0)*1,0)</f>
        <v>3.0000000000001137E-2</v>
      </c>
    </row>
    <row r="253" spans="1:6" ht="16.5" x14ac:dyDescent="0.3">
      <c r="A253" s="3">
        <v>45292</v>
      </c>
      <c r="B253">
        <f t="shared" si="9"/>
        <v>2024</v>
      </c>
      <c r="C253">
        <f t="shared" si="10"/>
        <v>1</v>
      </c>
      <c r="D253">
        <f t="shared" si="11"/>
        <v>1</v>
      </c>
      <c r="E253" s="6">
        <v>0.25</v>
      </c>
      <c r="F253">
        <f>IFERROR(VLOOKUP(A253,[1]BEI!$A$15:$L$289,12,0)*1,0)</f>
        <v>-5.9999999999999609E-2</v>
      </c>
    </row>
    <row r="254" spans="1:6" ht="16.5" x14ac:dyDescent="0.3">
      <c r="A254" s="3">
        <v>45323</v>
      </c>
      <c r="B254">
        <f t="shared" si="9"/>
        <v>2024</v>
      </c>
      <c r="C254">
        <f t="shared" si="10"/>
        <v>2</v>
      </c>
      <c r="D254">
        <f t="shared" si="11"/>
        <v>1</v>
      </c>
      <c r="E254" s="6">
        <v>0</v>
      </c>
      <c r="F254">
        <f>IFERROR(VLOOKUP(A254,[1]BEI!$A$15:$L$289,12,0)*1,0)</f>
        <v>0</v>
      </c>
    </row>
    <row r="255" spans="1:6" ht="16.5" x14ac:dyDescent="0.3">
      <c r="A255" s="3">
        <v>45352</v>
      </c>
      <c r="B255">
        <f t="shared" si="9"/>
        <v>2024</v>
      </c>
      <c r="C255">
        <f t="shared" si="10"/>
        <v>3</v>
      </c>
      <c r="D255">
        <f t="shared" si="11"/>
        <v>1</v>
      </c>
      <c r="E255" s="6">
        <v>0</v>
      </c>
      <c r="F255">
        <f>IFERROR(VLOOKUP(A255,[1]BEI!$A$15:$L$289,12,0)*1,0)</f>
        <v>8.0000000000000071E-2</v>
      </c>
    </row>
    <row r="256" spans="1:6" ht="16.5" x14ac:dyDescent="0.3">
      <c r="A256" s="3">
        <v>45383</v>
      </c>
      <c r="B256">
        <f t="shared" si="9"/>
        <v>2024</v>
      </c>
      <c r="C256">
        <f t="shared" si="10"/>
        <v>4</v>
      </c>
      <c r="D256">
        <f t="shared" si="11"/>
        <v>1</v>
      </c>
      <c r="E256" s="6">
        <v>0</v>
      </c>
      <c r="F256">
        <f>IFERROR(VLOOKUP(A256,[1]BEI!$A$15:$L$289,12,0)*1,0)</f>
        <v>-3.0000000000000249E-2</v>
      </c>
    </row>
    <row r="257" spans="1:6" ht="16.5" x14ac:dyDescent="0.3">
      <c r="A257" s="3">
        <v>45413</v>
      </c>
      <c r="B257">
        <f t="shared" si="9"/>
        <v>2024</v>
      </c>
      <c r="C257">
        <f t="shared" si="10"/>
        <v>5</v>
      </c>
      <c r="D257">
        <f t="shared" si="11"/>
        <v>1</v>
      </c>
      <c r="E257" s="6">
        <v>0</v>
      </c>
      <c r="F257">
        <f>IFERROR(VLOOKUP(A257,[1]BEI!$A$15:$L$289,12,0)*1,0)</f>
        <v>0</v>
      </c>
    </row>
    <row r="258" spans="1:6" ht="16.5" x14ac:dyDescent="0.3">
      <c r="A258" s="3">
        <v>45444</v>
      </c>
      <c r="B258">
        <f t="shared" si="9"/>
        <v>2024</v>
      </c>
      <c r="C258">
        <f t="shared" si="10"/>
        <v>6</v>
      </c>
      <c r="D258">
        <f t="shared" si="11"/>
        <v>1</v>
      </c>
      <c r="E258" s="6">
        <v>0</v>
      </c>
      <c r="F258">
        <f>IFERROR(VLOOKUP(A258,[1]BEI!$A$15:$L$289,12,0)*1,0)</f>
        <v>-1.2299999999999995</v>
      </c>
    </row>
    <row r="259" spans="1:6" ht="16.5" x14ac:dyDescent="0.3">
      <c r="A259" s="3">
        <v>45474</v>
      </c>
      <c r="B259">
        <f t="shared" ref="B259:B276" si="12">YEAR(A259)</f>
        <v>2024</v>
      </c>
      <c r="C259">
        <f t="shared" ref="C259:C276" si="13">MONTH(A259)</f>
        <v>7</v>
      </c>
      <c r="D259">
        <f t="shared" ref="D259:D276" si="14">DAY(A259)</f>
        <v>1</v>
      </c>
      <c r="E259" s="6">
        <v>0</v>
      </c>
      <c r="F259">
        <f>IFERROR(VLOOKUP(A259,[1]BEI!$A$15:$L$289,12,0)*1,0)</f>
        <v>-1.0000000000000675E-2</v>
      </c>
    </row>
    <row r="260" spans="1:6" ht="16.5" x14ac:dyDescent="0.3">
      <c r="A260" s="3">
        <v>45505</v>
      </c>
      <c r="B260">
        <f t="shared" si="12"/>
        <v>2024</v>
      </c>
      <c r="C260">
        <f t="shared" si="13"/>
        <v>8</v>
      </c>
      <c r="D260">
        <f t="shared" si="14"/>
        <v>1</v>
      </c>
      <c r="E260" s="6">
        <v>0</v>
      </c>
      <c r="F260">
        <f>IFERROR(VLOOKUP(A260,[1]BEI!$A$15:$L$289,12,0)*1,0)</f>
        <v>0</v>
      </c>
    </row>
    <row r="261" spans="1:6" ht="16.5" x14ac:dyDescent="0.3">
      <c r="A261" s="3">
        <v>45536</v>
      </c>
      <c r="B261">
        <f t="shared" si="12"/>
        <v>2024</v>
      </c>
      <c r="C261">
        <f t="shared" si="13"/>
        <v>9</v>
      </c>
      <c r="D261">
        <f t="shared" si="14"/>
        <v>1</v>
      </c>
      <c r="E261" s="6">
        <v>0</v>
      </c>
      <c r="F261">
        <f>IFERROR(VLOOKUP(A261,[1]BEI!$A$15:$L$289,12,0)*1,0)</f>
        <v>9.9999999999997868E-3</v>
      </c>
    </row>
    <row r="262" spans="1:6" ht="16.5" x14ac:dyDescent="0.3">
      <c r="A262" s="3">
        <v>45566</v>
      </c>
      <c r="B262">
        <f t="shared" si="12"/>
        <v>2024</v>
      </c>
      <c r="C262">
        <f t="shared" si="13"/>
        <v>10</v>
      </c>
      <c r="D262">
        <f t="shared" si="14"/>
        <v>1</v>
      </c>
      <c r="E262" s="6">
        <v>0</v>
      </c>
      <c r="F262">
        <f>IFERROR(VLOOKUP(A262,[1]BEI!$A$15:$L$289,12,0)*1,0)</f>
        <v>0.16999999999999993</v>
      </c>
    </row>
    <row r="263" spans="1:6" ht="16.5" x14ac:dyDescent="0.3">
      <c r="A263" s="3">
        <v>45597</v>
      </c>
      <c r="B263">
        <f t="shared" si="12"/>
        <v>2024</v>
      </c>
      <c r="C263">
        <f t="shared" si="13"/>
        <v>11</v>
      </c>
      <c r="D263">
        <f t="shared" si="14"/>
        <v>1</v>
      </c>
      <c r="E263" s="6">
        <v>0</v>
      </c>
      <c r="F263">
        <f>IFERROR(VLOOKUP(A263,[1]BEI!$A$15:$L$289,12,0)*1,0)</f>
        <v>0</v>
      </c>
    </row>
    <row r="264" spans="1:6" ht="16.5" x14ac:dyDescent="0.3">
      <c r="A264" s="3">
        <v>45627</v>
      </c>
      <c r="B264">
        <f t="shared" si="12"/>
        <v>2024</v>
      </c>
      <c r="C264">
        <f t="shared" si="13"/>
        <v>12</v>
      </c>
      <c r="D264">
        <f t="shared" si="14"/>
        <v>1</v>
      </c>
      <c r="E264" s="6">
        <v>0.25</v>
      </c>
      <c r="F264">
        <f>IFERROR(VLOOKUP(A264,[1]BEI!$A$15:$L$289,12,0)*1,0)</f>
        <v>1.089999999999999</v>
      </c>
    </row>
    <row r="265" spans="1:6" ht="16.5" x14ac:dyDescent="0.3">
      <c r="A265" s="3">
        <v>45658</v>
      </c>
      <c r="B265">
        <f t="shared" si="12"/>
        <v>2025</v>
      </c>
      <c r="C265">
        <f t="shared" si="13"/>
        <v>1</v>
      </c>
      <c r="D265">
        <f t="shared" si="14"/>
        <v>1</v>
      </c>
      <c r="E265" s="6">
        <v>0.25</v>
      </c>
      <c r="F265">
        <f>IFERROR(VLOOKUP(A265,[1]BEI!$A$15:$L$289,12,0)*1,0)</f>
        <v>-9.9999999999997868E-3</v>
      </c>
    </row>
    <row r="266" spans="1:6" ht="16.5" x14ac:dyDescent="0.3">
      <c r="A266" s="3">
        <v>45689</v>
      </c>
      <c r="B266">
        <f t="shared" si="12"/>
        <v>2025</v>
      </c>
      <c r="C266">
        <f t="shared" si="13"/>
        <v>2</v>
      </c>
      <c r="D266">
        <f t="shared" si="14"/>
        <v>1</v>
      </c>
      <c r="E266" s="6">
        <v>0</v>
      </c>
      <c r="F266">
        <f>IFERROR(VLOOKUP(A266,[1]BEI!$A$15:$L$289,12,0)*1,0)</f>
        <v>0</v>
      </c>
    </row>
    <row r="267" spans="1:6" ht="16.5" x14ac:dyDescent="0.3">
      <c r="A267" s="3">
        <v>45717</v>
      </c>
      <c r="B267">
        <f t="shared" si="12"/>
        <v>2025</v>
      </c>
      <c r="C267">
        <f t="shared" si="13"/>
        <v>3</v>
      </c>
      <c r="D267">
        <f t="shared" si="14"/>
        <v>1</v>
      </c>
      <c r="E267" s="6">
        <v>0</v>
      </c>
      <c r="F267">
        <f>IFERROR(VLOOKUP(A267,[1]BEI!$A$15:$L$289,12,0)*1,0)</f>
        <v>-1.0000000000000675E-2</v>
      </c>
    </row>
    <row r="268" spans="1:6" ht="16.5" x14ac:dyDescent="0.3">
      <c r="A268" s="3">
        <v>45748</v>
      </c>
      <c r="B268">
        <f t="shared" si="12"/>
        <v>2025</v>
      </c>
      <c r="C268">
        <f t="shared" si="13"/>
        <v>4</v>
      </c>
      <c r="D268">
        <f t="shared" si="14"/>
        <v>1</v>
      </c>
      <c r="E268" s="6">
        <v>-0.25</v>
      </c>
      <c r="F268">
        <f>IFERROR(VLOOKUP(A268,[1]BEI!$A$15:$L$289,12,0)*1,0)</f>
        <v>0.40000000000000124</v>
      </c>
    </row>
    <row r="269" spans="1:6" ht="16.5" x14ac:dyDescent="0.3">
      <c r="A269" s="3">
        <v>45778</v>
      </c>
      <c r="B269">
        <f t="shared" si="12"/>
        <v>2025</v>
      </c>
      <c r="C269">
        <f t="shared" si="13"/>
        <v>5</v>
      </c>
      <c r="D269">
        <f t="shared" si="14"/>
        <v>1</v>
      </c>
      <c r="E269" s="6">
        <v>0</v>
      </c>
      <c r="F269">
        <f>IFERROR(VLOOKUP(A269,[1]BEI!$A$15:$L$289,12,0)*1,0)</f>
        <v>0</v>
      </c>
    </row>
    <row r="270" spans="1:6" ht="16.5" x14ac:dyDescent="0.3">
      <c r="A270" s="3">
        <v>45809</v>
      </c>
      <c r="B270">
        <f t="shared" si="12"/>
        <v>2025</v>
      </c>
      <c r="C270">
        <f t="shared" si="13"/>
        <v>6</v>
      </c>
      <c r="D270">
        <f t="shared" si="14"/>
        <v>1</v>
      </c>
      <c r="E270" s="6">
        <v>0</v>
      </c>
      <c r="F270">
        <f>IFERROR(VLOOKUP(A270,[1]BEI!$A$15:$L$289,12,0)*1,0)</f>
        <v>-9.9999999999999645E-2</v>
      </c>
    </row>
    <row r="271" spans="1:6" x14ac:dyDescent="0.25">
      <c r="A271" s="3">
        <v>45839</v>
      </c>
      <c r="B271">
        <f t="shared" si="12"/>
        <v>2025</v>
      </c>
      <c r="C271">
        <f t="shared" si="13"/>
        <v>7</v>
      </c>
      <c r="D271">
        <f t="shared" si="14"/>
        <v>1</v>
      </c>
      <c r="F271">
        <f>IFERROR(VLOOKUP(A271,[1]BEI!$A$15:$L$289,12,0)*1,0)</f>
        <v>-0.15000000000000124</v>
      </c>
    </row>
    <row r="272" spans="1:6" x14ac:dyDescent="0.25">
      <c r="A272" s="3">
        <v>45870</v>
      </c>
      <c r="B272">
        <f t="shared" si="12"/>
        <v>2025</v>
      </c>
      <c r="C272">
        <f t="shared" si="13"/>
        <v>8</v>
      </c>
      <c r="D272">
        <f t="shared" si="14"/>
        <v>1</v>
      </c>
      <c r="F272">
        <f>IFERROR(VLOOKUP(A272,[1]BEI!$A$15:$L$289,12,0)*1,0)</f>
        <v>0</v>
      </c>
    </row>
    <row r="273" spans="1:6" x14ac:dyDescent="0.25">
      <c r="A273" s="3">
        <v>45901</v>
      </c>
      <c r="B273">
        <f t="shared" si="12"/>
        <v>2025</v>
      </c>
      <c r="C273">
        <f t="shared" si="13"/>
        <v>9</v>
      </c>
      <c r="D273">
        <f t="shared" si="14"/>
        <v>1</v>
      </c>
      <c r="F273">
        <f>IFERROR(VLOOKUP(A273,[1]BEI!$A$15:$L$289,12,0)*1,0)</f>
        <v>5.0000000000000711E-2</v>
      </c>
    </row>
    <row r="274" spans="1:6" x14ac:dyDescent="0.25">
      <c r="A274" s="3">
        <v>45931</v>
      </c>
      <c r="B274">
        <f t="shared" si="12"/>
        <v>2025</v>
      </c>
      <c r="C274">
        <f t="shared" si="13"/>
        <v>10</v>
      </c>
      <c r="D274">
        <f t="shared" si="14"/>
        <v>1</v>
      </c>
      <c r="F274">
        <f>IFERROR(VLOOKUP(A274,[1]BEI!$A$15:$L$289,12,0)*1,0)</f>
        <v>0.16000000000000103</v>
      </c>
    </row>
    <row r="275" spans="1:6" x14ac:dyDescent="0.25">
      <c r="A275" s="3">
        <v>45962</v>
      </c>
      <c r="B275">
        <f t="shared" si="12"/>
        <v>2025</v>
      </c>
      <c r="C275">
        <f t="shared" si="13"/>
        <v>11</v>
      </c>
      <c r="D275">
        <f t="shared" si="14"/>
        <v>1</v>
      </c>
      <c r="F275">
        <f>IFERROR(VLOOKUP(A275,[1]BEI!$A$15:$L$289,12,0)*1,0)</f>
        <v>0</v>
      </c>
    </row>
    <row r="276" spans="1:6" x14ac:dyDescent="0.25">
      <c r="A276" s="3">
        <v>45992</v>
      </c>
      <c r="B276">
        <f t="shared" si="12"/>
        <v>2025</v>
      </c>
      <c r="C276">
        <f t="shared" si="13"/>
        <v>12</v>
      </c>
      <c r="D276">
        <f t="shared" si="14"/>
        <v>1</v>
      </c>
      <c r="F276">
        <f>IFERROR(VLOOKUP(A276,[1]BEI!$A$15:$L$289,12,0)*1,0)</f>
        <v>-0.17000000000000082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COLCAP</vt:lpstr>
      <vt:lpstr>BEI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2026-02-19T21:51:53Z</dcterms:created>
  <dcterms:modified xsi:type="dcterms:W3CDTF">2026-02-20T16:44:17Z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2026-02-20T14:29:34Z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4beae347-c223-4faa-ae4d-915de1485a16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