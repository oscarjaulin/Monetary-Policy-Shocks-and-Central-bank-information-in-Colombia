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codelarepublica-my.sharepoint.com/personal/ojaulime_banrep_gov_co/Documents/Documents/Research/MP transmission in Colombia/Monetary-Policy-Shocks-and-Central-bank-information-in-Colombia/Datos/"/>
    </mc:Choice>
  </mc:AlternateContent>
  <xr:revisionPtr revIDLastSave="7" documentId="8_{20423DA7-42DD-47FA-89D0-B6CDD30B5E44}" xr6:coauthVersionLast="47" xr6:coauthVersionMax="47" xr10:uidLastSave="{FF9E31CF-6268-462F-9901-3F3772BCEF5F}"/>
  <bookViews>
    <workbookView xWindow="-110" yWindow="-110" windowWidth="19420" windowHeight="11500" xr2:uid="{9535A740-7E69-41C9-8479-535D748B30AD}"/>
  </bookViews>
  <sheets>
    <sheet name="Mensual_Valu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5" i="1" l="1"/>
  <c r="G233" i="1"/>
  <c r="F53" i="1"/>
  <c r="G53" i="1" s="1"/>
  <c r="F125" i="1"/>
  <c r="G125" i="1" s="1"/>
  <c r="F164" i="1"/>
  <c r="G164" i="1" s="1"/>
  <c r="F197" i="1"/>
  <c r="G197" i="1" s="1"/>
  <c r="F209" i="1"/>
  <c r="G209" i="1" s="1"/>
  <c r="E164" i="1"/>
  <c r="E169" i="1"/>
  <c r="E170" i="1"/>
  <c r="E173" i="1"/>
  <c r="F173" i="1" s="1"/>
  <c r="G173" i="1" s="1"/>
  <c r="E185" i="1"/>
  <c r="F185" i="1" s="1"/>
  <c r="G185" i="1" s="1"/>
  <c r="E187" i="1"/>
  <c r="F187" i="1" s="1"/>
  <c r="G187" i="1" s="1"/>
  <c r="E197" i="1"/>
  <c r="E199" i="1"/>
  <c r="F199" i="1" s="1"/>
  <c r="G199" i="1" s="1"/>
  <c r="E209" i="1"/>
  <c r="E211" i="1"/>
  <c r="F211" i="1" s="1"/>
  <c r="G211" i="1" s="1"/>
  <c r="E221" i="1"/>
  <c r="F221" i="1" s="1"/>
  <c r="G221" i="1" s="1"/>
  <c r="E223" i="1"/>
  <c r="F223" i="1" s="1"/>
  <c r="G223" i="1" s="1"/>
  <c r="E233" i="1"/>
  <c r="F233" i="1" s="1"/>
  <c r="E235" i="1"/>
  <c r="F235" i="1" s="1"/>
  <c r="G235" i="1" s="1"/>
  <c r="E245" i="1"/>
  <c r="F245" i="1" s="1"/>
  <c r="G245" i="1" s="1"/>
  <c r="E247" i="1"/>
  <c r="F247" i="1" s="1"/>
  <c r="G247" i="1" s="1"/>
  <c r="E5" i="1"/>
  <c r="F5" i="1" s="1"/>
  <c r="G5" i="1" s="1"/>
  <c r="E7" i="1"/>
  <c r="F7" i="1" s="1"/>
  <c r="G7" i="1" s="1"/>
  <c r="E17" i="1"/>
  <c r="F17" i="1" s="1"/>
  <c r="G17" i="1" s="1"/>
  <c r="E19" i="1"/>
  <c r="F19" i="1" s="1"/>
  <c r="G19" i="1" s="1"/>
  <c r="E29" i="1"/>
  <c r="F29" i="1" s="1"/>
  <c r="G29" i="1" s="1"/>
  <c r="E31" i="1"/>
  <c r="F31" i="1" s="1"/>
  <c r="G31" i="1" s="1"/>
  <c r="E41" i="1"/>
  <c r="F41" i="1" s="1"/>
  <c r="G41" i="1" s="1"/>
  <c r="E43" i="1"/>
  <c r="F43" i="1" s="1"/>
  <c r="G43" i="1" s="1"/>
  <c r="E53" i="1"/>
  <c r="E55" i="1"/>
  <c r="F55" i="1" s="1"/>
  <c r="G55" i="1" s="1"/>
  <c r="E65" i="1"/>
  <c r="F65" i="1" s="1"/>
  <c r="G65" i="1" s="1"/>
  <c r="E67" i="1"/>
  <c r="F67" i="1" s="1"/>
  <c r="G67" i="1" s="1"/>
  <c r="E77" i="1"/>
  <c r="F77" i="1" s="1"/>
  <c r="G77" i="1" s="1"/>
  <c r="E79" i="1"/>
  <c r="F79" i="1" s="1"/>
  <c r="G79" i="1" s="1"/>
  <c r="E89" i="1"/>
  <c r="F89" i="1" s="1"/>
  <c r="G89" i="1" s="1"/>
  <c r="E91" i="1"/>
  <c r="F91" i="1" s="1"/>
  <c r="G91" i="1" s="1"/>
  <c r="E101" i="1"/>
  <c r="F101" i="1" s="1"/>
  <c r="G101" i="1" s="1"/>
  <c r="E103" i="1"/>
  <c r="F103" i="1" s="1"/>
  <c r="G103" i="1" s="1"/>
  <c r="E113" i="1"/>
  <c r="F113" i="1" s="1"/>
  <c r="G113" i="1" s="1"/>
  <c r="E115" i="1"/>
  <c r="F115" i="1" s="1"/>
  <c r="G115" i="1" s="1"/>
  <c r="E125" i="1"/>
  <c r="E127" i="1"/>
  <c r="F127" i="1" s="1"/>
  <c r="G127" i="1" s="1"/>
  <c r="E137" i="1"/>
  <c r="F137" i="1" s="1"/>
  <c r="G137" i="1" s="1"/>
  <c r="E139" i="1"/>
  <c r="F139" i="1" s="1"/>
  <c r="G139" i="1" s="1"/>
  <c r="E149" i="1"/>
  <c r="F149" i="1" s="1"/>
  <c r="G149" i="1" s="1"/>
  <c r="E151" i="1"/>
  <c r="F151" i="1" s="1"/>
  <c r="G151" i="1" s="1"/>
  <c r="B3" i="1"/>
  <c r="E3" i="1" s="1"/>
  <c r="B4" i="1"/>
  <c r="E4" i="1" s="1"/>
  <c r="B5" i="1"/>
  <c r="B6" i="1"/>
  <c r="E6" i="1" s="1"/>
  <c r="B7" i="1"/>
  <c r="B8" i="1"/>
  <c r="E8" i="1" s="1"/>
  <c r="F8" i="1" s="1"/>
  <c r="G8" i="1" s="1"/>
  <c r="B9" i="1"/>
  <c r="E9" i="1" s="1"/>
  <c r="B10" i="1"/>
  <c r="E10" i="1" s="1"/>
  <c r="B11" i="1"/>
  <c r="E11" i="1" s="1"/>
  <c r="B12" i="1"/>
  <c r="E12" i="1" s="1"/>
  <c r="B13" i="1"/>
  <c r="E13" i="1" s="1"/>
  <c r="B14" i="1"/>
  <c r="E14" i="1" s="1"/>
  <c r="B15" i="1"/>
  <c r="E15" i="1" s="1"/>
  <c r="B16" i="1"/>
  <c r="E16" i="1" s="1"/>
  <c r="B17" i="1"/>
  <c r="B18" i="1"/>
  <c r="E18" i="1" s="1"/>
  <c r="B19" i="1"/>
  <c r="B20" i="1"/>
  <c r="E20" i="1" s="1"/>
  <c r="F20" i="1" s="1"/>
  <c r="G20" i="1" s="1"/>
  <c r="B21" i="1"/>
  <c r="E21" i="1" s="1"/>
  <c r="B22" i="1"/>
  <c r="E22" i="1" s="1"/>
  <c r="B23" i="1"/>
  <c r="E23" i="1" s="1"/>
  <c r="B24" i="1"/>
  <c r="E24" i="1" s="1"/>
  <c r="B25" i="1"/>
  <c r="E25" i="1" s="1"/>
  <c r="B26" i="1"/>
  <c r="E26" i="1" s="1"/>
  <c r="B27" i="1"/>
  <c r="E27" i="1" s="1"/>
  <c r="B28" i="1"/>
  <c r="E28" i="1" s="1"/>
  <c r="B29" i="1"/>
  <c r="B30" i="1"/>
  <c r="E30" i="1" s="1"/>
  <c r="B31" i="1"/>
  <c r="B32" i="1"/>
  <c r="E32" i="1" s="1"/>
  <c r="F32" i="1" s="1"/>
  <c r="G32" i="1" s="1"/>
  <c r="B33" i="1"/>
  <c r="E33" i="1" s="1"/>
  <c r="B34" i="1"/>
  <c r="E34" i="1" s="1"/>
  <c r="B35" i="1"/>
  <c r="E35" i="1" s="1"/>
  <c r="B36" i="1"/>
  <c r="E36" i="1" s="1"/>
  <c r="B37" i="1"/>
  <c r="E37" i="1" s="1"/>
  <c r="B38" i="1"/>
  <c r="E38" i="1" s="1"/>
  <c r="F38" i="1" s="1"/>
  <c r="G38" i="1" s="1"/>
  <c r="B39" i="1"/>
  <c r="E39" i="1" s="1"/>
  <c r="B40" i="1"/>
  <c r="E40" i="1" s="1"/>
  <c r="B41" i="1"/>
  <c r="B42" i="1"/>
  <c r="E42" i="1" s="1"/>
  <c r="B43" i="1"/>
  <c r="B44" i="1"/>
  <c r="E44" i="1" s="1"/>
  <c r="B45" i="1"/>
  <c r="E45" i="1" s="1"/>
  <c r="B46" i="1"/>
  <c r="E46" i="1" s="1"/>
  <c r="B47" i="1"/>
  <c r="E47" i="1" s="1"/>
  <c r="B48" i="1"/>
  <c r="E48" i="1" s="1"/>
  <c r="B49" i="1"/>
  <c r="E49" i="1" s="1"/>
  <c r="B50" i="1"/>
  <c r="E50" i="1" s="1"/>
  <c r="B51" i="1"/>
  <c r="E51" i="1" s="1"/>
  <c r="B52" i="1"/>
  <c r="E52" i="1" s="1"/>
  <c r="B53" i="1"/>
  <c r="B54" i="1"/>
  <c r="E54" i="1" s="1"/>
  <c r="B55" i="1"/>
  <c r="B56" i="1"/>
  <c r="E56" i="1" s="1"/>
  <c r="B57" i="1"/>
  <c r="E57" i="1" s="1"/>
  <c r="B58" i="1"/>
  <c r="E58" i="1" s="1"/>
  <c r="B59" i="1"/>
  <c r="E59" i="1" s="1"/>
  <c r="B60" i="1"/>
  <c r="E60" i="1" s="1"/>
  <c r="B61" i="1"/>
  <c r="E61" i="1" s="1"/>
  <c r="B62" i="1"/>
  <c r="E62" i="1" s="1"/>
  <c r="B63" i="1"/>
  <c r="E63" i="1" s="1"/>
  <c r="B64" i="1"/>
  <c r="E64" i="1" s="1"/>
  <c r="B65" i="1"/>
  <c r="B66" i="1"/>
  <c r="E66" i="1" s="1"/>
  <c r="B67" i="1"/>
  <c r="B68" i="1"/>
  <c r="E68" i="1" s="1"/>
  <c r="B69" i="1"/>
  <c r="E69" i="1" s="1"/>
  <c r="B70" i="1"/>
  <c r="E70" i="1" s="1"/>
  <c r="B71" i="1"/>
  <c r="E71" i="1" s="1"/>
  <c r="B72" i="1"/>
  <c r="E72" i="1" s="1"/>
  <c r="B73" i="1"/>
  <c r="E73" i="1" s="1"/>
  <c r="B74" i="1"/>
  <c r="E74" i="1" s="1"/>
  <c r="B75" i="1"/>
  <c r="E75" i="1" s="1"/>
  <c r="B76" i="1"/>
  <c r="E76" i="1" s="1"/>
  <c r="B77" i="1"/>
  <c r="B78" i="1"/>
  <c r="E78" i="1" s="1"/>
  <c r="B79" i="1"/>
  <c r="B80" i="1"/>
  <c r="E80" i="1" s="1"/>
  <c r="F80" i="1" s="1"/>
  <c r="G80" i="1" s="1"/>
  <c r="B81" i="1"/>
  <c r="E81" i="1" s="1"/>
  <c r="B82" i="1"/>
  <c r="E82" i="1" s="1"/>
  <c r="B83" i="1"/>
  <c r="E83" i="1" s="1"/>
  <c r="B84" i="1"/>
  <c r="E84" i="1" s="1"/>
  <c r="B85" i="1"/>
  <c r="E85" i="1" s="1"/>
  <c r="B86" i="1"/>
  <c r="E86" i="1" s="1"/>
  <c r="B87" i="1"/>
  <c r="E87" i="1" s="1"/>
  <c r="B88" i="1"/>
  <c r="E88" i="1" s="1"/>
  <c r="B89" i="1"/>
  <c r="B90" i="1"/>
  <c r="E90" i="1" s="1"/>
  <c r="B91" i="1"/>
  <c r="B92" i="1"/>
  <c r="E92" i="1" s="1"/>
  <c r="F92" i="1" s="1"/>
  <c r="G92" i="1" s="1"/>
  <c r="B93" i="1"/>
  <c r="E93" i="1" s="1"/>
  <c r="B94" i="1"/>
  <c r="E94" i="1" s="1"/>
  <c r="B95" i="1"/>
  <c r="E95" i="1" s="1"/>
  <c r="B96" i="1"/>
  <c r="E96" i="1" s="1"/>
  <c r="B97" i="1"/>
  <c r="E97" i="1" s="1"/>
  <c r="B98" i="1"/>
  <c r="E98" i="1" s="1"/>
  <c r="B99" i="1"/>
  <c r="E99" i="1" s="1"/>
  <c r="B100" i="1"/>
  <c r="E100" i="1" s="1"/>
  <c r="B101" i="1"/>
  <c r="B102" i="1"/>
  <c r="E102" i="1" s="1"/>
  <c r="B103" i="1"/>
  <c r="B104" i="1"/>
  <c r="E104" i="1" s="1"/>
  <c r="B105" i="1"/>
  <c r="E105" i="1" s="1"/>
  <c r="B106" i="1"/>
  <c r="E106" i="1" s="1"/>
  <c r="B107" i="1"/>
  <c r="E107" i="1" s="1"/>
  <c r="B108" i="1"/>
  <c r="E108" i="1" s="1"/>
  <c r="B109" i="1"/>
  <c r="E109" i="1" s="1"/>
  <c r="B110" i="1"/>
  <c r="E110" i="1" s="1"/>
  <c r="F110" i="1" s="1"/>
  <c r="G110" i="1" s="1"/>
  <c r="B111" i="1"/>
  <c r="E111" i="1" s="1"/>
  <c r="B112" i="1"/>
  <c r="E112" i="1" s="1"/>
  <c r="B113" i="1"/>
  <c r="B114" i="1"/>
  <c r="E114" i="1" s="1"/>
  <c r="B115" i="1"/>
  <c r="B116" i="1"/>
  <c r="E116" i="1" s="1"/>
  <c r="F116" i="1" s="1"/>
  <c r="G116" i="1" s="1"/>
  <c r="B117" i="1"/>
  <c r="E117" i="1" s="1"/>
  <c r="B118" i="1"/>
  <c r="E118" i="1" s="1"/>
  <c r="B119" i="1"/>
  <c r="E119" i="1" s="1"/>
  <c r="B120" i="1"/>
  <c r="E120" i="1" s="1"/>
  <c r="B121" i="1"/>
  <c r="E121" i="1" s="1"/>
  <c r="B122" i="1"/>
  <c r="E122" i="1" s="1"/>
  <c r="F122" i="1" s="1"/>
  <c r="G122" i="1" s="1"/>
  <c r="B123" i="1"/>
  <c r="E123" i="1" s="1"/>
  <c r="B124" i="1"/>
  <c r="E124" i="1" s="1"/>
  <c r="B125" i="1"/>
  <c r="B126" i="1"/>
  <c r="E126" i="1" s="1"/>
  <c r="B127" i="1"/>
  <c r="B128" i="1"/>
  <c r="E128" i="1" s="1"/>
  <c r="B129" i="1"/>
  <c r="E129" i="1" s="1"/>
  <c r="B130" i="1"/>
  <c r="E130" i="1" s="1"/>
  <c r="B131" i="1"/>
  <c r="E131" i="1" s="1"/>
  <c r="B132" i="1"/>
  <c r="E132" i="1" s="1"/>
  <c r="B133" i="1"/>
  <c r="E133" i="1" s="1"/>
  <c r="B134" i="1"/>
  <c r="E134" i="1" s="1"/>
  <c r="B135" i="1"/>
  <c r="E135" i="1" s="1"/>
  <c r="B136" i="1"/>
  <c r="E136" i="1" s="1"/>
  <c r="B137" i="1"/>
  <c r="B138" i="1"/>
  <c r="E138" i="1" s="1"/>
  <c r="B139" i="1"/>
  <c r="B140" i="1"/>
  <c r="E140" i="1" s="1"/>
  <c r="B141" i="1"/>
  <c r="E141" i="1" s="1"/>
  <c r="B142" i="1"/>
  <c r="E142" i="1" s="1"/>
  <c r="B143" i="1"/>
  <c r="E143" i="1" s="1"/>
  <c r="B144" i="1"/>
  <c r="E144" i="1" s="1"/>
  <c r="B145" i="1"/>
  <c r="E145" i="1" s="1"/>
  <c r="B146" i="1"/>
  <c r="E146" i="1" s="1"/>
  <c r="B147" i="1"/>
  <c r="E147" i="1" s="1"/>
  <c r="B148" i="1"/>
  <c r="E148" i="1" s="1"/>
  <c r="B149" i="1"/>
  <c r="B150" i="1"/>
  <c r="E150" i="1" s="1"/>
  <c r="B151" i="1"/>
  <c r="B152" i="1"/>
  <c r="E152" i="1" s="1"/>
  <c r="F152" i="1" s="1"/>
  <c r="G152" i="1" s="1"/>
  <c r="B153" i="1"/>
  <c r="E153" i="1" s="1"/>
  <c r="B154" i="1"/>
  <c r="E154" i="1" s="1"/>
  <c r="B155" i="1"/>
  <c r="E155" i="1" s="1"/>
  <c r="B156" i="1"/>
  <c r="E156" i="1" s="1"/>
  <c r="B157" i="1"/>
  <c r="E157" i="1" s="1"/>
  <c r="B158" i="1"/>
  <c r="E158" i="1" s="1"/>
  <c r="B159" i="1"/>
  <c r="E159" i="1" s="1"/>
  <c r="B160" i="1"/>
  <c r="E160" i="1" s="1"/>
  <c r="B161" i="1"/>
  <c r="E161" i="1" s="1"/>
  <c r="F161" i="1" s="1"/>
  <c r="G161" i="1" s="1"/>
  <c r="B162" i="1"/>
  <c r="E162" i="1" s="1"/>
  <c r="B163" i="1"/>
  <c r="E163" i="1" s="1"/>
  <c r="F163" i="1" s="1"/>
  <c r="G163" i="1" s="1"/>
  <c r="B164" i="1"/>
  <c r="B165" i="1"/>
  <c r="E165" i="1" s="1"/>
  <c r="B166" i="1"/>
  <c r="E166" i="1" s="1"/>
  <c r="B167" i="1"/>
  <c r="E167" i="1" s="1"/>
  <c r="B168" i="1"/>
  <c r="E168" i="1" s="1"/>
  <c r="B169" i="1"/>
  <c r="B170" i="1"/>
  <c r="B171" i="1"/>
  <c r="E171" i="1" s="1"/>
  <c r="B172" i="1"/>
  <c r="E172" i="1" s="1"/>
  <c r="B173" i="1"/>
  <c r="B174" i="1"/>
  <c r="E174" i="1" s="1"/>
  <c r="B175" i="1"/>
  <c r="E175" i="1" s="1"/>
  <c r="F175" i="1" s="1"/>
  <c r="B176" i="1"/>
  <c r="E176" i="1" s="1"/>
  <c r="F176" i="1" s="1"/>
  <c r="G176" i="1" s="1"/>
  <c r="B177" i="1"/>
  <c r="E177" i="1" s="1"/>
  <c r="B178" i="1"/>
  <c r="E178" i="1" s="1"/>
  <c r="B179" i="1"/>
  <c r="E179" i="1" s="1"/>
  <c r="B180" i="1"/>
  <c r="E180" i="1" s="1"/>
  <c r="B181" i="1"/>
  <c r="E181" i="1" s="1"/>
  <c r="B182" i="1"/>
  <c r="E182" i="1" s="1"/>
  <c r="F182" i="1" s="1"/>
  <c r="G182" i="1" s="1"/>
  <c r="B183" i="1"/>
  <c r="E183" i="1" s="1"/>
  <c r="B184" i="1"/>
  <c r="E184" i="1" s="1"/>
  <c r="B185" i="1"/>
  <c r="B186" i="1"/>
  <c r="E186" i="1" s="1"/>
  <c r="B187" i="1"/>
  <c r="B188" i="1"/>
  <c r="E188" i="1" s="1"/>
  <c r="F188" i="1" s="1"/>
  <c r="G188" i="1" s="1"/>
  <c r="B189" i="1"/>
  <c r="E189" i="1" s="1"/>
  <c r="B190" i="1"/>
  <c r="E190" i="1" s="1"/>
  <c r="B191" i="1"/>
  <c r="E191" i="1" s="1"/>
  <c r="B192" i="1"/>
  <c r="E192" i="1" s="1"/>
  <c r="B193" i="1"/>
  <c r="E193" i="1" s="1"/>
  <c r="B194" i="1"/>
  <c r="E194" i="1" s="1"/>
  <c r="B195" i="1"/>
  <c r="E195" i="1" s="1"/>
  <c r="B196" i="1"/>
  <c r="E196" i="1" s="1"/>
  <c r="B197" i="1"/>
  <c r="B198" i="1"/>
  <c r="E198" i="1" s="1"/>
  <c r="B199" i="1"/>
  <c r="B200" i="1"/>
  <c r="E200" i="1" s="1"/>
  <c r="B201" i="1"/>
  <c r="E201" i="1" s="1"/>
  <c r="B202" i="1"/>
  <c r="E202" i="1" s="1"/>
  <c r="B203" i="1"/>
  <c r="E203" i="1" s="1"/>
  <c r="B204" i="1"/>
  <c r="E204" i="1" s="1"/>
  <c r="B205" i="1"/>
  <c r="E205" i="1" s="1"/>
  <c r="B206" i="1"/>
  <c r="E206" i="1" s="1"/>
  <c r="B207" i="1"/>
  <c r="E207" i="1" s="1"/>
  <c r="B208" i="1"/>
  <c r="E208" i="1" s="1"/>
  <c r="B209" i="1"/>
  <c r="B210" i="1"/>
  <c r="E210" i="1" s="1"/>
  <c r="B211" i="1"/>
  <c r="B212" i="1"/>
  <c r="E212" i="1" s="1"/>
  <c r="B213" i="1"/>
  <c r="E213" i="1" s="1"/>
  <c r="B214" i="1"/>
  <c r="E214" i="1" s="1"/>
  <c r="B215" i="1"/>
  <c r="E215" i="1" s="1"/>
  <c r="B216" i="1"/>
  <c r="E216" i="1" s="1"/>
  <c r="B217" i="1"/>
  <c r="E217" i="1" s="1"/>
  <c r="B218" i="1"/>
  <c r="E218" i="1" s="1"/>
  <c r="B219" i="1"/>
  <c r="E219" i="1" s="1"/>
  <c r="B220" i="1"/>
  <c r="E220" i="1" s="1"/>
  <c r="B221" i="1"/>
  <c r="B222" i="1"/>
  <c r="E222" i="1" s="1"/>
  <c r="B223" i="1"/>
  <c r="B224" i="1"/>
  <c r="E224" i="1" s="1"/>
  <c r="F224" i="1" s="1"/>
  <c r="G224" i="1" s="1"/>
  <c r="B225" i="1"/>
  <c r="E225" i="1" s="1"/>
  <c r="B226" i="1"/>
  <c r="E226" i="1" s="1"/>
  <c r="B227" i="1"/>
  <c r="E227" i="1" s="1"/>
  <c r="B228" i="1"/>
  <c r="E228" i="1" s="1"/>
  <c r="B229" i="1"/>
  <c r="E229" i="1" s="1"/>
  <c r="B230" i="1"/>
  <c r="E230" i="1" s="1"/>
  <c r="B231" i="1"/>
  <c r="E231" i="1" s="1"/>
  <c r="B232" i="1"/>
  <c r="E232" i="1" s="1"/>
  <c r="B233" i="1"/>
  <c r="B234" i="1"/>
  <c r="E234" i="1" s="1"/>
  <c r="B235" i="1"/>
  <c r="B236" i="1"/>
  <c r="E236" i="1" s="1"/>
  <c r="F236" i="1" s="1"/>
  <c r="G236" i="1" s="1"/>
  <c r="B237" i="1"/>
  <c r="E237" i="1" s="1"/>
  <c r="B238" i="1"/>
  <c r="E238" i="1" s="1"/>
  <c r="B239" i="1"/>
  <c r="E239" i="1" s="1"/>
  <c r="B240" i="1"/>
  <c r="E240" i="1" s="1"/>
  <c r="B241" i="1"/>
  <c r="E241" i="1" s="1"/>
  <c r="B242" i="1"/>
  <c r="E242" i="1" s="1"/>
  <c r="B243" i="1"/>
  <c r="E243" i="1" s="1"/>
  <c r="B244" i="1"/>
  <c r="E244" i="1" s="1"/>
  <c r="B245" i="1"/>
  <c r="B246" i="1"/>
  <c r="E246" i="1" s="1"/>
  <c r="F246" i="1" s="1"/>
  <c r="G246" i="1" s="1"/>
  <c r="B247" i="1"/>
  <c r="B248" i="1"/>
  <c r="E248" i="1" s="1"/>
  <c r="B249" i="1"/>
  <c r="E249" i="1" s="1"/>
  <c r="B250" i="1"/>
  <c r="E250" i="1" s="1"/>
  <c r="B251" i="1"/>
  <c r="E251" i="1" s="1"/>
  <c r="B252" i="1"/>
  <c r="E252" i="1" s="1"/>
  <c r="B253" i="1"/>
  <c r="E253" i="1" s="1"/>
  <c r="B2" i="1"/>
  <c r="E2" i="1" s="1"/>
  <c r="F2" i="1" s="1"/>
  <c r="G2" i="1" s="1"/>
  <c r="D253" i="1"/>
  <c r="F253" i="1" s="1"/>
  <c r="G253" i="1" s="1"/>
  <c r="D252" i="1"/>
  <c r="D251" i="1"/>
  <c r="D250" i="1"/>
  <c r="D249" i="1"/>
  <c r="D248" i="1"/>
  <c r="F248" i="1" s="1"/>
  <c r="G248" i="1" s="1"/>
  <c r="D247" i="1"/>
  <c r="D246" i="1"/>
  <c r="D245" i="1"/>
  <c r="D244" i="1"/>
  <c r="D243" i="1"/>
  <c r="D242" i="1"/>
  <c r="D241" i="1"/>
  <c r="F241" i="1" s="1"/>
  <c r="G241" i="1" s="1"/>
  <c r="D240" i="1"/>
  <c r="D239" i="1"/>
  <c r="D238" i="1"/>
  <c r="D237" i="1"/>
  <c r="D236" i="1"/>
  <c r="D235" i="1"/>
  <c r="D234" i="1"/>
  <c r="F234" i="1" s="1"/>
  <c r="G234" i="1" s="1"/>
  <c r="D233" i="1"/>
  <c r="D232" i="1"/>
  <c r="D231" i="1"/>
  <c r="D230" i="1"/>
  <c r="F230" i="1" s="1"/>
  <c r="G230" i="1" s="1"/>
  <c r="D229" i="1"/>
  <c r="F229" i="1" s="1"/>
  <c r="G229" i="1" s="1"/>
  <c r="D228" i="1"/>
  <c r="D227" i="1"/>
  <c r="D226" i="1"/>
  <c r="D225" i="1"/>
  <c r="D224" i="1"/>
  <c r="D223" i="1"/>
  <c r="D222" i="1"/>
  <c r="F222" i="1" s="1"/>
  <c r="G222" i="1" s="1"/>
  <c r="D221" i="1"/>
  <c r="D220" i="1"/>
  <c r="D219" i="1"/>
  <c r="D218" i="1"/>
  <c r="F218" i="1" s="1"/>
  <c r="G218" i="1" s="1"/>
  <c r="D217" i="1"/>
  <c r="F217" i="1" s="1"/>
  <c r="G217" i="1" s="1"/>
  <c r="D216" i="1"/>
  <c r="D215" i="1"/>
  <c r="D214" i="1"/>
  <c r="D213" i="1"/>
  <c r="D212" i="1"/>
  <c r="F212" i="1" s="1"/>
  <c r="G212" i="1" s="1"/>
  <c r="D211" i="1"/>
  <c r="D210" i="1"/>
  <c r="F210" i="1" s="1"/>
  <c r="G210" i="1" s="1"/>
  <c r="D209" i="1"/>
  <c r="D208" i="1"/>
  <c r="D207" i="1"/>
  <c r="D206" i="1"/>
  <c r="F206" i="1" s="1"/>
  <c r="G206" i="1" s="1"/>
  <c r="D205" i="1"/>
  <c r="F205" i="1" s="1"/>
  <c r="G205" i="1" s="1"/>
  <c r="D204" i="1"/>
  <c r="D203" i="1"/>
  <c r="D202" i="1"/>
  <c r="D201" i="1"/>
  <c r="D200" i="1"/>
  <c r="F200" i="1" s="1"/>
  <c r="G200" i="1" s="1"/>
  <c r="D199" i="1"/>
  <c r="D198" i="1"/>
  <c r="F198" i="1" s="1"/>
  <c r="G198" i="1" s="1"/>
  <c r="D197" i="1"/>
  <c r="D196" i="1"/>
  <c r="D195" i="1"/>
  <c r="D194" i="1"/>
  <c r="F194" i="1" s="1"/>
  <c r="G194" i="1" s="1"/>
  <c r="D193" i="1"/>
  <c r="F193" i="1" s="1"/>
  <c r="G193" i="1" s="1"/>
  <c r="D192" i="1"/>
  <c r="D191" i="1"/>
  <c r="D190" i="1"/>
  <c r="D189" i="1"/>
  <c r="D188" i="1"/>
  <c r="D187" i="1"/>
  <c r="D186" i="1"/>
  <c r="F186" i="1" s="1"/>
  <c r="G186" i="1" s="1"/>
  <c r="D185" i="1"/>
  <c r="D184" i="1"/>
  <c r="D183" i="1"/>
  <c r="D182" i="1"/>
  <c r="D181" i="1"/>
  <c r="F181" i="1" s="1"/>
  <c r="G181" i="1" s="1"/>
  <c r="D180" i="1"/>
  <c r="F180" i="1" s="1"/>
  <c r="G180" i="1" s="1"/>
  <c r="D179" i="1"/>
  <c r="D178" i="1"/>
  <c r="D177" i="1"/>
  <c r="D176" i="1"/>
  <c r="D175" i="1"/>
  <c r="D174" i="1"/>
  <c r="F174" i="1" s="1"/>
  <c r="G174" i="1" s="1"/>
  <c r="D173" i="1"/>
  <c r="D172" i="1"/>
  <c r="D171" i="1"/>
  <c r="D170" i="1"/>
  <c r="F170" i="1" s="1"/>
  <c r="G170" i="1" s="1"/>
  <c r="D169" i="1"/>
  <c r="F169" i="1" s="1"/>
  <c r="G169" i="1" s="1"/>
  <c r="D168" i="1"/>
  <c r="F168" i="1" s="1"/>
  <c r="G168" i="1" s="1"/>
  <c r="D167" i="1"/>
  <c r="D166" i="1"/>
  <c r="D165" i="1"/>
  <c r="D164" i="1"/>
  <c r="D163" i="1"/>
  <c r="D162" i="1"/>
  <c r="F162" i="1" s="1"/>
  <c r="G162" i="1" s="1"/>
  <c r="D161" i="1"/>
  <c r="D160" i="1"/>
  <c r="D159" i="1"/>
  <c r="D158" i="1"/>
  <c r="F158" i="1" s="1"/>
  <c r="G158" i="1" s="1"/>
  <c r="D157" i="1"/>
  <c r="F157" i="1" s="1"/>
  <c r="G157" i="1" s="1"/>
  <c r="D156" i="1"/>
  <c r="D155" i="1"/>
  <c r="D154" i="1"/>
  <c r="D153" i="1"/>
  <c r="D152" i="1"/>
  <c r="D151" i="1"/>
  <c r="D150" i="1"/>
  <c r="F150" i="1" s="1"/>
  <c r="G150" i="1" s="1"/>
  <c r="D149" i="1"/>
  <c r="D148" i="1"/>
  <c r="D147" i="1"/>
  <c r="D146" i="1"/>
  <c r="D145" i="1"/>
  <c r="F145" i="1" s="1"/>
  <c r="G145" i="1" s="1"/>
  <c r="D144" i="1"/>
  <c r="D143" i="1"/>
  <c r="D142" i="1"/>
  <c r="D141" i="1"/>
  <c r="D140" i="1"/>
  <c r="F140" i="1" s="1"/>
  <c r="G140" i="1" s="1"/>
  <c r="D139" i="1"/>
  <c r="D138" i="1"/>
  <c r="F138" i="1" s="1"/>
  <c r="G138" i="1" s="1"/>
  <c r="D137" i="1"/>
  <c r="D136" i="1"/>
  <c r="D135" i="1"/>
  <c r="D134" i="1"/>
  <c r="D133" i="1"/>
  <c r="F133" i="1" s="1"/>
  <c r="G133" i="1" s="1"/>
  <c r="D132" i="1"/>
  <c r="D131" i="1"/>
  <c r="D130" i="1"/>
  <c r="D129" i="1"/>
  <c r="D128" i="1"/>
  <c r="F128" i="1" s="1"/>
  <c r="G128" i="1" s="1"/>
  <c r="D127" i="1"/>
  <c r="D126" i="1"/>
  <c r="F126" i="1" s="1"/>
  <c r="G126" i="1" s="1"/>
  <c r="D125" i="1"/>
  <c r="D124" i="1"/>
  <c r="D123" i="1"/>
  <c r="D122" i="1"/>
  <c r="D121" i="1"/>
  <c r="F121" i="1" s="1"/>
  <c r="G121" i="1" s="1"/>
  <c r="D120" i="1"/>
  <c r="D119" i="1"/>
  <c r="D118" i="1"/>
  <c r="D117" i="1"/>
  <c r="D116" i="1"/>
  <c r="D115" i="1"/>
  <c r="D114" i="1"/>
  <c r="F114" i="1" s="1"/>
  <c r="G114" i="1" s="1"/>
  <c r="D113" i="1"/>
  <c r="D112" i="1"/>
  <c r="D111" i="1"/>
  <c r="D110" i="1"/>
  <c r="D109" i="1"/>
  <c r="F109" i="1" s="1"/>
  <c r="G109" i="1" s="1"/>
  <c r="D108" i="1"/>
  <c r="D107" i="1"/>
  <c r="D106" i="1"/>
  <c r="D105" i="1"/>
  <c r="D104" i="1"/>
  <c r="F104" i="1" s="1"/>
  <c r="G104" i="1" s="1"/>
  <c r="D103" i="1"/>
  <c r="D102" i="1"/>
  <c r="F102" i="1" s="1"/>
  <c r="G102" i="1" s="1"/>
  <c r="D101" i="1"/>
  <c r="D100" i="1"/>
  <c r="D99" i="1"/>
  <c r="D98" i="1"/>
  <c r="F98" i="1" s="1"/>
  <c r="G98" i="1" s="1"/>
  <c r="D97" i="1"/>
  <c r="F97" i="1" s="1"/>
  <c r="G97" i="1" s="1"/>
  <c r="D96" i="1"/>
  <c r="D95" i="1"/>
  <c r="D94" i="1"/>
  <c r="D93" i="1"/>
  <c r="D92" i="1"/>
  <c r="D91" i="1"/>
  <c r="D90" i="1"/>
  <c r="F90" i="1" s="1"/>
  <c r="G90" i="1" s="1"/>
  <c r="D89" i="1"/>
  <c r="D88" i="1"/>
  <c r="D87" i="1"/>
  <c r="D86" i="1"/>
  <c r="F86" i="1" s="1"/>
  <c r="G86" i="1" s="1"/>
  <c r="D85" i="1"/>
  <c r="F85" i="1" s="1"/>
  <c r="G85" i="1" s="1"/>
  <c r="D84" i="1"/>
  <c r="D83" i="1"/>
  <c r="D82" i="1"/>
  <c r="D81" i="1"/>
  <c r="D80" i="1"/>
  <c r="D79" i="1"/>
  <c r="D78" i="1"/>
  <c r="F78" i="1" s="1"/>
  <c r="G78" i="1" s="1"/>
  <c r="D77" i="1"/>
  <c r="D76" i="1"/>
  <c r="D75" i="1"/>
  <c r="D74" i="1"/>
  <c r="F74" i="1" s="1"/>
  <c r="G74" i="1" s="1"/>
  <c r="D73" i="1"/>
  <c r="F73" i="1" s="1"/>
  <c r="G73" i="1" s="1"/>
  <c r="D72" i="1"/>
  <c r="D71" i="1"/>
  <c r="D70" i="1"/>
  <c r="D69" i="1"/>
  <c r="D68" i="1"/>
  <c r="F68" i="1" s="1"/>
  <c r="G68" i="1" s="1"/>
  <c r="D67" i="1"/>
  <c r="D66" i="1"/>
  <c r="F66" i="1" s="1"/>
  <c r="G66" i="1" s="1"/>
  <c r="D65" i="1"/>
  <c r="D64" i="1"/>
  <c r="D63" i="1"/>
  <c r="D62" i="1"/>
  <c r="F62" i="1" s="1"/>
  <c r="G62" i="1" s="1"/>
  <c r="D61" i="1"/>
  <c r="F61" i="1" s="1"/>
  <c r="G61" i="1" s="1"/>
  <c r="D60" i="1"/>
  <c r="D59" i="1"/>
  <c r="D58" i="1"/>
  <c r="D57" i="1"/>
  <c r="D56" i="1"/>
  <c r="F56" i="1" s="1"/>
  <c r="G56" i="1" s="1"/>
  <c r="D55" i="1"/>
  <c r="D54" i="1"/>
  <c r="F54" i="1" s="1"/>
  <c r="G54" i="1" s="1"/>
  <c r="D53" i="1"/>
  <c r="D52" i="1"/>
  <c r="D51" i="1"/>
  <c r="D50" i="1"/>
  <c r="F50" i="1" s="1"/>
  <c r="G50" i="1" s="1"/>
  <c r="D49" i="1"/>
  <c r="F49" i="1" s="1"/>
  <c r="G49" i="1" s="1"/>
  <c r="D48" i="1"/>
  <c r="D47" i="1"/>
  <c r="D46" i="1"/>
  <c r="D45" i="1"/>
  <c r="D44" i="1"/>
  <c r="F44" i="1" s="1"/>
  <c r="G44" i="1" s="1"/>
  <c r="D43" i="1"/>
  <c r="D42" i="1"/>
  <c r="F42" i="1" s="1"/>
  <c r="G42" i="1" s="1"/>
  <c r="D41" i="1"/>
  <c r="D40" i="1"/>
  <c r="D39" i="1"/>
  <c r="D38" i="1"/>
  <c r="D37" i="1"/>
  <c r="F37" i="1" s="1"/>
  <c r="G37" i="1" s="1"/>
  <c r="D36" i="1"/>
  <c r="D35" i="1"/>
  <c r="D34" i="1"/>
  <c r="D33" i="1"/>
  <c r="D32" i="1"/>
  <c r="D31" i="1"/>
  <c r="D30" i="1"/>
  <c r="F30" i="1" s="1"/>
  <c r="G30" i="1" s="1"/>
  <c r="D29" i="1"/>
  <c r="D28" i="1"/>
  <c r="D27" i="1"/>
  <c r="D26" i="1"/>
  <c r="F26" i="1" s="1"/>
  <c r="G26" i="1" s="1"/>
  <c r="D25" i="1"/>
  <c r="F25" i="1" s="1"/>
  <c r="G25" i="1" s="1"/>
  <c r="D24" i="1"/>
  <c r="D23" i="1"/>
  <c r="F23" i="1" s="1"/>
  <c r="G23" i="1" s="1"/>
  <c r="D22" i="1"/>
  <c r="D21" i="1"/>
  <c r="D20" i="1"/>
  <c r="D19" i="1"/>
  <c r="D18" i="1"/>
  <c r="F18" i="1" s="1"/>
  <c r="G18" i="1" s="1"/>
  <c r="D17" i="1"/>
  <c r="D16" i="1"/>
  <c r="D15" i="1"/>
  <c r="D14" i="1"/>
  <c r="F14" i="1" s="1"/>
  <c r="G14" i="1" s="1"/>
  <c r="D13" i="1"/>
  <c r="F13" i="1" s="1"/>
  <c r="G13" i="1" s="1"/>
  <c r="D12" i="1"/>
  <c r="D11" i="1"/>
  <c r="F11" i="1" s="1"/>
  <c r="G11" i="1" s="1"/>
  <c r="D10" i="1"/>
  <c r="D9" i="1"/>
  <c r="D8" i="1"/>
  <c r="D7" i="1"/>
  <c r="D6" i="1"/>
  <c r="F6" i="1" s="1"/>
  <c r="G6" i="1" s="1"/>
  <c r="D5" i="1"/>
  <c r="D4" i="1"/>
  <c r="D3" i="1"/>
  <c r="D2" i="1"/>
  <c r="F134" i="1" l="1"/>
  <c r="G134" i="1" s="1"/>
  <c r="F146" i="1"/>
  <c r="G146" i="1" s="1"/>
  <c r="F242" i="1"/>
  <c r="G242" i="1" s="1"/>
  <c r="F12" i="1"/>
  <c r="G12" i="1" s="1"/>
  <c r="F24" i="1"/>
  <c r="G24" i="1" s="1"/>
  <c r="F36" i="1"/>
  <c r="G36" i="1" s="1"/>
  <c r="F48" i="1"/>
  <c r="G48" i="1" s="1"/>
  <c r="F60" i="1"/>
  <c r="G60" i="1" s="1"/>
  <c r="F72" i="1"/>
  <c r="G72" i="1" s="1"/>
  <c r="F84" i="1"/>
  <c r="G84" i="1" s="1"/>
  <c r="F96" i="1"/>
  <c r="G96" i="1" s="1"/>
  <c r="F108" i="1"/>
  <c r="G108" i="1" s="1"/>
  <c r="F120" i="1"/>
  <c r="G120" i="1" s="1"/>
  <c r="F132" i="1"/>
  <c r="G132" i="1" s="1"/>
  <c r="F144" i="1"/>
  <c r="G144" i="1" s="1"/>
  <c r="F156" i="1"/>
  <c r="G156" i="1" s="1"/>
  <c r="F192" i="1"/>
  <c r="G192" i="1" s="1"/>
  <c r="F204" i="1"/>
  <c r="G204" i="1" s="1"/>
  <c r="F216" i="1"/>
  <c r="G216" i="1" s="1"/>
  <c r="F228" i="1"/>
  <c r="G228" i="1" s="1"/>
  <c r="F240" i="1"/>
  <c r="G240" i="1" s="1"/>
  <c r="F252" i="1"/>
  <c r="G252" i="1" s="1"/>
  <c r="F3" i="1"/>
  <c r="G3" i="1" s="1"/>
  <c r="F15" i="1"/>
  <c r="G15" i="1" s="1"/>
  <c r="F27" i="1"/>
  <c r="G27" i="1" s="1"/>
  <c r="F39" i="1"/>
  <c r="G39" i="1" s="1"/>
  <c r="F51" i="1"/>
  <c r="G51" i="1" s="1"/>
  <c r="F63" i="1"/>
  <c r="G63" i="1" s="1"/>
  <c r="F75" i="1"/>
  <c r="G75" i="1" s="1"/>
  <c r="F87" i="1"/>
  <c r="G87" i="1" s="1"/>
  <c r="F99" i="1"/>
  <c r="G99" i="1" s="1"/>
  <c r="F111" i="1"/>
  <c r="G111" i="1" s="1"/>
  <c r="F123" i="1"/>
  <c r="G123" i="1" s="1"/>
  <c r="F135" i="1"/>
  <c r="G135" i="1" s="1"/>
  <c r="F147" i="1"/>
  <c r="G147" i="1" s="1"/>
  <c r="F159" i="1"/>
  <c r="G159" i="1" s="1"/>
  <c r="F171" i="1"/>
  <c r="G171" i="1" s="1"/>
  <c r="F183" i="1"/>
  <c r="G183" i="1" s="1"/>
  <c r="F195" i="1"/>
  <c r="G195" i="1" s="1"/>
  <c r="F207" i="1"/>
  <c r="G207" i="1" s="1"/>
  <c r="F219" i="1"/>
  <c r="G219" i="1" s="1"/>
  <c r="F231" i="1"/>
  <c r="G231" i="1" s="1"/>
  <c r="F4" i="1"/>
  <c r="G4" i="1" s="1"/>
  <c r="F28" i="1"/>
  <c r="G28" i="1" s="1"/>
  <c r="F52" i="1"/>
  <c r="G52" i="1" s="1"/>
  <c r="F76" i="1"/>
  <c r="G76" i="1" s="1"/>
  <c r="F100" i="1"/>
  <c r="G100" i="1" s="1"/>
  <c r="F124" i="1"/>
  <c r="G124" i="1" s="1"/>
  <c r="F148" i="1"/>
  <c r="G148" i="1" s="1"/>
  <c r="F172" i="1"/>
  <c r="G172" i="1" s="1"/>
  <c r="F196" i="1"/>
  <c r="G196" i="1" s="1"/>
  <c r="F220" i="1"/>
  <c r="G220" i="1" s="1"/>
  <c r="F232" i="1"/>
  <c r="G232" i="1" s="1"/>
  <c r="F244" i="1"/>
  <c r="G244" i="1" s="1"/>
  <c r="F243" i="1"/>
  <c r="G243" i="1" s="1"/>
  <c r="F16" i="1"/>
  <c r="G16" i="1" s="1"/>
  <c r="F40" i="1"/>
  <c r="G40" i="1" s="1"/>
  <c r="F64" i="1"/>
  <c r="G64" i="1" s="1"/>
  <c r="F88" i="1"/>
  <c r="G88" i="1" s="1"/>
  <c r="F112" i="1"/>
  <c r="G112" i="1" s="1"/>
  <c r="F136" i="1"/>
  <c r="G136" i="1" s="1"/>
  <c r="F160" i="1"/>
  <c r="G160" i="1" s="1"/>
  <c r="F184" i="1"/>
  <c r="G184" i="1" s="1"/>
  <c r="F208" i="1"/>
  <c r="G208" i="1" s="1"/>
  <c r="F9" i="1"/>
  <c r="G9" i="1" s="1"/>
  <c r="F21" i="1"/>
  <c r="G21" i="1" s="1"/>
  <c r="F33" i="1"/>
  <c r="G33" i="1" s="1"/>
  <c r="F45" i="1"/>
  <c r="G45" i="1" s="1"/>
  <c r="F57" i="1"/>
  <c r="G57" i="1" s="1"/>
  <c r="F69" i="1"/>
  <c r="G69" i="1" s="1"/>
  <c r="F93" i="1"/>
  <c r="G93" i="1" s="1"/>
  <c r="F117" i="1"/>
  <c r="G117" i="1" s="1"/>
  <c r="F141" i="1"/>
  <c r="G141" i="1" s="1"/>
  <c r="F165" i="1"/>
  <c r="G165" i="1" s="1"/>
  <c r="F189" i="1"/>
  <c r="G189" i="1" s="1"/>
  <c r="F213" i="1"/>
  <c r="G213" i="1" s="1"/>
  <c r="F237" i="1"/>
  <c r="G237" i="1" s="1"/>
  <c r="F10" i="1"/>
  <c r="G10" i="1" s="1"/>
  <c r="F34" i="1"/>
  <c r="G34" i="1" s="1"/>
  <c r="F58" i="1"/>
  <c r="G58" i="1" s="1"/>
  <c r="F82" i="1"/>
  <c r="G82" i="1" s="1"/>
  <c r="F106" i="1"/>
  <c r="G106" i="1" s="1"/>
  <c r="F130" i="1"/>
  <c r="G130" i="1" s="1"/>
  <c r="F154" i="1"/>
  <c r="G154" i="1" s="1"/>
  <c r="F178" i="1"/>
  <c r="G178" i="1" s="1"/>
  <c r="F202" i="1"/>
  <c r="G202" i="1" s="1"/>
  <c r="F226" i="1"/>
  <c r="G226" i="1" s="1"/>
  <c r="F250" i="1"/>
  <c r="G250" i="1" s="1"/>
  <c r="F81" i="1"/>
  <c r="G81" i="1" s="1"/>
  <c r="F105" i="1"/>
  <c r="G105" i="1" s="1"/>
  <c r="F129" i="1"/>
  <c r="G129" i="1" s="1"/>
  <c r="F153" i="1"/>
  <c r="G153" i="1" s="1"/>
  <c r="F177" i="1"/>
  <c r="G177" i="1" s="1"/>
  <c r="F201" i="1"/>
  <c r="G201" i="1" s="1"/>
  <c r="F225" i="1"/>
  <c r="G225" i="1" s="1"/>
  <c r="F249" i="1"/>
  <c r="G249" i="1" s="1"/>
  <c r="F22" i="1"/>
  <c r="G22" i="1" s="1"/>
  <c r="F46" i="1"/>
  <c r="G46" i="1" s="1"/>
  <c r="F70" i="1"/>
  <c r="G70" i="1" s="1"/>
  <c r="F94" i="1"/>
  <c r="G94" i="1" s="1"/>
  <c r="F118" i="1"/>
  <c r="G118" i="1" s="1"/>
  <c r="F142" i="1"/>
  <c r="G142" i="1" s="1"/>
  <c r="F166" i="1"/>
  <c r="G166" i="1" s="1"/>
  <c r="F190" i="1"/>
  <c r="G190" i="1" s="1"/>
  <c r="F214" i="1"/>
  <c r="G214" i="1" s="1"/>
  <c r="F238" i="1"/>
  <c r="G238" i="1" s="1"/>
  <c r="F35" i="1"/>
  <c r="G35" i="1" s="1"/>
  <c r="F47" i="1"/>
  <c r="G47" i="1" s="1"/>
  <c r="F59" i="1"/>
  <c r="G59" i="1" s="1"/>
  <c r="F71" i="1"/>
  <c r="G71" i="1" s="1"/>
  <c r="F83" i="1"/>
  <c r="G83" i="1" s="1"/>
  <c r="F95" i="1"/>
  <c r="G95" i="1" s="1"/>
  <c r="F107" i="1"/>
  <c r="G107" i="1" s="1"/>
  <c r="F119" i="1"/>
  <c r="G119" i="1" s="1"/>
  <c r="F131" i="1"/>
  <c r="G131" i="1" s="1"/>
  <c r="F143" i="1"/>
  <c r="G143" i="1" s="1"/>
  <c r="F155" i="1"/>
  <c r="G155" i="1" s="1"/>
  <c r="F167" i="1"/>
  <c r="G167" i="1" s="1"/>
  <c r="F179" i="1"/>
  <c r="G179" i="1" s="1"/>
  <c r="F191" i="1"/>
  <c r="G191" i="1" s="1"/>
  <c r="F203" i="1"/>
  <c r="G203" i="1" s="1"/>
  <c r="F215" i="1"/>
  <c r="G215" i="1" s="1"/>
  <c r="F227" i="1"/>
  <c r="G227" i="1" s="1"/>
  <c r="F239" i="1"/>
  <c r="G239" i="1" s="1"/>
  <c r="F251" i="1"/>
  <c r="G251" i="1" s="1"/>
</calcChain>
</file>

<file path=xl/sharedStrings.xml><?xml version="1.0" encoding="utf-8"?>
<sst xmlns="http://schemas.openxmlformats.org/spreadsheetml/2006/main" count="6" uniqueCount="5">
  <si>
    <t>PIB</t>
  </si>
  <si>
    <t>Población</t>
  </si>
  <si>
    <t xml:space="preserve">ln PIB </t>
  </si>
  <si>
    <t>PIB PC</t>
  </si>
  <si>
    <t>lnPIBPC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</si>
</sst>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jaulime\Downloads\PPED-AreaNac-1950-2017%20(3).xlsx" TargetMode="External"/><Relationship Id="rId1" Type="http://schemas.openxmlformats.org/officeDocument/2006/relationships/externalLinkPath" Target="file:///C:\Users\ojaulime\Downloads\PPED-AreaNac-1950-2017%20(3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jaulime\Downloads\PPED-AreaNac-2018-2070.xlsx" TargetMode="External"/><Relationship Id="rId1" Type="http://schemas.openxmlformats.org/officeDocument/2006/relationships/externalLinkPath" Target="file:///C:\Users\ojaulime\Downloads\PPED-AreaNac-2018-207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acional_1950_2017"/>
      <sheetName val="Hoja1"/>
    </sheetNames>
    <sheetDataSet>
      <sheetData sheetId="0">
        <row r="2">
          <cell r="A2"/>
          <cell r="B2"/>
          <cell r="C2"/>
        </row>
        <row r="3">
          <cell r="A3"/>
          <cell r="B3"/>
          <cell r="C3"/>
        </row>
        <row r="4">
          <cell r="A4"/>
          <cell r="B4"/>
          <cell r="C4"/>
        </row>
        <row r="5">
          <cell r="A5"/>
          <cell r="B5"/>
          <cell r="C5"/>
        </row>
        <row r="6">
          <cell r="A6" t="str">
            <v>PROYECCIONES DE POBLACIÓN NACIONAL POR ÁREA.</v>
          </cell>
          <cell r="B6"/>
          <cell r="C6"/>
        </row>
        <row r="7">
          <cell r="A7"/>
          <cell r="B7"/>
          <cell r="C7"/>
        </row>
        <row r="8">
          <cell r="A8" t="str">
            <v>PROYECCIONES DE POBLACIÓN A NIVEL NACIONAL. PERIODO 1950 - 2017.</v>
          </cell>
          <cell r="B8"/>
          <cell r="C8"/>
        </row>
        <row r="9">
          <cell r="A9"/>
          <cell r="B9"/>
          <cell r="C9"/>
        </row>
        <row r="10">
          <cell r="A10"/>
          <cell r="B10"/>
          <cell r="C10"/>
        </row>
        <row r="11">
          <cell r="A11"/>
          <cell r="B11"/>
          <cell r="C11"/>
        </row>
        <row r="12">
          <cell r="A12" t="str">
            <v>DP</v>
          </cell>
          <cell r="B12" t="str">
            <v>DPNOM</v>
          </cell>
          <cell r="C12" t="str">
            <v>AÑO</v>
          </cell>
        </row>
        <row r="13">
          <cell r="A13" t="str">
            <v>00</v>
          </cell>
          <cell r="B13" t="str">
            <v>Nacional</v>
          </cell>
          <cell r="C13">
            <v>1950</v>
          </cell>
        </row>
        <row r="14">
          <cell r="A14" t="str">
            <v>00</v>
          </cell>
          <cell r="B14" t="str">
            <v>Nacional</v>
          </cell>
          <cell r="C14">
            <v>1950</v>
          </cell>
        </row>
        <row r="15">
          <cell r="A15" t="str">
            <v>00</v>
          </cell>
          <cell r="B15" t="str">
            <v>Nacional</v>
          </cell>
          <cell r="C15">
            <v>1950</v>
          </cell>
        </row>
        <row r="16">
          <cell r="A16" t="str">
            <v>00</v>
          </cell>
          <cell r="B16" t="str">
            <v>Nacional</v>
          </cell>
          <cell r="C16">
            <v>1951</v>
          </cell>
        </row>
        <row r="17">
          <cell r="A17" t="str">
            <v>00</v>
          </cell>
          <cell r="B17" t="str">
            <v>Nacional</v>
          </cell>
          <cell r="C17">
            <v>1951</v>
          </cell>
        </row>
        <row r="18">
          <cell r="A18" t="str">
            <v>00</v>
          </cell>
          <cell r="B18" t="str">
            <v>Nacional</v>
          </cell>
          <cell r="C18">
            <v>1951</v>
          </cell>
        </row>
        <row r="19">
          <cell r="A19" t="str">
            <v>00</v>
          </cell>
          <cell r="B19" t="str">
            <v>Nacional</v>
          </cell>
          <cell r="C19">
            <v>1952</v>
          </cell>
        </row>
        <row r="20">
          <cell r="A20" t="str">
            <v>00</v>
          </cell>
          <cell r="B20" t="str">
            <v>Nacional</v>
          </cell>
          <cell r="C20">
            <v>1952</v>
          </cell>
        </row>
        <row r="21">
          <cell r="A21" t="str">
            <v>00</v>
          </cell>
          <cell r="B21" t="str">
            <v>Nacional</v>
          </cell>
          <cell r="C21">
            <v>1952</v>
          </cell>
        </row>
        <row r="22">
          <cell r="A22" t="str">
            <v>00</v>
          </cell>
          <cell r="B22" t="str">
            <v>Nacional</v>
          </cell>
          <cell r="C22">
            <v>1953</v>
          </cell>
        </row>
        <row r="23">
          <cell r="A23" t="str">
            <v>00</v>
          </cell>
          <cell r="B23" t="str">
            <v>Nacional</v>
          </cell>
          <cell r="C23">
            <v>1953</v>
          </cell>
        </row>
        <row r="24">
          <cell r="A24" t="str">
            <v>00</v>
          </cell>
          <cell r="B24" t="str">
            <v>Nacional</v>
          </cell>
          <cell r="C24">
            <v>1953</v>
          </cell>
        </row>
        <row r="25">
          <cell r="A25" t="str">
            <v>00</v>
          </cell>
          <cell r="B25" t="str">
            <v>Nacional</v>
          </cell>
          <cell r="C25">
            <v>1954</v>
          </cell>
        </row>
        <row r="26">
          <cell r="A26" t="str">
            <v>00</v>
          </cell>
          <cell r="B26" t="str">
            <v>Nacional</v>
          </cell>
          <cell r="C26">
            <v>1954</v>
          </cell>
        </row>
        <row r="27">
          <cell r="A27" t="str">
            <v>00</v>
          </cell>
          <cell r="B27" t="str">
            <v>Nacional</v>
          </cell>
          <cell r="C27">
            <v>1954</v>
          </cell>
        </row>
        <row r="28">
          <cell r="A28" t="str">
            <v>00</v>
          </cell>
          <cell r="B28" t="str">
            <v>Nacional</v>
          </cell>
          <cell r="C28">
            <v>1955</v>
          </cell>
        </row>
        <row r="29">
          <cell r="A29" t="str">
            <v>00</v>
          </cell>
          <cell r="B29" t="str">
            <v>Nacional</v>
          </cell>
          <cell r="C29">
            <v>1955</v>
          </cell>
        </row>
        <row r="30">
          <cell r="A30" t="str">
            <v>00</v>
          </cell>
          <cell r="B30" t="str">
            <v>Nacional</v>
          </cell>
          <cell r="C30">
            <v>1955</v>
          </cell>
        </row>
        <row r="31">
          <cell r="A31" t="str">
            <v>00</v>
          </cell>
          <cell r="B31" t="str">
            <v>Nacional</v>
          </cell>
          <cell r="C31">
            <v>1956</v>
          </cell>
        </row>
        <row r="32">
          <cell r="A32" t="str">
            <v>00</v>
          </cell>
          <cell r="B32" t="str">
            <v>Nacional</v>
          </cell>
          <cell r="C32">
            <v>1956</v>
          </cell>
        </row>
        <row r="33">
          <cell r="A33" t="str">
            <v>00</v>
          </cell>
          <cell r="B33" t="str">
            <v>Nacional</v>
          </cell>
          <cell r="C33">
            <v>1956</v>
          </cell>
        </row>
        <row r="34">
          <cell r="A34" t="str">
            <v>00</v>
          </cell>
          <cell r="B34" t="str">
            <v>Nacional</v>
          </cell>
          <cell r="C34">
            <v>1957</v>
          </cell>
        </row>
        <row r="35">
          <cell r="A35" t="str">
            <v>00</v>
          </cell>
          <cell r="B35" t="str">
            <v>Nacional</v>
          </cell>
          <cell r="C35">
            <v>1957</v>
          </cell>
        </row>
        <row r="36">
          <cell r="A36" t="str">
            <v>00</v>
          </cell>
          <cell r="B36" t="str">
            <v>Nacional</v>
          </cell>
          <cell r="C36">
            <v>1957</v>
          </cell>
        </row>
        <row r="37">
          <cell r="A37" t="str">
            <v>00</v>
          </cell>
          <cell r="B37" t="str">
            <v>Nacional</v>
          </cell>
          <cell r="C37">
            <v>1958</v>
          </cell>
        </row>
        <row r="38">
          <cell r="A38" t="str">
            <v>00</v>
          </cell>
          <cell r="B38" t="str">
            <v>Nacional</v>
          </cell>
          <cell r="C38">
            <v>1958</v>
          </cell>
        </row>
        <row r="39">
          <cell r="A39" t="str">
            <v>00</v>
          </cell>
          <cell r="B39" t="str">
            <v>Nacional</v>
          </cell>
          <cell r="C39">
            <v>1958</v>
          </cell>
        </row>
        <row r="40">
          <cell r="A40" t="str">
            <v>00</v>
          </cell>
          <cell r="B40" t="str">
            <v>Nacional</v>
          </cell>
          <cell r="C40">
            <v>1959</v>
          </cell>
        </row>
        <row r="41">
          <cell r="A41" t="str">
            <v>00</v>
          </cell>
          <cell r="B41" t="str">
            <v>Nacional</v>
          </cell>
          <cell r="C41">
            <v>1959</v>
          </cell>
        </row>
        <row r="42">
          <cell r="A42" t="str">
            <v>00</v>
          </cell>
          <cell r="B42" t="str">
            <v>Nacional</v>
          </cell>
          <cell r="C42">
            <v>1959</v>
          </cell>
        </row>
        <row r="43">
          <cell r="A43" t="str">
            <v>00</v>
          </cell>
          <cell r="B43" t="str">
            <v>Nacional</v>
          </cell>
          <cell r="C43">
            <v>1960</v>
          </cell>
        </row>
        <row r="44">
          <cell r="A44" t="str">
            <v>00</v>
          </cell>
          <cell r="B44" t="str">
            <v>Nacional</v>
          </cell>
          <cell r="C44">
            <v>1960</v>
          </cell>
        </row>
        <row r="45">
          <cell r="A45" t="str">
            <v>00</v>
          </cell>
          <cell r="B45" t="str">
            <v>Nacional</v>
          </cell>
          <cell r="C45">
            <v>1960</v>
          </cell>
        </row>
        <row r="46">
          <cell r="A46" t="str">
            <v>00</v>
          </cell>
          <cell r="B46" t="str">
            <v>Nacional</v>
          </cell>
          <cell r="C46">
            <v>1961</v>
          </cell>
        </row>
        <row r="47">
          <cell r="A47" t="str">
            <v>00</v>
          </cell>
          <cell r="B47" t="str">
            <v>Nacional</v>
          </cell>
          <cell r="C47">
            <v>1961</v>
          </cell>
        </row>
        <row r="48">
          <cell r="A48" t="str">
            <v>00</v>
          </cell>
          <cell r="B48" t="str">
            <v>Nacional</v>
          </cell>
          <cell r="C48">
            <v>1961</v>
          </cell>
        </row>
        <row r="49">
          <cell r="A49" t="str">
            <v>00</v>
          </cell>
          <cell r="B49" t="str">
            <v>Nacional</v>
          </cell>
          <cell r="C49">
            <v>1962</v>
          </cell>
        </row>
        <row r="50">
          <cell r="A50" t="str">
            <v>00</v>
          </cell>
          <cell r="B50" t="str">
            <v>Nacional</v>
          </cell>
          <cell r="C50">
            <v>1962</v>
          </cell>
        </row>
        <row r="51">
          <cell r="A51" t="str">
            <v>00</v>
          </cell>
          <cell r="B51" t="str">
            <v>Nacional</v>
          </cell>
          <cell r="C51">
            <v>1962</v>
          </cell>
        </row>
        <row r="52">
          <cell r="A52" t="str">
            <v>00</v>
          </cell>
          <cell r="B52" t="str">
            <v>Nacional</v>
          </cell>
          <cell r="C52">
            <v>1963</v>
          </cell>
        </row>
        <row r="53">
          <cell r="A53" t="str">
            <v>00</v>
          </cell>
          <cell r="B53" t="str">
            <v>Nacional</v>
          </cell>
          <cell r="C53">
            <v>1963</v>
          </cell>
        </row>
        <row r="54">
          <cell r="A54" t="str">
            <v>00</v>
          </cell>
          <cell r="B54" t="str">
            <v>Nacional</v>
          </cell>
          <cell r="C54">
            <v>1963</v>
          </cell>
        </row>
        <row r="55">
          <cell r="A55" t="str">
            <v>00</v>
          </cell>
          <cell r="B55" t="str">
            <v>Nacional</v>
          </cell>
          <cell r="C55">
            <v>1964</v>
          </cell>
        </row>
        <row r="56">
          <cell r="A56" t="str">
            <v>00</v>
          </cell>
          <cell r="B56" t="str">
            <v>Nacional</v>
          </cell>
          <cell r="C56">
            <v>1964</v>
          </cell>
        </row>
        <row r="57">
          <cell r="A57" t="str">
            <v>00</v>
          </cell>
          <cell r="B57" t="str">
            <v>Nacional</v>
          </cell>
          <cell r="C57">
            <v>1964</v>
          </cell>
        </row>
        <row r="58">
          <cell r="A58" t="str">
            <v>00</v>
          </cell>
          <cell r="B58" t="str">
            <v>Nacional</v>
          </cell>
          <cell r="C58">
            <v>1965</v>
          </cell>
        </row>
        <row r="59">
          <cell r="A59" t="str">
            <v>00</v>
          </cell>
          <cell r="B59" t="str">
            <v>Nacional</v>
          </cell>
          <cell r="C59">
            <v>1965</v>
          </cell>
        </row>
        <row r="60">
          <cell r="A60" t="str">
            <v>00</v>
          </cell>
          <cell r="B60" t="str">
            <v>Nacional</v>
          </cell>
          <cell r="C60">
            <v>1965</v>
          </cell>
        </row>
        <row r="61">
          <cell r="A61" t="str">
            <v>00</v>
          </cell>
          <cell r="B61" t="str">
            <v>Nacional</v>
          </cell>
          <cell r="C61">
            <v>1966</v>
          </cell>
        </row>
        <row r="62">
          <cell r="A62" t="str">
            <v>00</v>
          </cell>
          <cell r="B62" t="str">
            <v>Nacional</v>
          </cell>
          <cell r="C62">
            <v>1966</v>
          </cell>
        </row>
        <row r="63">
          <cell r="A63" t="str">
            <v>00</v>
          </cell>
          <cell r="B63" t="str">
            <v>Nacional</v>
          </cell>
          <cell r="C63">
            <v>1966</v>
          </cell>
        </row>
        <row r="64">
          <cell r="A64" t="str">
            <v>00</v>
          </cell>
          <cell r="B64" t="str">
            <v>Nacional</v>
          </cell>
          <cell r="C64">
            <v>1967</v>
          </cell>
        </row>
        <row r="65">
          <cell r="A65" t="str">
            <v>00</v>
          </cell>
          <cell r="B65" t="str">
            <v>Nacional</v>
          </cell>
          <cell r="C65">
            <v>1967</v>
          </cell>
        </row>
        <row r="66">
          <cell r="A66" t="str">
            <v>00</v>
          </cell>
          <cell r="B66" t="str">
            <v>Nacional</v>
          </cell>
          <cell r="C66">
            <v>1967</v>
          </cell>
        </row>
        <row r="67">
          <cell r="A67" t="str">
            <v>00</v>
          </cell>
          <cell r="B67" t="str">
            <v>Nacional</v>
          </cell>
          <cell r="C67">
            <v>1968</v>
          </cell>
        </row>
        <row r="68">
          <cell r="A68" t="str">
            <v>00</v>
          </cell>
          <cell r="B68" t="str">
            <v>Nacional</v>
          </cell>
          <cell r="C68">
            <v>1968</v>
          </cell>
        </row>
        <row r="69">
          <cell r="A69" t="str">
            <v>00</v>
          </cell>
          <cell r="B69" t="str">
            <v>Nacional</v>
          </cell>
          <cell r="C69">
            <v>1968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PPED"/>
      <sheetName val="PobNacionalxÁrea"/>
      <sheetName val="Hoja1"/>
    </sheetNames>
    <sheetDataSet>
      <sheetData sheetId="0" refreshError="1"/>
      <sheetData sheetId="1" refreshError="1"/>
      <sheetData sheetId="2"/>
      <sheetData sheetId="3">
        <row r="2">
          <cell r="A2">
            <v>2018</v>
          </cell>
          <cell r="B2" t="str">
            <v>Total</v>
          </cell>
          <cell r="C2">
            <v>48258494</v>
          </cell>
        </row>
        <row r="3">
          <cell r="A3">
            <v>2019</v>
          </cell>
          <cell r="B3" t="str">
            <v>Total</v>
          </cell>
          <cell r="C3">
            <v>49266526</v>
          </cell>
        </row>
        <row r="4">
          <cell r="A4">
            <v>2020</v>
          </cell>
          <cell r="B4" t="str">
            <v>Total</v>
          </cell>
          <cell r="C4">
            <v>50390790</v>
          </cell>
        </row>
        <row r="5">
          <cell r="A5">
            <v>2021</v>
          </cell>
          <cell r="B5" t="str">
            <v>Total</v>
          </cell>
          <cell r="C5">
            <v>51115637</v>
          </cell>
        </row>
        <row r="6">
          <cell r="A6">
            <v>2022</v>
          </cell>
          <cell r="B6" t="str">
            <v>Total</v>
          </cell>
          <cell r="C6">
            <v>51643565</v>
          </cell>
        </row>
        <row r="7">
          <cell r="A7">
            <v>2023</v>
          </cell>
          <cell r="B7" t="str">
            <v>Total</v>
          </cell>
          <cell r="C7">
            <v>52117067</v>
          </cell>
        </row>
        <row r="8">
          <cell r="A8">
            <v>2024</v>
          </cell>
          <cell r="B8" t="str">
            <v>Total</v>
          </cell>
          <cell r="C8">
            <v>52613753</v>
          </cell>
        </row>
        <row r="9">
          <cell r="A9">
            <v>2025</v>
          </cell>
          <cell r="B9" t="str">
            <v>Total</v>
          </cell>
          <cell r="C9">
            <v>53057212</v>
          </cell>
        </row>
        <row r="10">
          <cell r="A10">
            <v>2026</v>
          </cell>
          <cell r="B10" t="str">
            <v>Total</v>
          </cell>
          <cell r="C10">
            <v>53399171</v>
          </cell>
        </row>
        <row r="11">
          <cell r="A11">
            <v>2027</v>
          </cell>
          <cell r="B11" t="str">
            <v>Total</v>
          </cell>
          <cell r="C11">
            <v>53712233</v>
          </cell>
        </row>
        <row r="12">
          <cell r="A12">
            <v>2028</v>
          </cell>
          <cell r="B12" t="str">
            <v>Total</v>
          </cell>
          <cell r="C12">
            <v>54001502</v>
          </cell>
        </row>
        <row r="13">
          <cell r="A13">
            <v>2029</v>
          </cell>
          <cell r="B13" t="str">
            <v>Total</v>
          </cell>
          <cell r="C13">
            <v>54269406</v>
          </cell>
        </row>
        <row r="14">
          <cell r="A14">
            <v>2030</v>
          </cell>
          <cell r="B14" t="str">
            <v>Total</v>
          </cell>
          <cell r="C14">
            <v>54518223</v>
          </cell>
        </row>
        <row r="15">
          <cell r="A15">
            <v>2031</v>
          </cell>
          <cell r="B15" t="str">
            <v>Total</v>
          </cell>
          <cell r="C15">
            <v>54747818</v>
          </cell>
        </row>
        <row r="16">
          <cell r="A16">
            <v>2032</v>
          </cell>
          <cell r="B16" t="str">
            <v>Total</v>
          </cell>
          <cell r="C16">
            <v>54958383</v>
          </cell>
        </row>
        <row r="17">
          <cell r="A17">
            <v>2033</v>
          </cell>
          <cell r="B17" t="str">
            <v>Total</v>
          </cell>
          <cell r="C17">
            <v>55149988</v>
          </cell>
        </row>
        <row r="18">
          <cell r="A18">
            <v>2034</v>
          </cell>
          <cell r="B18" t="str">
            <v>Total</v>
          </cell>
          <cell r="C18">
            <v>55322674</v>
          </cell>
        </row>
        <row r="19">
          <cell r="A19">
            <v>2035</v>
          </cell>
          <cell r="B19" t="str">
            <v>Total</v>
          </cell>
          <cell r="C19">
            <v>55476504</v>
          </cell>
        </row>
        <row r="20">
          <cell r="A20">
            <v>2036</v>
          </cell>
          <cell r="B20" t="str">
            <v>Total</v>
          </cell>
          <cell r="C20">
            <v>55611578</v>
          </cell>
        </row>
        <row r="21">
          <cell r="A21">
            <v>2037</v>
          </cell>
          <cell r="B21" t="str">
            <v>Total</v>
          </cell>
          <cell r="C21">
            <v>55728042</v>
          </cell>
        </row>
        <row r="22">
          <cell r="A22">
            <v>2038</v>
          </cell>
          <cell r="B22" t="str">
            <v>Total</v>
          </cell>
          <cell r="C22">
            <v>55826079</v>
          </cell>
        </row>
        <row r="23">
          <cell r="A23">
            <v>2039</v>
          </cell>
          <cell r="B23" t="str">
            <v>Total</v>
          </cell>
          <cell r="C23">
            <v>55905896</v>
          </cell>
        </row>
        <row r="24">
          <cell r="A24">
            <v>2040</v>
          </cell>
          <cell r="B24" t="str">
            <v>Total</v>
          </cell>
          <cell r="C24">
            <v>55967762</v>
          </cell>
        </row>
        <row r="25">
          <cell r="A25">
            <v>2041</v>
          </cell>
          <cell r="B25" t="str">
            <v>Total</v>
          </cell>
          <cell r="C25">
            <v>56011924</v>
          </cell>
        </row>
        <row r="26">
          <cell r="A26">
            <v>2042</v>
          </cell>
          <cell r="B26" t="str">
            <v>Total</v>
          </cell>
          <cell r="C26">
            <v>56038651</v>
          </cell>
        </row>
        <row r="27">
          <cell r="A27">
            <v>2043</v>
          </cell>
          <cell r="B27" t="str">
            <v>Total</v>
          </cell>
          <cell r="C27">
            <v>56048194</v>
          </cell>
        </row>
        <row r="28">
          <cell r="A28">
            <v>2044</v>
          </cell>
          <cell r="B28" t="str">
            <v>Total</v>
          </cell>
          <cell r="C28">
            <v>56040786</v>
          </cell>
        </row>
        <row r="29">
          <cell r="A29">
            <v>2045</v>
          </cell>
          <cell r="B29" t="str">
            <v>Total</v>
          </cell>
          <cell r="C29">
            <v>56016662</v>
          </cell>
        </row>
        <row r="30">
          <cell r="A30">
            <v>2046</v>
          </cell>
          <cell r="B30" t="str">
            <v>Total</v>
          </cell>
          <cell r="C30">
            <v>55976045</v>
          </cell>
        </row>
        <row r="31">
          <cell r="A31">
            <v>2047</v>
          </cell>
          <cell r="B31" t="str">
            <v>Total</v>
          </cell>
          <cell r="C31">
            <v>55919179</v>
          </cell>
        </row>
        <row r="32">
          <cell r="A32">
            <v>2048</v>
          </cell>
          <cell r="B32" t="str">
            <v>Total</v>
          </cell>
          <cell r="C32">
            <v>55846298</v>
          </cell>
        </row>
        <row r="33">
          <cell r="A33">
            <v>2049</v>
          </cell>
          <cell r="B33" t="str">
            <v>Total</v>
          </cell>
          <cell r="C33">
            <v>55757657</v>
          </cell>
        </row>
        <row r="34">
          <cell r="A34">
            <v>2050</v>
          </cell>
          <cell r="B34" t="str">
            <v>Total</v>
          </cell>
          <cell r="C34">
            <v>55653490</v>
          </cell>
        </row>
        <row r="35">
          <cell r="A35">
            <v>2051</v>
          </cell>
          <cell r="B35" t="str">
            <v>Total</v>
          </cell>
          <cell r="C35">
            <v>55534043</v>
          </cell>
        </row>
        <row r="36">
          <cell r="A36">
            <v>2052</v>
          </cell>
          <cell r="B36" t="str">
            <v>Total</v>
          </cell>
          <cell r="C36">
            <v>55399539</v>
          </cell>
        </row>
        <row r="37">
          <cell r="A37">
            <v>2053</v>
          </cell>
          <cell r="B37" t="str">
            <v>Total</v>
          </cell>
          <cell r="C37">
            <v>55250202</v>
          </cell>
        </row>
        <row r="38">
          <cell r="A38">
            <v>2054</v>
          </cell>
          <cell r="B38" t="str">
            <v>Total</v>
          </cell>
          <cell r="C38">
            <v>55086260</v>
          </cell>
        </row>
        <row r="39">
          <cell r="A39">
            <v>2055</v>
          </cell>
          <cell r="B39" t="str">
            <v>Total</v>
          </cell>
          <cell r="C39">
            <v>54907921</v>
          </cell>
        </row>
        <row r="40">
          <cell r="A40">
            <v>2056</v>
          </cell>
          <cell r="B40" t="str">
            <v>Total</v>
          </cell>
          <cell r="C40">
            <v>54715374</v>
          </cell>
        </row>
        <row r="41">
          <cell r="A41">
            <v>2057</v>
          </cell>
          <cell r="B41" t="str">
            <v>Total</v>
          </cell>
          <cell r="C41">
            <v>54508782</v>
          </cell>
        </row>
        <row r="42">
          <cell r="A42">
            <v>2058</v>
          </cell>
          <cell r="B42" t="str">
            <v>Total</v>
          </cell>
          <cell r="C42">
            <v>54288293</v>
          </cell>
        </row>
        <row r="43">
          <cell r="A43">
            <v>2059</v>
          </cell>
          <cell r="B43" t="str">
            <v>Total</v>
          </cell>
          <cell r="C43">
            <v>54054043</v>
          </cell>
        </row>
        <row r="44">
          <cell r="A44">
            <v>2060</v>
          </cell>
          <cell r="B44" t="str">
            <v>Total</v>
          </cell>
          <cell r="C44">
            <v>53806118</v>
          </cell>
        </row>
        <row r="45">
          <cell r="A45">
            <v>2061</v>
          </cell>
          <cell r="B45" t="str">
            <v>Total</v>
          </cell>
          <cell r="C45">
            <v>53544613</v>
          </cell>
        </row>
        <row r="46">
          <cell r="A46">
            <v>2062</v>
          </cell>
          <cell r="B46" t="str">
            <v>Total</v>
          </cell>
          <cell r="C46">
            <v>53269610</v>
          </cell>
        </row>
        <row r="47">
          <cell r="A47">
            <v>2063</v>
          </cell>
          <cell r="B47" t="str">
            <v>Total</v>
          </cell>
          <cell r="C47">
            <v>52981169</v>
          </cell>
        </row>
        <row r="48">
          <cell r="A48">
            <v>2064</v>
          </cell>
          <cell r="B48" t="str">
            <v>Total</v>
          </cell>
          <cell r="C48">
            <v>52679381</v>
          </cell>
        </row>
        <row r="49">
          <cell r="A49">
            <v>2065</v>
          </cell>
          <cell r="B49" t="str">
            <v>Total</v>
          </cell>
          <cell r="C49">
            <v>52364311</v>
          </cell>
        </row>
        <row r="50">
          <cell r="A50">
            <v>2066</v>
          </cell>
          <cell r="B50" t="str">
            <v>Total</v>
          </cell>
          <cell r="C50">
            <v>52036013</v>
          </cell>
        </row>
        <row r="51">
          <cell r="A51">
            <v>2067</v>
          </cell>
          <cell r="B51" t="str">
            <v>Total</v>
          </cell>
          <cell r="C51">
            <v>51694579</v>
          </cell>
        </row>
        <row r="52">
          <cell r="A52">
            <v>2068</v>
          </cell>
          <cell r="B52" t="str">
            <v>Total</v>
          </cell>
          <cell r="C52">
            <v>51340058</v>
          </cell>
        </row>
        <row r="53">
          <cell r="A53">
            <v>2069</v>
          </cell>
          <cell r="B53" t="str">
            <v>Total</v>
          </cell>
          <cell r="C53">
            <v>50972537</v>
          </cell>
        </row>
        <row r="54">
          <cell r="A54">
            <v>2070</v>
          </cell>
          <cell r="B54" t="str">
            <v>Total</v>
          </cell>
          <cell r="C54">
            <v>50592097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4FC61-3FA9-4B34-8553-92A3C9D4856C}">
  <dimension ref="A1:H253"/>
  <sheetViews>
    <sheetView tabSelected="1" topLeftCell="A167" workbookViewId="0">
      <selection activeCell="F187" sqref="F187"/>
    </sheetView>
  </sheetViews>
  <sheetFormatPr baseColWidth="10" defaultRowHeight="14.5" x14ac:dyDescent="0.35"/>
  <sheetData>
    <row r="1" spans="1:7" x14ac:dyDescent="0.35">
      <c r="B1" t="s">
        <v>1</v>
      </c>
      <c r="C1" t="s">
        <v>2</v>
      </c>
      <c r="D1" t="s">
        <v>0</v>
      </c>
      <c r="E1" t="s">
        <v>1</v>
      </c>
      <c r="F1" t="s">
        <v>3</v>
      </c>
      <c r="G1" t="s">
        <v>4</v>
      </c>
    </row>
    <row r="2" spans="1:7" x14ac:dyDescent="0.35">
      <c r="A2" s="1">
        <v>38353</v>
      </c>
      <c r="B2">
        <f>YEAR(A2)</f>
        <v>2005</v>
      </c>
      <c r="C2">
        <v>11.7347812802238</v>
      </c>
      <c r="D2">
        <f>EXP(C2)</f>
        <v>124839.13658945698</v>
      </c>
      <c r="E2" t="e">
        <f>VLOOKUP(B2,[1]Nacional_1950_2017!$A$2:$C$69,3,0)</f>
        <v>#N/A</v>
      </c>
      <c r="F2" t="e">
        <f>D2*1000000000/E2</f>
        <v>#N/A</v>
      </c>
      <c r="G2" t="e">
        <f>LN(F2)</f>
        <v>#N/A</v>
      </c>
    </row>
    <row r="3" spans="1:7" x14ac:dyDescent="0.35">
      <c r="A3" s="1">
        <v>38384</v>
      </c>
      <c r="B3">
        <f t="shared" ref="B3:B66" si="0">YEAR(A3)</f>
        <v>2005</v>
      </c>
      <c r="C3">
        <v>11.747017504101301</v>
      </c>
      <c r="D3">
        <f t="shared" ref="D3:D66" si="1">EXP(C3)</f>
        <v>126376.08023012828</v>
      </c>
      <c r="E3" t="e">
        <f>VLOOKUP(B3,[1]Nacional_1950_2017!$A$2:$C$69,3,0)</f>
        <v>#N/A</v>
      </c>
      <c r="F3" t="e">
        <f t="shared" ref="F3:F66" si="2">D3*1000000000/E3</f>
        <v>#N/A</v>
      </c>
      <c r="G3" t="e">
        <f t="shared" ref="G3:G66" si="3">LN(F3)</f>
        <v>#N/A</v>
      </c>
    </row>
    <row r="4" spans="1:7" x14ac:dyDescent="0.35">
      <c r="A4" s="1">
        <v>38412</v>
      </c>
      <c r="B4">
        <f t="shared" si="0"/>
        <v>2005</v>
      </c>
      <c r="C4">
        <v>11.7502531456749</v>
      </c>
      <c r="D4">
        <f t="shared" si="1"/>
        <v>126785.65018268391</v>
      </c>
      <c r="E4" t="e">
        <f>VLOOKUP(B4,[1]Nacional_1950_2017!$A$2:$C$69,3,0)</f>
        <v>#N/A</v>
      </c>
      <c r="F4" t="e">
        <f t="shared" si="2"/>
        <v>#N/A</v>
      </c>
      <c r="G4" t="e">
        <f t="shared" si="3"/>
        <v>#N/A</v>
      </c>
    </row>
    <row r="5" spans="1:7" x14ac:dyDescent="0.35">
      <c r="A5" s="1">
        <v>38443</v>
      </c>
      <c r="B5">
        <f t="shared" si="0"/>
        <v>2005</v>
      </c>
      <c r="C5">
        <v>11.773272108898899</v>
      </c>
      <c r="D5">
        <f t="shared" si="1"/>
        <v>129737.97375360945</v>
      </c>
      <c r="E5" t="e">
        <f>VLOOKUP(B5,[1]Nacional_1950_2017!$A$2:$C$69,3,0)</f>
        <v>#N/A</v>
      </c>
      <c r="F5" t="e">
        <f t="shared" si="2"/>
        <v>#N/A</v>
      </c>
      <c r="G5" t="e">
        <f t="shared" si="3"/>
        <v>#N/A</v>
      </c>
    </row>
    <row r="6" spans="1:7" x14ac:dyDescent="0.35">
      <c r="A6" s="1">
        <v>38473</v>
      </c>
      <c r="B6">
        <f t="shared" si="0"/>
        <v>2005</v>
      </c>
      <c r="C6">
        <v>11.7617608978693</v>
      </c>
      <c r="D6">
        <f t="shared" si="1"/>
        <v>128253.09533010586</v>
      </c>
      <c r="E6" t="e">
        <f>VLOOKUP(B6,[1]Nacional_1950_2017!$A$2:$C$69,3,0)</f>
        <v>#N/A</v>
      </c>
      <c r="F6" t="e">
        <f t="shared" si="2"/>
        <v>#N/A</v>
      </c>
      <c r="G6" t="e">
        <f t="shared" si="3"/>
        <v>#N/A</v>
      </c>
    </row>
    <row r="7" spans="1:7" x14ac:dyDescent="0.35">
      <c r="A7" s="1">
        <v>38504</v>
      </c>
      <c r="B7">
        <f t="shared" si="0"/>
        <v>2005</v>
      </c>
      <c r="C7">
        <v>11.7702545332318</v>
      </c>
      <c r="D7">
        <f t="shared" si="1"/>
        <v>129347.06968883204</v>
      </c>
      <c r="E7" t="e">
        <f>VLOOKUP(B7,[1]Nacional_1950_2017!$A$2:$C$69,3,0)</f>
        <v>#N/A</v>
      </c>
      <c r="F7" t="e">
        <f t="shared" si="2"/>
        <v>#N/A</v>
      </c>
      <c r="G7" t="e">
        <f t="shared" si="3"/>
        <v>#N/A</v>
      </c>
    </row>
    <row r="8" spans="1:7" x14ac:dyDescent="0.35">
      <c r="A8" s="1">
        <v>38534</v>
      </c>
      <c r="B8">
        <f t="shared" si="0"/>
        <v>2005</v>
      </c>
      <c r="C8">
        <v>11.756802721879</v>
      </c>
      <c r="D8">
        <f t="shared" si="1"/>
        <v>127618.76776550814</v>
      </c>
      <c r="E8" t="e">
        <f>VLOOKUP(B8,[1]Nacional_1950_2017!$A$2:$C$69,3,0)</f>
        <v>#N/A</v>
      </c>
      <c r="F8" t="e">
        <f t="shared" si="2"/>
        <v>#N/A</v>
      </c>
      <c r="G8" t="e">
        <f t="shared" si="3"/>
        <v>#N/A</v>
      </c>
    </row>
    <row r="9" spans="1:7" x14ac:dyDescent="0.35">
      <c r="A9" s="1">
        <v>38565</v>
      </c>
      <c r="B9">
        <f t="shared" si="0"/>
        <v>2005</v>
      </c>
      <c r="C9">
        <v>11.7705661691495</v>
      </c>
      <c r="D9">
        <f t="shared" si="1"/>
        <v>129387.38516314505</v>
      </c>
      <c r="E9" t="e">
        <f>VLOOKUP(B9,[1]Nacional_1950_2017!$A$2:$C$69,3,0)</f>
        <v>#N/A</v>
      </c>
      <c r="F9" t="e">
        <f t="shared" si="2"/>
        <v>#N/A</v>
      </c>
      <c r="G9" t="e">
        <f t="shared" si="3"/>
        <v>#N/A</v>
      </c>
    </row>
    <row r="10" spans="1:7" x14ac:dyDescent="0.35">
      <c r="A10" s="1">
        <v>38596</v>
      </c>
      <c r="B10">
        <f t="shared" si="0"/>
        <v>2005</v>
      </c>
      <c r="C10">
        <v>11.7682613789715</v>
      </c>
      <c r="D10">
        <f t="shared" si="1"/>
        <v>129089.51778142918</v>
      </c>
      <c r="E10" t="e">
        <f>VLOOKUP(B10,[1]Nacional_1950_2017!$A$2:$C$69,3,0)</f>
        <v>#N/A</v>
      </c>
      <c r="F10" t="e">
        <f t="shared" si="2"/>
        <v>#N/A</v>
      </c>
      <c r="G10" t="e">
        <f t="shared" si="3"/>
        <v>#N/A</v>
      </c>
    </row>
    <row r="11" spans="1:7" x14ac:dyDescent="0.35">
      <c r="A11" s="1">
        <v>38626</v>
      </c>
      <c r="B11">
        <f t="shared" si="0"/>
        <v>2005</v>
      </c>
      <c r="C11">
        <v>11.7712402253402</v>
      </c>
      <c r="D11">
        <f t="shared" si="1"/>
        <v>129474.62893141054</v>
      </c>
      <c r="E11" t="e">
        <f>VLOOKUP(B11,[1]Nacional_1950_2017!$A$2:$C$69,3,0)</f>
        <v>#N/A</v>
      </c>
      <c r="F11" t="e">
        <f t="shared" si="2"/>
        <v>#N/A</v>
      </c>
      <c r="G11" t="e">
        <f t="shared" si="3"/>
        <v>#N/A</v>
      </c>
    </row>
    <row r="12" spans="1:7" x14ac:dyDescent="0.35">
      <c r="A12" s="1">
        <v>38657</v>
      </c>
      <c r="B12">
        <f t="shared" si="0"/>
        <v>2005</v>
      </c>
      <c r="C12">
        <v>11.776592600469099</v>
      </c>
      <c r="D12">
        <f t="shared" si="1"/>
        <v>130169.48361775282</v>
      </c>
      <c r="E12" t="e">
        <f>VLOOKUP(B12,[1]Nacional_1950_2017!$A$2:$C$69,3,0)</f>
        <v>#N/A</v>
      </c>
      <c r="F12" t="e">
        <f t="shared" si="2"/>
        <v>#N/A</v>
      </c>
      <c r="G12" t="e">
        <f t="shared" si="3"/>
        <v>#N/A</v>
      </c>
    </row>
    <row r="13" spans="1:7" x14ac:dyDescent="0.35">
      <c r="A13" s="1">
        <v>38687</v>
      </c>
      <c r="B13">
        <f t="shared" si="0"/>
        <v>2005</v>
      </c>
      <c r="C13">
        <v>11.8021262141907</v>
      </c>
      <c r="D13">
        <f t="shared" si="1"/>
        <v>133535.9774056334</v>
      </c>
      <c r="E13" t="e">
        <f>VLOOKUP(B13,[1]Nacional_1950_2017!$A$2:$C$69,3,0)</f>
        <v>#N/A</v>
      </c>
      <c r="F13" t="e">
        <f t="shared" si="2"/>
        <v>#N/A</v>
      </c>
      <c r="G13" t="e">
        <f t="shared" si="3"/>
        <v>#N/A</v>
      </c>
    </row>
    <row r="14" spans="1:7" x14ac:dyDescent="0.35">
      <c r="A14" s="1">
        <v>38718</v>
      </c>
      <c r="B14">
        <f t="shared" si="0"/>
        <v>2006</v>
      </c>
      <c r="C14">
        <v>11.798325910299599</v>
      </c>
      <c r="D14">
        <f t="shared" si="1"/>
        <v>133029.46317470097</v>
      </c>
      <c r="E14" t="e">
        <f>VLOOKUP(B14,[1]Nacional_1950_2017!$A$2:$C$69,3,0)</f>
        <v>#N/A</v>
      </c>
      <c r="F14" t="e">
        <f t="shared" si="2"/>
        <v>#N/A</v>
      </c>
      <c r="G14" t="e">
        <f t="shared" si="3"/>
        <v>#N/A</v>
      </c>
    </row>
    <row r="15" spans="1:7" x14ac:dyDescent="0.35">
      <c r="A15" s="1">
        <v>38749</v>
      </c>
      <c r="B15">
        <f t="shared" si="0"/>
        <v>2006</v>
      </c>
      <c r="C15">
        <v>11.8054187477111</v>
      </c>
      <c r="D15">
        <f t="shared" si="1"/>
        <v>133976.37369934731</v>
      </c>
      <c r="E15" t="e">
        <f>VLOOKUP(B15,[1]Nacional_1950_2017!$A$2:$C$69,3,0)</f>
        <v>#N/A</v>
      </c>
      <c r="F15" t="e">
        <f t="shared" si="2"/>
        <v>#N/A</v>
      </c>
      <c r="G15" t="e">
        <f t="shared" si="3"/>
        <v>#N/A</v>
      </c>
    </row>
    <row r="16" spans="1:7" x14ac:dyDescent="0.35">
      <c r="A16" s="1">
        <v>38777</v>
      </c>
      <c r="B16">
        <f t="shared" si="0"/>
        <v>2006</v>
      </c>
      <c r="C16">
        <v>11.8155396119892</v>
      </c>
      <c r="D16">
        <f t="shared" si="1"/>
        <v>135339.21532842648</v>
      </c>
      <c r="E16" t="e">
        <f>VLOOKUP(B16,[1]Nacional_1950_2017!$A$2:$C$69,3,0)</f>
        <v>#N/A</v>
      </c>
      <c r="F16" t="e">
        <f t="shared" si="2"/>
        <v>#N/A</v>
      </c>
      <c r="G16" t="e">
        <f t="shared" si="3"/>
        <v>#N/A</v>
      </c>
    </row>
    <row r="17" spans="1:7" x14ac:dyDescent="0.35">
      <c r="A17" s="1">
        <v>38808</v>
      </c>
      <c r="B17">
        <f t="shared" si="0"/>
        <v>2006</v>
      </c>
      <c r="C17">
        <v>11.812663320442301</v>
      </c>
      <c r="D17">
        <f t="shared" si="1"/>
        <v>134950.4995853052</v>
      </c>
      <c r="E17" t="e">
        <f>VLOOKUP(B17,[1]Nacional_1950_2017!$A$2:$C$69,3,0)</f>
        <v>#N/A</v>
      </c>
      <c r="F17" t="e">
        <f t="shared" si="2"/>
        <v>#N/A</v>
      </c>
      <c r="G17" t="e">
        <f t="shared" si="3"/>
        <v>#N/A</v>
      </c>
    </row>
    <row r="18" spans="1:7" x14ac:dyDescent="0.35">
      <c r="A18" s="1">
        <v>38838</v>
      </c>
      <c r="B18">
        <f t="shared" si="0"/>
        <v>2006</v>
      </c>
      <c r="C18">
        <v>11.8273721536391</v>
      </c>
      <c r="D18">
        <f t="shared" si="1"/>
        <v>136950.13406697722</v>
      </c>
      <c r="E18" t="e">
        <f>VLOOKUP(B18,[1]Nacional_1950_2017!$A$2:$C$69,3,0)</f>
        <v>#N/A</v>
      </c>
      <c r="F18" t="e">
        <f t="shared" si="2"/>
        <v>#N/A</v>
      </c>
      <c r="G18" t="e">
        <f t="shared" si="3"/>
        <v>#N/A</v>
      </c>
    </row>
    <row r="19" spans="1:7" x14ac:dyDescent="0.35">
      <c r="A19" s="1">
        <v>38869</v>
      </c>
      <c r="B19">
        <f t="shared" si="0"/>
        <v>2006</v>
      </c>
      <c r="C19">
        <v>11.820035445918601</v>
      </c>
      <c r="D19">
        <f t="shared" si="1"/>
        <v>135949.0477902276</v>
      </c>
      <c r="E19" t="e">
        <f>VLOOKUP(B19,[1]Nacional_1950_2017!$A$2:$C$69,3,0)</f>
        <v>#N/A</v>
      </c>
      <c r="F19" t="e">
        <f t="shared" si="2"/>
        <v>#N/A</v>
      </c>
      <c r="G19" t="e">
        <f t="shared" si="3"/>
        <v>#N/A</v>
      </c>
    </row>
    <row r="20" spans="1:7" x14ac:dyDescent="0.35">
      <c r="A20" s="1">
        <v>38899</v>
      </c>
      <c r="B20">
        <f t="shared" si="0"/>
        <v>2006</v>
      </c>
      <c r="C20">
        <v>11.827677925989899</v>
      </c>
      <c r="D20">
        <f t="shared" si="1"/>
        <v>136992.01603426065</v>
      </c>
      <c r="E20" t="e">
        <f>VLOOKUP(B20,[1]Nacional_1950_2017!$A$2:$C$69,3,0)</f>
        <v>#N/A</v>
      </c>
      <c r="F20" t="e">
        <f t="shared" si="2"/>
        <v>#N/A</v>
      </c>
      <c r="G20" t="e">
        <f t="shared" si="3"/>
        <v>#N/A</v>
      </c>
    </row>
    <row r="21" spans="1:7" x14ac:dyDescent="0.35">
      <c r="A21" s="1">
        <v>38930</v>
      </c>
      <c r="B21">
        <f t="shared" si="0"/>
        <v>2006</v>
      </c>
      <c r="C21">
        <v>11.8402169129571</v>
      </c>
      <c r="D21">
        <f t="shared" si="1"/>
        <v>138720.57165835355</v>
      </c>
      <c r="E21" t="e">
        <f>VLOOKUP(B21,[1]Nacional_1950_2017!$A$2:$C$69,3,0)</f>
        <v>#N/A</v>
      </c>
      <c r="F21" t="e">
        <f t="shared" si="2"/>
        <v>#N/A</v>
      </c>
      <c r="G21" t="e">
        <f t="shared" si="3"/>
        <v>#N/A</v>
      </c>
    </row>
    <row r="22" spans="1:7" x14ac:dyDescent="0.35">
      <c r="A22" s="1">
        <v>38961</v>
      </c>
      <c r="B22">
        <f t="shared" si="0"/>
        <v>2006</v>
      </c>
      <c r="C22">
        <v>11.849947861053099</v>
      </c>
      <c r="D22">
        <f t="shared" si="1"/>
        <v>140077.04351579843</v>
      </c>
      <c r="E22" t="e">
        <f>VLOOKUP(B22,[1]Nacional_1950_2017!$A$2:$C$69,3,0)</f>
        <v>#N/A</v>
      </c>
      <c r="F22" t="e">
        <f t="shared" si="2"/>
        <v>#N/A</v>
      </c>
      <c r="G22" t="e">
        <f t="shared" si="3"/>
        <v>#N/A</v>
      </c>
    </row>
    <row r="23" spans="1:7" x14ac:dyDescent="0.35">
      <c r="A23" s="1">
        <v>38991</v>
      </c>
      <c r="B23">
        <f t="shared" si="0"/>
        <v>2006</v>
      </c>
      <c r="C23">
        <v>11.8491543595031</v>
      </c>
      <c r="D23">
        <f t="shared" si="1"/>
        <v>139965.93625237199</v>
      </c>
      <c r="E23" t="e">
        <f>VLOOKUP(B23,[1]Nacional_1950_2017!$A$2:$C$69,3,0)</f>
        <v>#N/A</v>
      </c>
      <c r="F23" t="e">
        <f t="shared" si="2"/>
        <v>#N/A</v>
      </c>
      <c r="G23" t="e">
        <f t="shared" si="3"/>
        <v>#N/A</v>
      </c>
    </row>
    <row r="24" spans="1:7" x14ac:dyDescent="0.35">
      <c r="A24" s="1">
        <v>39022</v>
      </c>
      <c r="B24">
        <f t="shared" si="0"/>
        <v>2006</v>
      </c>
      <c r="C24">
        <v>11.861490895785201</v>
      </c>
      <c r="D24">
        <f t="shared" si="1"/>
        <v>141703.32575310869</v>
      </c>
      <c r="E24" t="e">
        <f>VLOOKUP(B24,[1]Nacional_1950_2017!$A$2:$C$69,3,0)</f>
        <v>#N/A</v>
      </c>
      <c r="F24" t="e">
        <f t="shared" si="2"/>
        <v>#N/A</v>
      </c>
      <c r="G24" t="e">
        <f t="shared" si="3"/>
        <v>#N/A</v>
      </c>
    </row>
    <row r="25" spans="1:7" x14ac:dyDescent="0.35">
      <c r="A25" s="1">
        <v>39052</v>
      </c>
      <c r="B25">
        <f t="shared" si="0"/>
        <v>2006</v>
      </c>
      <c r="C25">
        <v>11.854324384711701</v>
      </c>
      <c r="D25">
        <f t="shared" si="1"/>
        <v>140691.4374849704</v>
      </c>
      <c r="E25" t="e">
        <f>VLOOKUP(B25,[1]Nacional_1950_2017!$A$2:$C$69,3,0)</f>
        <v>#N/A</v>
      </c>
      <c r="F25" t="e">
        <f t="shared" si="2"/>
        <v>#N/A</v>
      </c>
      <c r="G25" t="e">
        <f t="shared" si="3"/>
        <v>#N/A</v>
      </c>
    </row>
    <row r="26" spans="1:7" x14ac:dyDescent="0.35">
      <c r="A26" s="1">
        <v>39083</v>
      </c>
      <c r="B26">
        <f t="shared" si="0"/>
        <v>2007</v>
      </c>
      <c r="C26">
        <v>11.8618624101523</v>
      </c>
      <c r="D26">
        <f t="shared" si="1"/>
        <v>141755.98035485664</v>
      </c>
      <c r="E26" t="e">
        <f>VLOOKUP(B26,[1]Nacional_1950_2017!$A$2:$C$69,3,0)</f>
        <v>#N/A</v>
      </c>
      <c r="F26" t="e">
        <f t="shared" si="2"/>
        <v>#N/A</v>
      </c>
      <c r="G26" t="e">
        <f t="shared" si="3"/>
        <v>#N/A</v>
      </c>
    </row>
    <row r="27" spans="1:7" x14ac:dyDescent="0.35">
      <c r="A27" s="1">
        <v>39114</v>
      </c>
      <c r="B27">
        <f t="shared" si="0"/>
        <v>2007</v>
      </c>
      <c r="C27">
        <v>11.8739802904127</v>
      </c>
      <c r="D27">
        <f t="shared" si="1"/>
        <v>143484.21245765063</v>
      </c>
      <c r="E27" t="e">
        <f>VLOOKUP(B27,[1]Nacional_1950_2017!$A$2:$C$69,3,0)</f>
        <v>#N/A</v>
      </c>
      <c r="F27" t="e">
        <f t="shared" si="2"/>
        <v>#N/A</v>
      </c>
      <c r="G27" t="e">
        <f t="shared" si="3"/>
        <v>#N/A</v>
      </c>
    </row>
    <row r="28" spans="1:7" x14ac:dyDescent="0.35">
      <c r="A28" s="1">
        <v>39142</v>
      </c>
      <c r="B28">
        <f t="shared" si="0"/>
        <v>2007</v>
      </c>
      <c r="C28">
        <v>11.880732489434999</v>
      </c>
      <c r="D28">
        <f t="shared" si="1"/>
        <v>144456.32467089948</v>
      </c>
      <c r="E28" t="e">
        <f>VLOOKUP(B28,[1]Nacional_1950_2017!$A$2:$C$69,3,0)</f>
        <v>#N/A</v>
      </c>
      <c r="F28" t="e">
        <f t="shared" si="2"/>
        <v>#N/A</v>
      </c>
      <c r="G28" t="e">
        <f t="shared" si="3"/>
        <v>#N/A</v>
      </c>
    </row>
    <row r="29" spans="1:7" x14ac:dyDescent="0.35">
      <c r="A29" s="1">
        <v>39173</v>
      </c>
      <c r="B29">
        <f t="shared" si="0"/>
        <v>2007</v>
      </c>
      <c r="C29">
        <v>11.872324756340401</v>
      </c>
      <c r="D29">
        <f t="shared" si="1"/>
        <v>143246.86597689276</v>
      </c>
      <c r="E29" t="e">
        <f>VLOOKUP(B29,[1]Nacional_1950_2017!$A$2:$C$69,3,0)</f>
        <v>#N/A</v>
      </c>
      <c r="F29" t="e">
        <f t="shared" si="2"/>
        <v>#N/A</v>
      </c>
      <c r="G29" t="e">
        <f t="shared" si="3"/>
        <v>#N/A</v>
      </c>
    </row>
    <row r="30" spans="1:7" x14ac:dyDescent="0.35">
      <c r="A30" s="1">
        <v>39203</v>
      </c>
      <c r="B30">
        <f t="shared" si="0"/>
        <v>2007</v>
      </c>
      <c r="C30">
        <v>11.8883865222351</v>
      </c>
      <c r="D30">
        <f t="shared" si="1"/>
        <v>145566.2403650535</v>
      </c>
      <c r="E30" t="e">
        <f>VLOOKUP(B30,[1]Nacional_1950_2017!$A$2:$C$69,3,0)</f>
        <v>#N/A</v>
      </c>
      <c r="F30" t="e">
        <f t="shared" si="2"/>
        <v>#N/A</v>
      </c>
      <c r="G30" t="e">
        <f t="shared" si="3"/>
        <v>#N/A</v>
      </c>
    </row>
    <row r="31" spans="1:7" x14ac:dyDescent="0.35">
      <c r="A31" s="1">
        <v>39234</v>
      </c>
      <c r="B31">
        <f t="shared" si="0"/>
        <v>2007</v>
      </c>
      <c r="C31">
        <v>11.895393891424501</v>
      </c>
      <c r="D31">
        <f t="shared" si="1"/>
        <v>146589.85900107256</v>
      </c>
      <c r="E31" t="e">
        <f>VLOOKUP(B31,[1]Nacional_1950_2017!$A$2:$C$69,3,0)</f>
        <v>#N/A</v>
      </c>
      <c r="F31" t="e">
        <f t="shared" si="2"/>
        <v>#N/A</v>
      </c>
      <c r="G31" t="e">
        <f t="shared" si="3"/>
        <v>#N/A</v>
      </c>
    </row>
    <row r="32" spans="1:7" x14ac:dyDescent="0.35">
      <c r="A32" s="1">
        <v>39264</v>
      </c>
      <c r="B32">
        <f t="shared" si="0"/>
        <v>2007</v>
      </c>
      <c r="C32">
        <v>11.895856759418001</v>
      </c>
      <c r="D32">
        <f t="shared" si="1"/>
        <v>146657.72646060152</v>
      </c>
      <c r="E32" t="e">
        <f>VLOOKUP(B32,[1]Nacional_1950_2017!$A$2:$C$69,3,0)</f>
        <v>#N/A</v>
      </c>
      <c r="F32" t="e">
        <f t="shared" si="2"/>
        <v>#N/A</v>
      </c>
      <c r="G32" t="e">
        <f t="shared" si="3"/>
        <v>#N/A</v>
      </c>
    </row>
    <row r="33" spans="1:8" x14ac:dyDescent="0.35">
      <c r="A33" s="1">
        <v>39295</v>
      </c>
      <c r="B33">
        <f t="shared" si="0"/>
        <v>2007</v>
      </c>
      <c r="C33">
        <v>11.908199732543499</v>
      </c>
      <c r="D33">
        <f t="shared" si="1"/>
        <v>148479.13652055588</v>
      </c>
      <c r="E33" t="e">
        <f>VLOOKUP(B33,[1]Nacional_1950_2017!$A$2:$C$69,3,0)</f>
        <v>#N/A</v>
      </c>
      <c r="F33" t="e">
        <f t="shared" si="2"/>
        <v>#N/A</v>
      </c>
      <c r="G33" t="e">
        <f t="shared" si="3"/>
        <v>#N/A</v>
      </c>
    </row>
    <row r="34" spans="1:8" x14ac:dyDescent="0.35">
      <c r="A34" s="1">
        <v>39326</v>
      </c>
      <c r="B34">
        <f t="shared" si="0"/>
        <v>2007</v>
      </c>
      <c r="C34">
        <v>11.913711398038499</v>
      </c>
      <c r="D34">
        <f t="shared" si="1"/>
        <v>149299.76328671243</v>
      </c>
      <c r="E34" t="e">
        <f>VLOOKUP(B34,[1]Nacional_1950_2017!$A$2:$C$69,3,0)</f>
        <v>#N/A</v>
      </c>
      <c r="F34" t="e">
        <f t="shared" si="2"/>
        <v>#N/A</v>
      </c>
      <c r="G34" t="e">
        <f t="shared" si="3"/>
        <v>#N/A</v>
      </c>
    </row>
    <row r="35" spans="1:8" x14ac:dyDescent="0.35">
      <c r="A35" s="1">
        <v>39356</v>
      </c>
      <c r="B35">
        <f t="shared" si="0"/>
        <v>2007</v>
      </c>
      <c r="C35">
        <v>11.9150252072809</v>
      </c>
      <c r="D35">
        <f t="shared" si="1"/>
        <v>149496.04360482158</v>
      </c>
      <c r="E35" t="e">
        <f>VLOOKUP(B35,[1]Nacional_1950_2017!$A$2:$C$69,3,0)</f>
        <v>#N/A</v>
      </c>
      <c r="F35" t="e">
        <f t="shared" si="2"/>
        <v>#N/A</v>
      </c>
      <c r="G35" t="e">
        <f t="shared" si="3"/>
        <v>#N/A</v>
      </c>
    </row>
    <row r="36" spans="1:8" x14ac:dyDescent="0.35">
      <c r="A36" s="1">
        <v>39387</v>
      </c>
      <c r="B36">
        <f t="shared" si="0"/>
        <v>2007</v>
      </c>
      <c r="C36">
        <v>11.9223693774768</v>
      </c>
      <c r="D36">
        <f t="shared" si="1"/>
        <v>150598.00955236153</v>
      </c>
      <c r="E36" t="e">
        <f>VLOOKUP(B36,[1]Nacional_1950_2017!$A$2:$C$69,3,0)</f>
        <v>#N/A</v>
      </c>
      <c r="F36" t="e">
        <f t="shared" si="2"/>
        <v>#N/A</v>
      </c>
      <c r="G36" t="e">
        <f t="shared" si="3"/>
        <v>#N/A</v>
      </c>
    </row>
    <row r="37" spans="1:8" x14ac:dyDescent="0.35">
      <c r="A37" s="1">
        <v>39417</v>
      </c>
      <c r="B37">
        <f t="shared" si="0"/>
        <v>2007</v>
      </c>
      <c r="C37">
        <v>11.9169811652423</v>
      </c>
      <c r="D37">
        <f t="shared" si="1"/>
        <v>149788.73773690205</v>
      </c>
      <c r="E37" t="e">
        <f>VLOOKUP(B37,[1]Nacional_1950_2017!$A$2:$C$69,3,0)</f>
        <v>#N/A</v>
      </c>
      <c r="F37" t="e">
        <f t="shared" si="2"/>
        <v>#N/A</v>
      </c>
      <c r="G37" t="e">
        <f t="shared" si="3"/>
        <v>#N/A</v>
      </c>
    </row>
    <row r="38" spans="1:8" x14ac:dyDescent="0.35">
      <c r="A38" s="1">
        <v>39448</v>
      </c>
      <c r="B38">
        <f t="shared" si="0"/>
        <v>2008</v>
      </c>
      <c r="C38">
        <v>11.9262765554429</v>
      </c>
      <c r="D38">
        <f t="shared" si="1"/>
        <v>151187.57379320308</v>
      </c>
      <c r="E38" t="e">
        <f>VLOOKUP(B38,[1]Nacional_1950_2017!$A$2:$C$69,3,0)</f>
        <v>#N/A</v>
      </c>
      <c r="F38" t="e">
        <f t="shared" si="2"/>
        <v>#N/A</v>
      </c>
      <c r="G38" t="e">
        <f t="shared" si="3"/>
        <v>#N/A</v>
      </c>
      <c r="H38">
        <v>10.825867333967221</v>
      </c>
    </row>
    <row r="39" spans="1:8" x14ac:dyDescent="0.35">
      <c r="A39" s="1">
        <v>39479</v>
      </c>
      <c r="B39">
        <f t="shared" si="0"/>
        <v>2008</v>
      </c>
      <c r="C39">
        <v>11.9273825354145</v>
      </c>
      <c r="D39">
        <f t="shared" si="1"/>
        <v>151354.87672156346</v>
      </c>
      <c r="E39" t="e">
        <f>VLOOKUP(B39,[1]Nacional_1950_2017!$A$2:$C$69,3,0)</f>
        <v>#N/A</v>
      </c>
      <c r="F39" t="e">
        <f t="shared" si="2"/>
        <v>#N/A</v>
      </c>
      <c r="G39" t="e">
        <f t="shared" si="3"/>
        <v>#N/A</v>
      </c>
      <c r="H39">
        <v>10.821969201776701</v>
      </c>
    </row>
    <row r="40" spans="1:8" x14ac:dyDescent="0.35">
      <c r="A40" s="1">
        <v>39508</v>
      </c>
      <c r="B40">
        <f t="shared" si="0"/>
        <v>2008</v>
      </c>
      <c r="C40">
        <v>11.913386829142601</v>
      </c>
      <c r="D40">
        <f t="shared" si="1"/>
        <v>149251.31309052324</v>
      </c>
      <c r="E40" t="e">
        <f>VLOOKUP(B40,[1]Nacional_1950_2017!$A$2:$C$69,3,0)</f>
        <v>#N/A</v>
      </c>
      <c r="F40" t="e">
        <f t="shared" si="2"/>
        <v>#N/A</v>
      </c>
      <c r="G40" t="e">
        <f t="shared" si="3"/>
        <v>#N/A</v>
      </c>
      <c r="H40">
        <v>10.820108597168071</v>
      </c>
    </row>
    <row r="41" spans="1:8" x14ac:dyDescent="0.35">
      <c r="A41" s="1">
        <v>39539</v>
      </c>
      <c r="B41">
        <f t="shared" si="0"/>
        <v>2008</v>
      </c>
      <c r="C41">
        <v>11.9341717704538</v>
      </c>
      <c r="D41">
        <f t="shared" si="1"/>
        <v>152385.95671566014</v>
      </c>
      <c r="E41" t="e">
        <f>VLOOKUP(B41,[1]Nacional_1950_2017!$A$2:$C$69,3,0)</f>
        <v>#N/A</v>
      </c>
      <c r="F41" t="e">
        <f t="shared" si="2"/>
        <v>#N/A</v>
      </c>
      <c r="G41" t="e">
        <f t="shared" si="3"/>
        <v>#N/A</v>
      </c>
      <c r="H41">
        <v>10.829742946313367</v>
      </c>
    </row>
    <row r="42" spans="1:8" x14ac:dyDescent="0.35">
      <c r="A42" s="1">
        <v>39569</v>
      </c>
      <c r="B42">
        <f t="shared" si="0"/>
        <v>2008</v>
      </c>
      <c r="C42">
        <v>11.925411660122</v>
      </c>
      <c r="D42">
        <f t="shared" si="1"/>
        <v>151056.86889922444</v>
      </c>
      <c r="E42" t="e">
        <f>VLOOKUP(B42,[1]Nacional_1950_2017!$A$2:$C$69,3,0)</f>
        <v>#N/A</v>
      </c>
      <c r="F42" t="e">
        <f t="shared" si="2"/>
        <v>#N/A</v>
      </c>
      <c r="G42" t="e">
        <f t="shared" si="3"/>
        <v>#N/A</v>
      </c>
      <c r="H42">
        <v>10.823827156518615</v>
      </c>
    </row>
    <row r="43" spans="1:8" x14ac:dyDescent="0.35">
      <c r="A43" s="1">
        <v>39600</v>
      </c>
      <c r="B43">
        <f t="shared" si="0"/>
        <v>2008</v>
      </c>
      <c r="C43">
        <v>11.929226859424199</v>
      </c>
      <c r="D43">
        <f t="shared" si="1"/>
        <v>151634.28173217046</v>
      </c>
      <c r="E43" t="e">
        <f>VLOOKUP(B43,[1]Nacional_1950_2017!$A$2:$C$69,3,0)</f>
        <v>#N/A</v>
      </c>
      <c r="F43" t="e">
        <f t="shared" si="2"/>
        <v>#N/A</v>
      </c>
      <c r="G43" t="e">
        <f t="shared" si="3"/>
        <v>#N/A</v>
      </c>
      <c r="H43">
        <v>10.836154142790827</v>
      </c>
    </row>
    <row r="44" spans="1:8" x14ac:dyDescent="0.35">
      <c r="A44" s="1">
        <v>39630</v>
      </c>
      <c r="B44">
        <f t="shared" si="0"/>
        <v>2008</v>
      </c>
      <c r="C44">
        <v>11.9407834548244</v>
      </c>
      <c r="D44">
        <f t="shared" si="1"/>
        <v>153396.8226447636</v>
      </c>
      <c r="E44" t="e">
        <f>VLOOKUP(B44,[1]Nacional_1950_2017!$A$2:$C$69,3,0)</f>
        <v>#N/A</v>
      </c>
      <c r="F44" t="e">
        <f t="shared" si="2"/>
        <v>#N/A</v>
      </c>
      <c r="G44" t="e">
        <f t="shared" si="3"/>
        <v>#N/A</v>
      </c>
      <c r="H44">
        <v>10.839897642348799</v>
      </c>
    </row>
    <row r="45" spans="1:8" x14ac:dyDescent="0.35">
      <c r="A45" s="1">
        <v>39661</v>
      </c>
      <c r="B45">
        <f t="shared" si="0"/>
        <v>2008</v>
      </c>
      <c r="C45">
        <v>11.9344170982662</v>
      </c>
      <c r="D45">
        <f t="shared" si="1"/>
        <v>152423.34581516727</v>
      </c>
      <c r="E45" t="e">
        <f>VLOOKUP(B45,[1]Nacional_1950_2017!$A$2:$C$69,3,0)</f>
        <v>#N/A</v>
      </c>
      <c r="F45" t="e">
        <f t="shared" si="2"/>
        <v>#N/A</v>
      </c>
      <c r="G45" t="e">
        <f t="shared" si="3"/>
        <v>#N/A</v>
      </c>
      <c r="H45">
        <v>10.8444109041974</v>
      </c>
    </row>
    <row r="46" spans="1:8" x14ac:dyDescent="0.35">
      <c r="A46" s="1">
        <v>39692</v>
      </c>
      <c r="B46">
        <f t="shared" si="0"/>
        <v>2008</v>
      </c>
      <c r="C46">
        <v>11.9394016969094</v>
      </c>
      <c r="D46">
        <f t="shared" si="1"/>
        <v>153185.01174033521</v>
      </c>
      <c r="E46" t="e">
        <f>VLOOKUP(B46,[1]Nacional_1950_2017!$A$2:$C$69,3,0)</f>
        <v>#N/A</v>
      </c>
      <c r="F46" t="e">
        <f t="shared" si="2"/>
        <v>#N/A</v>
      </c>
      <c r="G46" t="e">
        <f t="shared" si="3"/>
        <v>#N/A</v>
      </c>
      <c r="H46">
        <v>10.839584155187378</v>
      </c>
    </row>
    <row r="47" spans="1:8" x14ac:dyDescent="0.35">
      <c r="A47" s="1">
        <v>39722</v>
      </c>
      <c r="B47">
        <f t="shared" si="0"/>
        <v>2008</v>
      </c>
      <c r="C47">
        <v>11.933688948739301</v>
      </c>
      <c r="D47">
        <f t="shared" si="1"/>
        <v>152312.39922577876</v>
      </c>
      <c r="E47" t="e">
        <f>VLOOKUP(B47,[1]Nacional_1950_2017!$A$2:$C$69,3,0)</f>
        <v>#N/A</v>
      </c>
      <c r="F47" t="e">
        <f t="shared" si="2"/>
        <v>#N/A</v>
      </c>
      <c r="G47" t="e">
        <f t="shared" si="3"/>
        <v>#N/A</v>
      </c>
      <c r="H47">
        <v>10.830423050220965</v>
      </c>
    </row>
    <row r="48" spans="1:8" x14ac:dyDescent="0.35">
      <c r="A48" s="1">
        <v>39753</v>
      </c>
      <c r="B48">
        <f t="shared" si="0"/>
        <v>2008</v>
      </c>
      <c r="C48">
        <v>11.9093339319333</v>
      </c>
      <c r="D48">
        <f t="shared" si="1"/>
        <v>148647.6370051057</v>
      </c>
      <c r="E48" t="e">
        <f>VLOOKUP(B48,[1]Nacional_1950_2017!$A$2:$C$69,3,0)</f>
        <v>#N/A</v>
      </c>
      <c r="F48" t="e">
        <f t="shared" si="2"/>
        <v>#N/A</v>
      </c>
      <c r="G48" t="e">
        <f t="shared" si="3"/>
        <v>#N/A</v>
      </c>
      <c r="H48">
        <v>10.817040099576738</v>
      </c>
    </row>
    <row r="49" spans="1:8" x14ac:dyDescent="0.35">
      <c r="A49" s="1">
        <v>39783</v>
      </c>
      <c r="B49">
        <f t="shared" si="0"/>
        <v>2008</v>
      </c>
      <c r="C49">
        <v>11.920648069327401</v>
      </c>
      <c r="D49">
        <f t="shared" si="1"/>
        <v>150339.00694683348</v>
      </c>
      <c r="E49" t="e">
        <f>VLOOKUP(B49,[1]Nacional_1950_2017!$A$2:$C$69,3,0)</f>
        <v>#N/A</v>
      </c>
      <c r="F49" t="e">
        <f t="shared" si="2"/>
        <v>#N/A</v>
      </c>
      <c r="G49" t="e">
        <f t="shared" si="3"/>
        <v>#N/A</v>
      </c>
      <c r="H49">
        <v>10.821590977020024</v>
      </c>
    </row>
    <row r="50" spans="1:8" x14ac:dyDescent="0.35">
      <c r="A50" s="1">
        <v>39814</v>
      </c>
      <c r="B50">
        <f t="shared" si="0"/>
        <v>2009</v>
      </c>
      <c r="C50">
        <v>11.912278004576899</v>
      </c>
      <c r="D50">
        <f t="shared" si="1"/>
        <v>149085.91128584408</v>
      </c>
      <c r="E50" t="e">
        <f>VLOOKUP(B50,[1]Nacional_1950_2017!$A$2:$C$69,3,0)</f>
        <v>#N/A</v>
      </c>
      <c r="F50" t="e">
        <f t="shared" si="2"/>
        <v>#N/A</v>
      </c>
      <c r="G50" t="e">
        <f t="shared" si="3"/>
        <v>#N/A</v>
      </c>
      <c r="H50">
        <v>10.81614980515544</v>
      </c>
    </row>
    <row r="51" spans="1:8" x14ac:dyDescent="0.35">
      <c r="A51" s="1">
        <v>39845</v>
      </c>
      <c r="B51">
        <f t="shared" si="0"/>
        <v>2009</v>
      </c>
      <c r="C51">
        <v>11.9319054773367</v>
      </c>
      <c r="D51">
        <f t="shared" si="1"/>
        <v>152040.99650892935</v>
      </c>
      <c r="E51" t="e">
        <f>VLOOKUP(B51,[1]Nacional_1950_2017!$A$2:$C$69,3,0)</f>
        <v>#N/A</v>
      </c>
      <c r="F51" t="e">
        <f t="shared" si="2"/>
        <v>#N/A</v>
      </c>
      <c r="G51" t="e">
        <f t="shared" si="3"/>
        <v>#N/A</v>
      </c>
      <c r="H51">
        <v>10.833584210055569</v>
      </c>
    </row>
    <row r="52" spans="1:8" x14ac:dyDescent="0.35">
      <c r="A52" s="1">
        <v>39873</v>
      </c>
      <c r="B52">
        <f t="shared" si="0"/>
        <v>2009</v>
      </c>
      <c r="C52">
        <v>11.927498248086399</v>
      </c>
      <c r="D52">
        <f t="shared" si="1"/>
        <v>151372.3914120702</v>
      </c>
      <c r="E52" t="e">
        <f>VLOOKUP(B52,[1]Nacional_1950_2017!$A$2:$C$69,3,0)</f>
        <v>#N/A</v>
      </c>
      <c r="F52" t="e">
        <f t="shared" si="2"/>
        <v>#N/A</v>
      </c>
      <c r="G52" t="e">
        <f t="shared" si="3"/>
        <v>#N/A</v>
      </c>
      <c r="H52">
        <v>10.833640268374779</v>
      </c>
    </row>
    <row r="53" spans="1:8" x14ac:dyDescent="0.35">
      <c r="A53" s="1">
        <v>39904</v>
      </c>
      <c r="B53">
        <f t="shared" si="0"/>
        <v>2009</v>
      </c>
      <c r="C53">
        <v>11.9362488779439</v>
      </c>
      <c r="D53">
        <f t="shared" si="1"/>
        <v>152702.80768057873</v>
      </c>
      <c r="E53" t="e">
        <f>VLOOKUP(B53,[1]Nacional_1950_2017!$A$2:$C$69,3,0)</f>
        <v>#N/A</v>
      </c>
      <c r="F53" t="e">
        <f t="shared" si="2"/>
        <v>#N/A</v>
      </c>
      <c r="G53" t="e">
        <f t="shared" si="3"/>
        <v>#N/A</v>
      </c>
      <c r="H53">
        <v>10.834417255655621</v>
      </c>
    </row>
    <row r="54" spans="1:8" x14ac:dyDescent="0.35">
      <c r="A54" s="1">
        <v>39934</v>
      </c>
      <c r="B54">
        <f t="shared" si="0"/>
        <v>2009</v>
      </c>
      <c r="C54">
        <v>11.935628658150399</v>
      </c>
      <c r="D54">
        <f t="shared" si="1"/>
        <v>152608.12774095353</v>
      </c>
      <c r="E54" t="e">
        <f>VLOOKUP(B54,[1]Nacional_1950_2017!$A$2:$C$69,3,0)</f>
        <v>#N/A</v>
      </c>
      <c r="F54" t="e">
        <f t="shared" si="2"/>
        <v>#N/A</v>
      </c>
      <c r="G54" t="e">
        <f t="shared" si="3"/>
        <v>#N/A</v>
      </c>
      <c r="H54">
        <v>10.841459794326221</v>
      </c>
    </row>
    <row r="55" spans="1:8" x14ac:dyDescent="0.35">
      <c r="A55" s="1">
        <v>39965</v>
      </c>
      <c r="B55">
        <f t="shared" si="0"/>
        <v>2009</v>
      </c>
      <c r="C55">
        <v>11.9327493539058</v>
      </c>
      <c r="D55">
        <f t="shared" si="1"/>
        <v>152169.35449495696</v>
      </c>
      <c r="E55" t="e">
        <f>VLOOKUP(B55,[1]Nacional_1950_2017!$A$2:$C$69,3,0)</f>
        <v>#N/A</v>
      </c>
      <c r="F55" t="e">
        <f t="shared" si="2"/>
        <v>#N/A</v>
      </c>
      <c r="G55" t="e">
        <f t="shared" si="3"/>
        <v>#N/A</v>
      </c>
      <c r="H55">
        <v>10.834374868494265</v>
      </c>
    </row>
    <row r="56" spans="1:8" x14ac:dyDescent="0.35">
      <c r="A56" s="1">
        <v>39995</v>
      </c>
      <c r="B56">
        <f t="shared" si="0"/>
        <v>2009</v>
      </c>
      <c r="C56">
        <v>11.956657535969599</v>
      </c>
      <c r="D56">
        <f t="shared" si="1"/>
        <v>155851.28588845077</v>
      </c>
      <c r="E56" t="e">
        <f>VLOOKUP(B56,[1]Nacional_1950_2017!$A$2:$C$69,3,0)</f>
        <v>#N/A</v>
      </c>
      <c r="F56" t="e">
        <f t="shared" si="2"/>
        <v>#N/A</v>
      </c>
      <c r="G56" t="e">
        <f t="shared" si="3"/>
        <v>#N/A</v>
      </c>
      <c r="H56">
        <v>10.854577588686901</v>
      </c>
    </row>
    <row r="57" spans="1:8" x14ac:dyDescent="0.35">
      <c r="A57" s="1">
        <v>40026</v>
      </c>
      <c r="B57">
        <f t="shared" si="0"/>
        <v>2009</v>
      </c>
      <c r="C57">
        <v>11.9326794674885</v>
      </c>
      <c r="D57">
        <f t="shared" si="1"/>
        <v>152158.72029554576</v>
      </c>
      <c r="E57" t="e">
        <f>VLOOKUP(B57,[1]Nacional_1950_2017!$A$2:$C$69,3,0)</f>
        <v>#N/A</v>
      </c>
      <c r="F57" t="e">
        <f t="shared" si="2"/>
        <v>#N/A</v>
      </c>
      <c r="G57" t="e">
        <f t="shared" si="3"/>
        <v>#N/A</v>
      </c>
      <c r="H57">
        <v>10.838387105995356</v>
      </c>
    </row>
    <row r="58" spans="1:8" x14ac:dyDescent="0.35">
      <c r="A58" s="1">
        <v>40057</v>
      </c>
      <c r="B58">
        <f t="shared" si="0"/>
        <v>2009</v>
      </c>
      <c r="C58">
        <v>11.9457597165419</v>
      </c>
      <c r="D58">
        <f t="shared" si="1"/>
        <v>154162.06783188338</v>
      </c>
      <c r="E58" t="e">
        <f>VLOOKUP(B58,[1]Nacional_1950_2017!$A$2:$C$69,3,0)</f>
        <v>#N/A</v>
      </c>
      <c r="F58" t="e">
        <f t="shared" si="2"/>
        <v>#N/A</v>
      </c>
      <c r="G58" t="e">
        <f t="shared" si="3"/>
        <v>#N/A</v>
      </c>
      <c r="H58">
        <v>10.841886416758975</v>
      </c>
    </row>
    <row r="59" spans="1:8" x14ac:dyDescent="0.35">
      <c r="A59" s="1">
        <v>40087</v>
      </c>
      <c r="B59">
        <f t="shared" si="0"/>
        <v>2009</v>
      </c>
      <c r="C59">
        <v>11.9483335265279</v>
      </c>
      <c r="D59">
        <f t="shared" si="1"/>
        <v>154559.36276303884</v>
      </c>
      <c r="E59" t="e">
        <f>VLOOKUP(B59,[1]Nacional_1950_2017!$A$2:$C$69,3,0)</f>
        <v>#N/A</v>
      </c>
      <c r="F59" t="e">
        <f t="shared" si="2"/>
        <v>#N/A</v>
      </c>
      <c r="G59" t="e">
        <f t="shared" si="3"/>
        <v>#N/A</v>
      </c>
      <c r="H59">
        <v>10.844436789663195</v>
      </c>
    </row>
    <row r="60" spans="1:8" x14ac:dyDescent="0.35">
      <c r="A60" s="1">
        <v>40118</v>
      </c>
      <c r="B60">
        <f t="shared" si="0"/>
        <v>2009</v>
      </c>
      <c r="C60">
        <v>11.946961460474901</v>
      </c>
      <c r="D60">
        <f t="shared" si="1"/>
        <v>154347.44252574636</v>
      </c>
      <c r="E60" t="e">
        <f>VLOOKUP(B60,[1]Nacional_1950_2017!$A$2:$C$69,3,0)</f>
        <v>#N/A</v>
      </c>
      <c r="F60" t="e">
        <f t="shared" si="2"/>
        <v>#N/A</v>
      </c>
      <c r="G60" t="e">
        <f t="shared" si="3"/>
        <v>#N/A</v>
      </c>
      <c r="H60">
        <v>10.852347466077704</v>
      </c>
    </row>
    <row r="61" spans="1:8" x14ac:dyDescent="0.35">
      <c r="A61" s="1">
        <v>40148</v>
      </c>
      <c r="B61">
        <f t="shared" si="0"/>
        <v>2009</v>
      </c>
      <c r="C61">
        <v>11.9629846229971</v>
      </c>
      <c r="D61">
        <f t="shared" si="1"/>
        <v>156840.49664889241</v>
      </c>
      <c r="E61" t="e">
        <f>VLOOKUP(B61,[1]Nacional_1950_2017!$A$2:$C$69,3,0)</f>
        <v>#N/A</v>
      </c>
      <c r="F61" t="e">
        <f t="shared" si="2"/>
        <v>#N/A</v>
      </c>
      <c r="G61" t="e">
        <f t="shared" si="3"/>
        <v>#N/A</v>
      </c>
      <c r="H61">
        <v>10.861009980720585</v>
      </c>
    </row>
    <row r="62" spans="1:8" x14ac:dyDescent="0.35">
      <c r="A62" s="1">
        <v>40179</v>
      </c>
      <c r="B62">
        <f t="shared" si="0"/>
        <v>2010</v>
      </c>
      <c r="C62">
        <v>11.949628803523</v>
      </c>
      <c r="D62">
        <f t="shared" si="1"/>
        <v>154759.68966140645</v>
      </c>
      <c r="E62" t="e">
        <f>VLOOKUP(B62,[1]Nacional_1950_2017!$A$2:$C$69,3,0)</f>
        <v>#N/A</v>
      </c>
      <c r="F62" t="e">
        <f t="shared" si="2"/>
        <v>#N/A</v>
      </c>
      <c r="G62" t="e">
        <f t="shared" si="3"/>
        <v>#N/A</v>
      </c>
      <c r="H62">
        <v>10.860333865131429</v>
      </c>
    </row>
    <row r="63" spans="1:8" x14ac:dyDescent="0.35">
      <c r="A63" s="1">
        <v>40210</v>
      </c>
      <c r="B63">
        <f t="shared" si="0"/>
        <v>2010</v>
      </c>
      <c r="C63">
        <v>11.9652976357039</v>
      </c>
      <c r="D63">
        <f t="shared" si="1"/>
        <v>157203.69058475166</v>
      </c>
      <c r="E63" t="e">
        <f>VLOOKUP(B63,[1]Nacional_1950_2017!$A$2:$C$69,3,0)</f>
        <v>#N/A</v>
      </c>
      <c r="F63" t="e">
        <f t="shared" si="2"/>
        <v>#N/A</v>
      </c>
      <c r="G63" t="e">
        <f t="shared" si="3"/>
        <v>#N/A</v>
      </c>
      <c r="H63">
        <v>10.868608399249467</v>
      </c>
    </row>
    <row r="64" spans="1:8" x14ac:dyDescent="0.35">
      <c r="A64" s="1">
        <v>40238</v>
      </c>
      <c r="B64">
        <f t="shared" si="0"/>
        <v>2010</v>
      </c>
      <c r="C64">
        <v>11.971088140773</v>
      </c>
      <c r="D64">
        <f t="shared" si="1"/>
        <v>158116.61996218635</v>
      </c>
      <c r="E64" t="e">
        <f>VLOOKUP(B64,[1]Nacional_1950_2017!$A$2:$C$69,3,0)</f>
        <v>#N/A</v>
      </c>
      <c r="F64" t="e">
        <f t="shared" si="2"/>
        <v>#N/A</v>
      </c>
      <c r="G64" t="e">
        <f t="shared" si="3"/>
        <v>#N/A</v>
      </c>
      <c r="H64">
        <v>10.868566455913616</v>
      </c>
    </row>
    <row r="65" spans="1:8" x14ac:dyDescent="0.35">
      <c r="A65" s="1">
        <v>40269</v>
      </c>
      <c r="B65">
        <f t="shared" si="0"/>
        <v>2010</v>
      </c>
      <c r="C65">
        <v>11.978276901844</v>
      </c>
      <c r="D65">
        <f t="shared" si="1"/>
        <v>159257.37797013068</v>
      </c>
      <c r="E65" t="e">
        <f>VLOOKUP(B65,[1]Nacional_1950_2017!$A$2:$C$69,3,0)</f>
        <v>#N/A</v>
      </c>
      <c r="F65" t="e">
        <f t="shared" si="2"/>
        <v>#N/A</v>
      </c>
      <c r="G65" t="e">
        <f t="shared" si="3"/>
        <v>#N/A</v>
      </c>
      <c r="H65">
        <v>10.876618527072992</v>
      </c>
    </row>
    <row r="66" spans="1:8" x14ac:dyDescent="0.35">
      <c r="A66" s="1">
        <v>40299</v>
      </c>
      <c r="B66">
        <f t="shared" si="0"/>
        <v>2010</v>
      </c>
      <c r="C66">
        <v>11.9763121730237</v>
      </c>
      <c r="D66">
        <f t="shared" si="1"/>
        <v>158944.78758800786</v>
      </c>
      <c r="E66" t="e">
        <f>VLOOKUP(B66,[1]Nacional_1950_2017!$A$2:$C$69,3,0)</f>
        <v>#N/A</v>
      </c>
      <c r="F66" t="e">
        <f t="shared" si="2"/>
        <v>#N/A</v>
      </c>
      <c r="G66" t="e">
        <f t="shared" si="3"/>
        <v>#N/A</v>
      </c>
      <c r="H66">
        <v>10.877461236046104</v>
      </c>
    </row>
    <row r="67" spans="1:8" x14ac:dyDescent="0.35">
      <c r="A67" s="1">
        <v>40330</v>
      </c>
      <c r="B67">
        <f t="shared" ref="B67:B130" si="4">YEAR(A67)</f>
        <v>2010</v>
      </c>
      <c r="C67">
        <v>11.9800061251324</v>
      </c>
      <c r="D67">
        <f t="shared" ref="D67:D130" si="5">EXP(C67)</f>
        <v>159533.00778102753</v>
      </c>
      <c r="E67" t="e">
        <f>VLOOKUP(B67,[1]Nacional_1950_2017!$A$2:$C$69,3,0)</f>
        <v>#N/A</v>
      </c>
      <c r="F67" t="e">
        <f t="shared" ref="F67:F130" si="6">D67*1000000000/E67</f>
        <v>#N/A</v>
      </c>
      <c r="G67" t="e">
        <f t="shared" ref="G67:G130" si="7">LN(F67)</f>
        <v>#N/A</v>
      </c>
      <c r="H67">
        <v>10.878114822387875</v>
      </c>
    </row>
    <row r="68" spans="1:8" x14ac:dyDescent="0.35">
      <c r="A68" s="1">
        <v>40360</v>
      </c>
      <c r="B68">
        <f t="shared" si="4"/>
        <v>2010</v>
      </c>
      <c r="C68">
        <v>11.9812516705648</v>
      </c>
      <c r="D68">
        <f t="shared" si="5"/>
        <v>159731.83719001233</v>
      </c>
      <c r="E68" t="e">
        <f>VLOOKUP(B68,[1]Nacional_1950_2017!$A$2:$C$69,3,0)</f>
        <v>#N/A</v>
      </c>
      <c r="F68" t="e">
        <f t="shared" si="6"/>
        <v>#N/A</v>
      </c>
      <c r="G68" t="e">
        <f t="shared" si="7"/>
        <v>#N/A</v>
      </c>
      <c r="H68">
        <v>10.879100072900387</v>
      </c>
    </row>
    <row r="69" spans="1:8" x14ac:dyDescent="0.35">
      <c r="A69" s="1">
        <v>40391</v>
      </c>
      <c r="B69">
        <f t="shared" si="4"/>
        <v>2010</v>
      </c>
      <c r="C69">
        <v>11.981282524825</v>
      </c>
      <c r="D69">
        <f t="shared" si="5"/>
        <v>159736.76567371108</v>
      </c>
      <c r="E69" t="e">
        <f>VLOOKUP(B69,[1]Nacional_1950_2017!$A$2:$C$69,3,0)</f>
        <v>#N/A</v>
      </c>
      <c r="F69" t="e">
        <f t="shared" si="6"/>
        <v>#N/A</v>
      </c>
      <c r="G69" t="e">
        <f t="shared" si="7"/>
        <v>#N/A</v>
      </c>
      <c r="H69">
        <v>10.887938912177946</v>
      </c>
    </row>
    <row r="70" spans="1:8" x14ac:dyDescent="0.35">
      <c r="A70" s="1">
        <v>40422</v>
      </c>
      <c r="B70">
        <f t="shared" si="4"/>
        <v>2010</v>
      </c>
      <c r="C70">
        <v>11.9942037646102</v>
      </c>
      <c r="D70">
        <f t="shared" si="5"/>
        <v>161814.15504553381</v>
      </c>
      <c r="E70" t="e">
        <f>VLOOKUP(B70,[1]Nacional_1950_2017!$A$2:$C$69,3,0)</f>
        <v>#N/A</v>
      </c>
      <c r="F70" t="e">
        <f t="shared" si="6"/>
        <v>#N/A</v>
      </c>
      <c r="G70" t="e">
        <f t="shared" si="7"/>
        <v>#N/A</v>
      </c>
      <c r="H70">
        <v>10.893440745274395</v>
      </c>
    </row>
    <row r="71" spans="1:8" x14ac:dyDescent="0.35">
      <c r="A71" s="1">
        <v>40452</v>
      </c>
      <c r="B71">
        <f t="shared" si="4"/>
        <v>2010</v>
      </c>
      <c r="C71">
        <v>12.000111715083399</v>
      </c>
      <c r="D71">
        <f t="shared" si="5"/>
        <v>162772.97459974978</v>
      </c>
      <c r="E71" t="e">
        <f>VLOOKUP(B71,[1]Nacional_1950_2017!$A$2:$C$69,3,0)</f>
        <v>#N/A</v>
      </c>
      <c r="F71" t="e">
        <f t="shared" si="6"/>
        <v>#N/A</v>
      </c>
      <c r="G71" t="e">
        <f t="shared" si="7"/>
        <v>#N/A</v>
      </c>
      <c r="H71">
        <v>10.906388962479243</v>
      </c>
    </row>
    <row r="72" spans="1:8" x14ac:dyDescent="0.35">
      <c r="A72" s="1">
        <v>40483</v>
      </c>
      <c r="B72">
        <f t="shared" si="4"/>
        <v>2010</v>
      </c>
      <c r="C72">
        <v>11.999855466803901</v>
      </c>
      <c r="D72">
        <f t="shared" si="5"/>
        <v>162731.26964869892</v>
      </c>
      <c r="E72" t="e">
        <f>VLOOKUP(B72,[1]Nacional_1950_2017!$A$2:$C$69,3,0)</f>
        <v>#N/A</v>
      </c>
      <c r="F72" t="e">
        <f t="shared" si="6"/>
        <v>#N/A</v>
      </c>
      <c r="G72" t="e">
        <f t="shared" si="7"/>
        <v>#N/A</v>
      </c>
      <c r="H72">
        <v>10.902345496187481</v>
      </c>
    </row>
    <row r="73" spans="1:8" x14ac:dyDescent="0.35">
      <c r="A73" s="1">
        <v>40513</v>
      </c>
      <c r="B73">
        <f t="shared" si="4"/>
        <v>2010</v>
      </c>
      <c r="C73">
        <v>12.0191386181127</v>
      </c>
      <c r="D73">
        <f t="shared" si="5"/>
        <v>165899.6917471643</v>
      </c>
      <c r="E73" t="e">
        <f>VLOOKUP(B73,[1]Nacional_1950_2017!$A$2:$C$69,3,0)</f>
        <v>#N/A</v>
      </c>
      <c r="F73" t="e">
        <f t="shared" si="6"/>
        <v>#N/A</v>
      </c>
      <c r="G73" t="e">
        <f t="shared" si="7"/>
        <v>#N/A</v>
      </c>
      <c r="H73">
        <v>10.914190320847265</v>
      </c>
    </row>
    <row r="74" spans="1:8" x14ac:dyDescent="0.35">
      <c r="A74" s="1">
        <v>40544</v>
      </c>
      <c r="B74">
        <f t="shared" si="4"/>
        <v>2011</v>
      </c>
      <c r="C74">
        <v>12.022644205465999</v>
      </c>
      <c r="D74">
        <f t="shared" si="5"/>
        <v>166482.28818318434</v>
      </c>
      <c r="E74" t="e">
        <f>VLOOKUP(B74,[1]Nacional_1950_2017!$A$2:$C$69,3,0)</f>
        <v>#N/A</v>
      </c>
      <c r="F74" t="e">
        <f t="shared" si="6"/>
        <v>#N/A</v>
      </c>
      <c r="G74" t="e">
        <f t="shared" si="7"/>
        <v>#N/A</v>
      </c>
      <c r="H74">
        <v>10.924858690307637</v>
      </c>
    </row>
    <row r="75" spans="1:8" x14ac:dyDescent="0.35">
      <c r="A75" s="1">
        <v>40575</v>
      </c>
      <c r="B75">
        <f t="shared" si="4"/>
        <v>2011</v>
      </c>
      <c r="C75">
        <v>12.0241109211644</v>
      </c>
      <c r="D75">
        <f t="shared" si="5"/>
        <v>166726.64952927252</v>
      </c>
      <c r="E75" t="e">
        <f>VLOOKUP(B75,[1]Nacional_1950_2017!$A$2:$C$69,3,0)</f>
        <v>#N/A</v>
      </c>
      <c r="F75" t="e">
        <f t="shared" si="6"/>
        <v>#N/A</v>
      </c>
      <c r="G75" t="e">
        <f t="shared" si="7"/>
        <v>#N/A</v>
      </c>
      <c r="H75">
        <v>10.921351431837401</v>
      </c>
    </row>
    <row r="76" spans="1:8" x14ac:dyDescent="0.35">
      <c r="A76" s="1">
        <v>40603</v>
      </c>
      <c r="B76">
        <f t="shared" si="4"/>
        <v>2011</v>
      </c>
      <c r="C76">
        <v>12.034496693369601</v>
      </c>
      <c r="D76">
        <f t="shared" si="5"/>
        <v>168467.25766586588</v>
      </c>
      <c r="E76" t="e">
        <f>VLOOKUP(B76,[1]Nacional_1950_2017!$A$2:$C$69,3,0)</f>
        <v>#N/A</v>
      </c>
      <c r="F76" t="e">
        <f t="shared" si="6"/>
        <v>#N/A</v>
      </c>
      <c r="G76" t="e">
        <f t="shared" si="7"/>
        <v>#N/A</v>
      </c>
      <c r="H76">
        <v>10.93315772847955</v>
      </c>
    </row>
    <row r="77" spans="1:8" x14ac:dyDescent="0.35">
      <c r="A77" s="1">
        <v>40634</v>
      </c>
      <c r="B77">
        <f t="shared" si="4"/>
        <v>2011</v>
      </c>
      <c r="C77">
        <v>12.037839325607299</v>
      </c>
      <c r="D77">
        <f t="shared" si="5"/>
        <v>169031.32396022478</v>
      </c>
      <c r="E77" t="e">
        <f>VLOOKUP(B77,[1]Nacional_1950_2017!$A$2:$C$69,3,0)</f>
        <v>#N/A</v>
      </c>
      <c r="F77" t="e">
        <f t="shared" si="6"/>
        <v>#N/A</v>
      </c>
      <c r="G77" t="e">
        <f t="shared" si="7"/>
        <v>#N/A</v>
      </c>
      <c r="H77">
        <v>10.937749639142789</v>
      </c>
    </row>
    <row r="78" spans="1:8" x14ac:dyDescent="0.35">
      <c r="A78" s="1">
        <v>40664</v>
      </c>
      <c r="B78">
        <f t="shared" si="4"/>
        <v>2011</v>
      </c>
      <c r="C78">
        <v>12.0428251091826</v>
      </c>
      <c r="D78">
        <f t="shared" si="5"/>
        <v>169876.18194835199</v>
      </c>
      <c r="E78" t="e">
        <f>VLOOKUP(B78,[1]Nacional_1950_2017!$A$2:$C$69,3,0)</f>
        <v>#N/A</v>
      </c>
      <c r="F78" t="e">
        <f t="shared" si="6"/>
        <v>#N/A</v>
      </c>
      <c r="G78" t="e">
        <f t="shared" si="7"/>
        <v>#N/A</v>
      </c>
      <c r="H78">
        <v>10.944651145596785</v>
      </c>
    </row>
    <row r="79" spans="1:8" x14ac:dyDescent="0.35">
      <c r="A79" s="1">
        <v>40695</v>
      </c>
      <c r="B79">
        <f t="shared" si="4"/>
        <v>2011</v>
      </c>
      <c r="C79">
        <v>12.0466472552101</v>
      </c>
      <c r="D79">
        <f t="shared" si="5"/>
        <v>170526.7159483649</v>
      </c>
      <c r="E79" t="e">
        <f>VLOOKUP(B79,[1]Nacional_1950_2017!$A$2:$C$69,3,0)</f>
        <v>#N/A</v>
      </c>
      <c r="F79" t="e">
        <f t="shared" si="6"/>
        <v>#N/A</v>
      </c>
      <c r="G79" t="e">
        <f t="shared" si="7"/>
        <v>#N/A</v>
      </c>
      <c r="H79">
        <v>10.951195878047892</v>
      </c>
    </row>
    <row r="80" spans="1:8" x14ac:dyDescent="0.35">
      <c r="A80" s="1">
        <v>40725</v>
      </c>
      <c r="B80">
        <f t="shared" si="4"/>
        <v>2011</v>
      </c>
      <c r="C80">
        <v>12.0519177112636</v>
      </c>
      <c r="D80">
        <f t="shared" si="5"/>
        <v>171427.84209766888</v>
      </c>
      <c r="E80" t="e">
        <f>VLOOKUP(B80,[1]Nacional_1950_2017!$A$2:$C$69,3,0)</f>
        <v>#N/A</v>
      </c>
      <c r="F80" t="e">
        <f t="shared" si="6"/>
        <v>#N/A</v>
      </c>
      <c r="G80" t="e">
        <f t="shared" si="7"/>
        <v>#N/A</v>
      </c>
      <c r="H80">
        <v>10.959292057535347</v>
      </c>
    </row>
    <row r="81" spans="1:8" x14ac:dyDescent="0.35">
      <c r="A81" s="1">
        <v>40756</v>
      </c>
      <c r="B81">
        <f t="shared" si="4"/>
        <v>2011</v>
      </c>
      <c r="C81">
        <v>12.070945095202999</v>
      </c>
      <c r="D81">
        <f t="shared" si="5"/>
        <v>174720.89520892373</v>
      </c>
      <c r="E81" t="e">
        <f>VLOOKUP(B81,[1]Nacional_1950_2017!$A$2:$C$69,3,0)</f>
        <v>#N/A</v>
      </c>
      <c r="F81" t="e">
        <f t="shared" si="6"/>
        <v>#N/A</v>
      </c>
      <c r="G81" t="e">
        <f t="shared" si="7"/>
        <v>#N/A</v>
      </c>
      <c r="H81">
        <v>10.967610004566355</v>
      </c>
    </row>
    <row r="82" spans="1:8" x14ac:dyDescent="0.35">
      <c r="A82" s="1">
        <v>40787</v>
      </c>
      <c r="B82">
        <f t="shared" si="4"/>
        <v>2011</v>
      </c>
      <c r="C82">
        <v>12.064699143533501</v>
      </c>
      <c r="D82">
        <f t="shared" si="5"/>
        <v>173632.99795537451</v>
      </c>
      <c r="E82" t="e">
        <f>VLOOKUP(B82,[1]Nacional_1950_2017!$A$2:$C$69,3,0)</f>
        <v>#N/A</v>
      </c>
      <c r="F82" t="e">
        <f t="shared" si="6"/>
        <v>#N/A</v>
      </c>
      <c r="G82" t="e">
        <f t="shared" si="7"/>
        <v>#N/A</v>
      </c>
      <c r="H82">
        <v>10.962387303142336</v>
      </c>
    </row>
    <row r="83" spans="1:8" x14ac:dyDescent="0.35">
      <c r="A83" s="1">
        <v>40817</v>
      </c>
      <c r="B83">
        <f t="shared" si="4"/>
        <v>2011</v>
      </c>
      <c r="C83">
        <v>12.066076873061</v>
      </c>
      <c r="D83">
        <f t="shared" si="5"/>
        <v>173872.38212906275</v>
      </c>
      <c r="E83" t="e">
        <f>VLOOKUP(B83,[1]Nacional_1950_2017!$A$2:$C$69,3,0)</f>
        <v>#N/A</v>
      </c>
      <c r="F83" t="e">
        <f t="shared" si="6"/>
        <v>#N/A</v>
      </c>
      <c r="G83" t="e">
        <f t="shared" si="7"/>
        <v>#N/A</v>
      </c>
      <c r="H83">
        <v>10.972701800164629</v>
      </c>
    </row>
    <row r="84" spans="1:8" x14ac:dyDescent="0.35">
      <c r="A84" s="1">
        <v>40848</v>
      </c>
      <c r="B84">
        <f t="shared" si="4"/>
        <v>2011</v>
      </c>
      <c r="C84">
        <v>12.069411590487601</v>
      </c>
      <c r="D84">
        <f t="shared" si="5"/>
        <v>174453.16522730378</v>
      </c>
      <c r="E84" t="e">
        <f>VLOOKUP(B84,[1]Nacional_1950_2017!$A$2:$C$69,3,0)</f>
        <v>#N/A</v>
      </c>
      <c r="F84" t="e">
        <f t="shared" si="6"/>
        <v>#N/A</v>
      </c>
      <c r="G84" t="e">
        <f t="shared" si="7"/>
        <v>#N/A</v>
      </c>
      <c r="H84">
        <v>10.975277589897884</v>
      </c>
    </row>
    <row r="85" spans="1:8" x14ac:dyDescent="0.35">
      <c r="A85" s="1">
        <v>40878</v>
      </c>
      <c r="B85">
        <f t="shared" si="4"/>
        <v>2011</v>
      </c>
      <c r="C85">
        <v>12.070790636451401</v>
      </c>
      <c r="D85">
        <f t="shared" si="5"/>
        <v>174693.91012166665</v>
      </c>
      <c r="E85" t="e">
        <f>VLOOKUP(B85,[1]Nacional_1950_2017!$A$2:$C$69,3,0)</f>
        <v>#N/A</v>
      </c>
      <c r="F85" t="e">
        <f t="shared" si="6"/>
        <v>#N/A</v>
      </c>
      <c r="G85" t="e">
        <f t="shared" si="7"/>
        <v>#N/A</v>
      </c>
      <c r="H85">
        <v>10.968494742083706</v>
      </c>
    </row>
    <row r="86" spans="1:8" x14ac:dyDescent="0.35">
      <c r="A86" s="1">
        <v>40909</v>
      </c>
      <c r="B86">
        <f t="shared" si="4"/>
        <v>2012</v>
      </c>
      <c r="C86">
        <v>12.0805621748151</v>
      </c>
      <c r="D86">
        <f t="shared" si="5"/>
        <v>176409.3057441593</v>
      </c>
      <c r="E86" t="e">
        <f>VLOOKUP(B86,[1]Nacional_1950_2017!$A$2:$C$69,3,0)</f>
        <v>#N/A</v>
      </c>
      <c r="F86" t="e">
        <f t="shared" si="6"/>
        <v>#N/A</v>
      </c>
      <c r="G86" t="e">
        <f t="shared" si="7"/>
        <v>#N/A</v>
      </c>
      <c r="H86">
        <v>10.979552210191965</v>
      </c>
    </row>
    <row r="87" spans="1:8" x14ac:dyDescent="0.35">
      <c r="A87" s="1">
        <v>40940</v>
      </c>
      <c r="B87">
        <f t="shared" si="4"/>
        <v>2012</v>
      </c>
      <c r="C87">
        <v>12.083905016990601</v>
      </c>
      <c r="D87">
        <f t="shared" si="5"/>
        <v>177000.00096193029</v>
      </c>
      <c r="E87" t="e">
        <f>VLOOKUP(B87,[1]Nacional_1950_2017!$A$2:$C$69,3,0)</f>
        <v>#N/A</v>
      </c>
      <c r="F87" t="e">
        <f t="shared" si="6"/>
        <v>#N/A</v>
      </c>
      <c r="G87" t="e">
        <f t="shared" si="7"/>
        <v>#N/A</v>
      </c>
      <c r="H87">
        <v>10.973910801712357</v>
      </c>
    </row>
    <row r="88" spans="1:8" x14ac:dyDescent="0.35">
      <c r="A88" s="1">
        <v>40969</v>
      </c>
      <c r="B88">
        <f t="shared" si="4"/>
        <v>2012</v>
      </c>
      <c r="C88">
        <v>12.0917861181943</v>
      </c>
      <c r="D88">
        <f t="shared" si="5"/>
        <v>178400.4672420315</v>
      </c>
      <c r="E88" t="e">
        <f>VLOOKUP(B88,[1]Nacional_1950_2017!$A$2:$C$69,3,0)</f>
        <v>#N/A</v>
      </c>
      <c r="F88" t="e">
        <f t="shared" si="6"/>
        <v>#N/A</v>
      </c>
      <c r="G88" t="e">
        <f t="shared" si="7"/>
        <v>#N/A</v>
      </c>
      <c r="H88">
        <v>10.988345695387277</v>
      </c>
    </row>
    <row r="89" spans="1:8" x14ac:dyDescent="0.35">
      <c r="A89" s="1">
        <v>41000</v>
      </c>
      <c r="B89">
        <f t="shared" si="4"/>
        <v>2012</v>
      </c>
      <c r="C89">
        <v>12.083084929165199</v>
      </c>
      <c r="D89">
        <f t="shared" si="5"/>
        <v>176854.90491992614</v>
      </c>
      <c r="E89" t="e">
        <f>VLOOKUP(B89,[1]Nacional_1950_2017!$A$2:$C$69,3,0)</f>
        <v>#N/A</v>
      </c>
      <c r="F89" t="e">
        <f t="shared" si="6"/>
        <v>#N/A</v>
      </c>
      <c r="G89" t="e">
        <f t="shared" si="7"/>
        <v>#N/A</v>
      </c>
      <c r="H89">
        <v>10.984533862934741</v>
      </c>
    </row>
    <row r="90" spans="1:8" x14ac:dyDescent="0.35">
      <c r="A90" s="1">
        <v>41030</v>
      </c>
      <c r="B90">
        <f t="shared" si="4"/>
        <v>2012</v>
      </c>
      <c r="C90">
        <v>12.0913796021372</v>
      </c>
      <c r="D90">
        <f t="shared" si="5"/>
        <v>178327.95932631815</v>
      </c>
      <c r="E90" t="e">
        <f>VLOOKUP(B90,[1]Nacional_1950_2017!$A$2:$C$69,3,0)</f>
        <v>#N/A</v>
      </c>
      <c r="F90" t="e">
        <f t="shared" si="6"/>
        <v>#N/A</v>
      </c>
      <c r="G90" t="e">
        <f t="shared" si="7"/>
        <v>#N/A</v>
      </c>
      <c r="H90">
        <v>10.989823326276612</v>
      </c>
    </row>
    <row r="91" spans="1:8" x14ac:dyDescent="0.35">
      <c r="A91" s="1">
        <v>41061</v>
      </c>
      <c r="B91">
        <f t="shared" si="4"/>
        <v>2012</v>
      </c>
      <c r="C91">
        <v>12.0920521686977</v>
      </c>
      <c r="D91">
        <f t="shared" si="5"/>
        <v>178447.93709055666</v>
      </c>
      <c r="E91" t="e">
        <f>VLOOKUP(B91,[1]Nacional_1950_2017!$A$2:$C$69,3,0)</f>
        <v>#N/A</v>
      </c>
      <c r="F91" t="e">
        <f t="shared" si="6"/>
        <v>#N/A</v>
      </c>
      <c r="G91" t="e">
        <f t="shared" si="7"/>
        <v>#N/A</v>
      </c>
      <c r="H91">
        <v>10.997517205452656</v>
      </c>
    </row>
    <row r="92" spans="1:8" x14ac:dyDescent="0.35">
      <c r="A92" s="1">
        <v>41091</v>
      </c>
      <c r="B92">
        <f t="shared" si="4"/>
        <v>2012</v>
      </c>
      <c r="C92">
        <v>12.086502209891499</v>
      </c>
      <c r="D92">
        <f t="shared" si="5"/>
        <v>177460.30159391143</v>
      </c>
      <c r="E92" t="e">
        <f>VLOOKUP(B92,[1]Nacional_1950_2017!$A$2:$C$69,3,0)</f>
        <v>#N/A</v>
      </c>
      <c r="F92" t="e">
        <f t="shared" si="6"/>
        <v>#N/A</v>
      </c>
      <c r="G92" t="e">
        <f t="shared" si="7"/>
        <v>#N/A</v>
      </c>
      <c r="H92">
        <v>10.994454823859426</v>
      </c>
    </row>
    <row r="93" spans="1:8" x14ac:dyDescent="0.35">
      <c r="A93" s="1">
        <v>41122</v>
      </c>
      <c r="B93">
        <f t="shared" si="4"/>
        <v>2012</v>
      </c>
      <c r="C93">
        <v>12.0722965068805</v>
      </c>
      <c r="D93">
        <f t="shared" si="5"/>
        <v>174957.17468647496</v>
      </c>
      <c r="E93" t="e">
        <f>VLOOKUP(B93,[1]Nacional_1950_2017!$A$2:$C$69,3,0)</f>
        <v>#N/A</v>
      </c>
      <c r="F93" t="e">
        <f t="shared" si="6"/>
        <v>#N/A</v>
      </c>
      <c r="G93" t="e">
        <f t="shared" si="7"/>
        <v>#N/A</v>
      </c>
      <c r="H93">
        <v>10.974860948251314</v>
      </c>
    </row>
    <row r="94" spans="1:8" x14ac:dyDescent="0.35">
      <c r="A94" s="1">
        <v>41153</v>
      </c>
      <c r="B94">
        <f t="shared" si="4"/>
        <v>2012</v>
      </c>
      <c r="C94">
        <v>12.093247543227999</v>
      </c>
      <c r="D94">
        <f t="shared" si="5"/>
        <v>178661.37675429237</v>
      </c>
      <c r="E94" t="e">
        <f>VLOOKUP(B94,[1]Nacional_1950_2017!$A$2:$C$69,3,0)</f>
        <v>#N/A</v>
      </c>
      <c r="F94" t="e">
        <f t="shared" si="6"/>
        <v>#N/A</v>
      </c>
      <c r="G94" t="e">
        <f t="shared" si="7"/>
        <v>#N/A</v>
      </c>
      <c r="H94">
        <v>10.999405773833885</v>
      </c>
    </row>
    <row r="95" spans="1:8" x14ac:dyDescent="0.35">
      <c r="A95" s="1">
        <v>41183</v>
      </c>
      <c r="B95">
        <f t="shared" si="4"/>
        <v>2012</v>
      </c>
      <c r="C95">
        <v>12.094175801594</v>
      </c>
      <c r="D95">
        <f t="shared" si="5"/>
        <v>178827.29766877022</v>
      </c>
      <c r="E95" t="e">
        <f>VLOOKUP(B95,[1]Nacional_1950_2017!$A$2:$C$69,3,0)</f>
        <v>#N/A</v>
      </c>
      <c r="F95" t="e">
        <f t="shared" si="6"/>
        <v>#N/A</v>
      </c>
      <c r="G95" t="e">
        <f t="shared" si="7"/>
        <v>#N/A</v>
      </c>
      <c r="H95">
        <v>10.993417009428375</v>
      </c>
    </row>
    <row r="96" spans="1:8" x14ac:dyDescent="0.35">
      <c r="A96" s="1">
        <v>41214</v>
      </c>
      <c r="B96">
        <f t="shared" si="4"/>
        <v>2012</v>
      </c>
      <c r="C96">
        <v>12.100270209066</v>
      </c>
      <c r="D96">
        <f t="shared" si="5"/>
        <v>179920.47182872857</v>
      </c>
      <c r="E96" t="e">
        <f>VLOOKUP(B96,[1]Nacional_1950_2017!$A$2:$C$69,3,0)</f>
        <v>#N/A</v>
      </c>
      <c r="F96" t="e">
        <f t="shared" si="6"/>
        <v>#N/A</v>
      </c>
      <c r="G96" t="e">
        <f t="shared" si="7"/>
        <v>#N/A</v>
      </c>
      <c r="H96">
        <v>11.002252604382271</v>
      </c>
    </row>
    <row r="97" spans="1:8" x14ac:dyDescent="0.35">
      <c r="A97" s="1">
        <v>41244</v>
      </c>
      <c r="B97">
        <f t="shared" si="4"/>
        <v>2012</v>
      </c>
      <c r="C97">
        <v>12.095198379339999</v>
      </c>
      <c r="D97">
        <f t="shared" si="5"/>
        <v>179010.25601236604</v>
      </c>
      <c r="E97" t="e">
        <f>VLOOKUP(B97,[1]Nacional_1950_2017!$A$2:$C$69,3,0)</f>
        <v>#N/A</v>
      </c>
      <c r="F97" t="e">
        <f t="shared" si="6"/>
        <v>#N/A</v>
      </c>
      <c r="G97" t="e">
        <f t="shared" si="7"/>
        <v>#N/A</v>
      </c>
      <c r="H97">
        <v>11.002623382476669</v>
      </c>
    </row>
    <row r="98" spans="1:8" x14ac:dyDescent="0.35">
      <c r="A98" s="1">
        <v>41275</v>
      </c>
      <c r="B98">
        <f t="shared" si="4"/>
        <v>2013</v>
      </c>
      <c r="C98">
        <v>12.1144117148117</v>
      </c>
      <c r="D98">
        <f t="shared" si="5"/>
        <v>182482.89376403837</v>
      </c>
      <c r="E98" t="e">
        <f>VLOOKUP(B98,[1]Nacional_1950_2017!$A$2:$C$69,3,0)</f>
        <v>#N/A</v>
      </c>
      <c r="F98" t="e">
        <f t="shared" si="6"/>
        <v>#N/A</v>
      </c>
      <c r="G98" t="e">
        <f t="shared" si="7"/>
        <v>#N/A</v>
      </c>
      <c r="H98">
        <v>11.019389859393355</v>
      </c>
    </row>
    <row r="99" spans="1:8" x14ac:dyDescent="0.35">
      <c r="A99" s="1">
        <v>41306</v>
      </c>
      <c r="B99">
        <f t="shared" si="4"/>
        <v>2013</v>
      </c>
      <c r="C99">
        <v>12.106376720343</v>
      </c>
      <c r="D99">
        <f t="shared" si="5"/>
        <v>181022.51962800729</v>
      </c>
      <c r="E99" t="e">
        <f>VLOOKUP(B99,[1]Nacional_1950_2017!$A$2:$C$69,3,0)</f>
        <v>#N/A</v>
      </c>
      <c r="F99" t="e">
        <f t="shared" si="6"/>
        <v>#N/A</v>
      </c>
      <c r="G99" t="e">
        <f t="shared" si="7"/>
        <v>#N/A</v>
      </c>
      <c r="H99">
        <v>11.01166521977866</v>
      </c>
    </row>
    <row r="100" spans="1:8" x14ac:dyDescent="0.35">
      <c r="A100" s="1">
        <v>41334</v>
      </c>
      <c r="B100">
        <f t="shared" si="4"/>
        <v>2013</v>
      </c>
      <c r="C100">
        <v>12.1057793548453</v>
      </c>
      <c r="D100">
        <f t="shared" si="5"/>
        <v>180914.4153125835</v>
      </c>
      <c r="E100" t="e">
        <f>VLOOKUP(B100,[1]Nacional_1950_2017!$A$2:$C$69,3,0)</f>
        <v>#N/A</v>
      </c>
      <c r="F100" t="e">
        <f t="shared" si="6"/>
        <v>#N/A</v>
      </c>
      <c r="G100" t="e">
        <f t="shared" si="7"/>
        <v>#N/A</v>
      </c>
      <c r="H100">
        <v>11.016248958229484</v>
      </c>
    </row>
    <row r="101" spans="1:8" x14ac:dyDescent="0.35">
      <c r="A101" s="1">
        <v>41365</v>
      </c>
      <c r="B101">
        <f t="shared" si="4"/>
        <v>2013</v>
      </c>
      <c r="C101">
        <v>12.1371962610078</v>
      </c>
      <c r="D101">
        <f t="shared" si="5"/>
        <v>186688.4121665635</v>
      </c>
      <c r="E101" t="e">
        <f>VLOOKUP(B101,[1]Nacional_1950_2017!$A$2:$C$69,3,0)</f>
        <v>#N/A</v>
      </c>
      <c r="F101" t="e">
        <f t="shared" si="6"/>
        <v>#N/A</v>
      </c>
      <c r="G101" t="e">
        <f t="shared" si="7"/>
        <v>#N/A</v>
      </c>
      <c r="H101">
        <v>11.031004997206857</v>
      </c>
    </row>
    <row r="102" spans="1:8" x14ac:dyDescent="0.35">
      <c r="A102" s="1">
        <v>41395</v>
      </c>
      <c r="B102">
        <f t="shared" si="4"/>
        <v>2013</v>
      </c>
      <c r="C102">
        <v>12.148124096433699</v>
      </c>
      <c r="D102">
        <f t="shared" si="5"/>
        <v>188739.7000656481</v>
      </c>
      <c r="E102" t="e">
        <f>VLOOKUP(B102,[1]Nacional_1950_2017!$A$2:$C$69,3,0)</f>
        <v>#N/A</v>
      </c>
      <c r="F102" t="e">
        <f t="shared" si="6"/>
        <v>#N/A</v>
      </c>
      <c r="G102" t="e">
        <f t="shared" si="7"/>
        <v>#N/A</v>
      </c>
      <c r="H102">
        <v>11.040203066299023</v>
      </c>
    </row>
    <row r="103" spans="1:8" x14ac:dyDescent="0.35">
      <c r="A103" s="1">
        <v>41426</v>
      </c>
      <c r="B103">
        <f t="shared" si="4"/>
        <v>2013</v>
      </c>
      <c r="C103">
        <v>12.1405027625585</v>
      </c>
      <c r="D103">
        <f t="shared" si="5"/>
        <v>187306.71934438427</v>
      </c>
      <c r="E103" t="e">
        <f>VLOOKUP(B103,[1]Nacional_1950_2017!$A$2:$C$69,3,0)</f>
        <v>#N/A</v>
      </c>
      <c r="F103" t="e">
        <f t="shared" si="6"/>
        <v>#N/A</v>
      </c>
      <c r="G103" t="e">
        <f t="shared" si="7"/>
        <v>#N/A</v>
      </c>
      <c r="H103">
        <v>11.045268674075816</v>
      </c>
    </row>
    <row r="104" spans="1:8" x14ac:dyDescent="0.35">
      <c r="A104" s="1">
        <v>41456</v>
      </c>
      <c r="B104">
        <f t="shared" si="4"/>
        <v>2013</v>
      </c>
      <c r="C104">
        <v>12.1531871263585</v>
      </c>
      <c r="D104">
        <f t="shared" si="5"/>
        <v>189697.71800531997</v>
      </c>
      <c r="E104" t="e">
        <f>VLOOKUP(B104,[1]Nacional_1950_2017!$A$2:$C$69,3,0)</f>
        <v>#N/A</v>
      </c>
      <c r="F104" t="e">
        <f t="shared" si="6"/>
        <v>#N/A</v>
      </c>
      <c r="G104" t="e">
        <f t="shared" si="7"/>
        <v>#N/A</v>
      </c>
      <c r="H104">
        <v>11.05054020597824</v>
      </c>
    </row>
    <row r="105" spans="1:8" x14ac:dyDescent="0.35">
      <c r="A105" s="1">
        <v>41487</v>
      </c>
      <c r="B105">
        <f t="shared" si="4"/>
        <v>2013</v>
      </c>
      <c r="C105">
        <v>12.1333130197819</v>
      </c>
      <c r="D105">
        <f t="shared" si="5"/>
        <v>185964.86179758646</v>
      </c>
      <c r="E105" t="e">
        <f>VLOOKUP(B105,[1]Nacional_1950_2017!$A$2:$C$69,3,0)</f>
        <v>#N/A</v>
      </c>
      <c r="F105" t="e">
        <f t="shared" si="6"/>
        <v>#N/A</v>
      </c>
      <c r="G105" t="e">
        <f t="shared" si="7"/>
        <v>#N/A</v>
      </c>
      <c r="H105">
        <v>11.037048989846921</v>
      </c>
    </row>
    <row r="106" spans="1:8" x14ac:dyDescent="0.35">
      <c r="A106" s="1">
        <v>41518</v>
      </c>
      <c r="B106">
        <f t="shared" si="4"/>
        <v>2013</v>
      </c>
      <c r="C106">
        <v>12.1474729238595</v>
      </c>
      <c r="D106">
        <f t="shared" si="5"/>
        <v>188616.8379558622</v>
      </c>
      <c r="E106" t="e">
        <f>VLOOKUP(B106,[1]Nacional_1950_2017!$A$2:$C$69,3,0)</f>
        <v>#N/A</v>
      </c>
      <c r="F106" t="e">
        <f t="shared" si="6"/>
        <v>#N/A</v>
      </c>
      <c r="G106" t="e">
        <f t="shared" si="7"/>
        <v>#N/A</v>
      </c>
      <c r="H106">
        <v>11.052330062593208</v>
      </c>
    </row>
    <row r="107" spans="1:8" x14ac:dyDescent="0.35">
      <c r="A107" s="1">
        <v>41548</v>
      </c>
      <c r="B107">
        <f t="shared" si="4"/>
        <v>2013</v>
      </c>
      <c r="C107">
        <v>12.1534946299497</v>
      </c>
      <c r="D107">
        <f t="shared" si="5"/>
        <v>189756.05970453037</v>
      </c>
      <c r="E107" t="e">
        <f>VLOOKUP(B107,[1]Nacional_1950_2017!$A$2:$C$69,3,0)</f>
        <v>#N/A</v>
      </c>
      <c r="F107" t="e">
        <f t="shared" si="6"/>
        <v>#N/A</v>
      </c>
      <c r="G107" t="e">
        <f t="shared" si="7"/>
        <v>#N/A</v>
      </c>
      <c r="H107">
        <v>11.051950768359012</v>
      </c>
    </row>
    <row r="108" spans="1:8" x14ac:dyDescent="0.35">
      <c r="A108" s="1">
        <v>41579</v>
      </c>
      <c r="B108">
        <f t="shared" si="4"/>
        <v>2013</v>
      </c>
      <c r="C108">
        <v>12.158307354659801</v>
      </c>
      <c r="D108">
        <f t="shared" si="5"/>
        <v>190671.50450688761</v>
      </c>
      <c r="E108" t="e">
        <f>VLOOKUP(B108,[1]Nacional_1950_2017!$A$2:$C$69,3,0)</f>
        <v>#N/A</v>
      </c>
      <c r="F108" t="e">
        <f t="shared" si="6"/>
        <v>#N/A</v>
      </c>
      <c r="G108" t="e">
        <f t="shared" si="7"/>
        <v>#N/A</v>
      </c>
      <c r="H108">
        <v>11.060414666299168</v>
      </c>
    </row>
    <row r="109" spans="1:8" x14ac:dyDescent="0.35">
      <c r="A109" s="1">
        <v>41609</v>
      </c>
      <c r="B109">
        <f t="shared" si="4"/>
        <v>2013</v>
      </c>
      <c r="C109">
        <v>12.1652076753905</v>
      </c>
      <c r="D109">
        <f t="shared" si="5"/>
        <v>191991.74885837178</v>
      </c>
      <c r="E109" t="e">
        <f>VLOOKUP(B109,[1]Nacional_1950_2017!$A$2:$C$69,3,0)</f>
        <v>#N/A</v>
      </c>
      <c r="F109" t="e">
        <f t="shared" si="6"/>
        <v>#N/A</v>
      </c>
      <c r="G109" t="e">
        <f t="shared" si="7"/>
        <v>#N/A</v>
      </c>
      <c r="H109">
        <v>11.064316661288125</v>
      </c>
    </row>
    <row r="110" spans="1:8" x14ac:dyDescent="0.35">
      <c r="A110" s="1">
        <v>41640</v>
      </c>
      <c r="B110">
        <f t="shared" si="4"/>
        <v>2014</v>
      </c>
      <c r="C110">
        <v>12.1668585396924</v>
      </c>
      <c r="D110">
        <f t="shared" si="5"/>
        <v>192308.96294948776</v>
      </c>
      <c r="E110" t="e">
        <f>VLOOKUP(B110,[1]Nacional_1950_2017!$A$2:$C$69,3,0)</f>
        <v>#N/A</v>
      </c>
      <c r="F110" t="e">
        <f t="shared" si="6"/>
        <v>#N/A</v>
      </c>
      <c r="G110" t="e">
        <f t="shared" si="7"/>
        <v>#N/A</v>
      </c>
      <c r="H110">
        <v>11.063337771525445</v>
      </c>
    </row>
    <row r="111" spans="1:8" x14ac:dyDescent="0.35">
      <c r="A111" s="1">
        <v>41671</v>
      </c>
      <c r="B111">
        <f t="shared" si="4"/>
        <v>2014</v>
      </c>
      <c r="C111">
        <v>12.181788535792901</v>
      </c>
      <c r="D111">
        <f t="shared" si="5"/>
        <v>195201.67537595154</v>
      </c>
      <c r="E111" t="e">
        <f>VLOOKUP(B111,[1]Nacional_1950_2017!$A$2:$C$69,3,0)</f>
        <v>#N/A</v>
      </c>
      <c r="F111" t="e">
        <f t="shared" si="6"/>
        <v>#N/A</v>
      </c>
      <c r="G111" t="e">
        <f t="shared" si="7"/>
        <v>#N/A</v>
      </c>
      <c r="H111">
        <v>11.07783545993599</v>
      </c>
    </row>
    <row r="112" spans="1:8" x14ac:dyDescent="0.35">
      <c r="A112" s="1">
        <v>41699</v>
      </c>
      <c r="B112">
        <f t="shared" si="4"/>
        <v>2014</v>
      </c>
      <c r="C112">
        <v>12.1712717945147</v>
      </c>
      <c r="D112">
        <f t="shared" si="5"/>
        <v>193159.5469490095</v>
      </c>
      <c r="E112" t="e">
        <f>VLOOKUP(B112,[1]Nacional_1950_2017!$A$2:$C$69,3,0)</f>
        <v>#N/A</v>
      </c>
      <c r="F112" t="e">
        <f t="shared" si="6"/>
        <v>#N/A</v>
      </c>
      <c r="G112" t="e">
        <f t="shared" si="7"/>
        <v>#N/A</v>
      </c>
      <c r="H112">
        <v>11.074631423616927</v>
      </c>
    </row>
    <row r="113" spans="1:8" x14ac:dyDescent="0.35">
      <c r="A113" s="1">
        <v>41730</v>
      </c>
      <c r="B113">
        <f t="shared" si="4"/>
        <v>2014</v>
      </c>
      <c r="C113">
        <v>12.177886917720899</v>
      </c>
      <c r="D113">
        <f t="shared" si="5"/>
        <v>194441.55680205181</v>
      </c>
      <c r="E113" t="e">
        <f>VLOOKUP(B113,[1]Nacional_1950_2017!$A$2:$C$69,3,0)</f>
        <v>#N/A</v>
      </c>
      <c r="F113" t="e">
        <f t="shared" si="6"/>
        <v>#N/A</v>
      </c>
      <c r="G113" t="e">
        <f t="shared" si="7"/>
        <v>#N/A</v>
      </c>
      <c r="H113">
        <v>11.075323820440696</v>
      </c>
    </row>
    <row r="114" spans="1:8" x14ac:dyDescent="0.35">
      <c r="A114" s="1">
        <v>41760</v>
      </c>
      <c r="B114">
        <f t="shared" si="4"/>
        <v>2014</v>
      </c>
      <c r="C114">
        <v>12.177080389049999</v>
      </c>
      <c r="D114">
        <f t="shared" si="5"/>
        <v>194284.79733567612</v>
      </c>
      <c r="E114" t="e">
        <f>VLOOKUP(B114,[1]Nacional_1950_2017!$A$2:$C$69,3,0)</f>
        <v>#N/A</v>
      </c>
      <c r="F114" t="e">
        <f t="shared" si="6"/>
        <v>#N/A</v>
      </c>
      <c r="G114" t="e">
        <f t="shared" si="7"/>
        <v>#N/A</v>
      </c>
      <c r="H114">
        <v>11.077151113506034</v>
      </c>
    </row>
    <row r="115" spans="1:8" x14ac:dyDescent="0.35">
      <c r="A115" s="1">
        <v>41791</v>
      </c>
      <c r="B115">
        <f t="shared" si="4"/>
        <v>2014</v>
      </c>
      <c r="C115">
        <v>12.172424923229</v>
      </c>
      <c r="D115">
        <f t="shared" si="5"/>
        <v>193382.41324110248</v>
      </c>
      <c r="E115" t="e">
        <f>VLOOKUP(B115,[1]Nacional_1950_2017!$A$2:$C$69,3,0)</f>
        <v>#N/A</v>
      </c>
      <c r="F115" t="e">
        <f t="shared" si="6"/>
        <v>#N/A</v>
      </c>
      <c r="G115" t="e">
        <f t="shared" si="7"/>
        <v>#N/A</v>
      </c>
      <c r="H115">
        <v>11.084533792399172</v>
      </c>
    </row>
    <row r="116" spans="1:8" x14ac:dyDescent="0.35">
      <c r="A116" s="1">
        <v>41821</v>
      </c>
      <c r="B116">
        <f t="shared" si="4"/>
        <v>2014</v>
      </c>
      <c r="C116">
        <v>12.1844093099582</v>
      </c>
      <c r="D116">
        <f t="shared" si="5"/>
        <v>195713.92583698969</v>
      </c>
      <c r="E116" t="e">
        <f>VLOOKUP(B116,[1]Nacional_1950_2017!$A$2:$C$69,3,0)</f>
        <v>#N/A</v>
      </c>
      <c r="F116" t="e">
        <f t="shared" si="6"/>
        <v>#N/A</v>
      </c>
      <c r="G116" t="e">
        <f t="shared" si="7"/>
        <v>#N/A</v>
      </c>
      <c r="H116">
        <v>11.079152552671365</v>
      </c>
    </row>
    <row r="117" spans="1:8" x14ac:dyDescent="0.35">
      <c r="A117" s="1">
        <v>41852</v>
      </c>
      <c r="B117">
        <f t="shared" si="4"/>
        <v>2014</v>
      </c>
      <c r="C117">
        <v>12.1776140526023</v>
      </c>
      <c r="D117">
        <f t="shared" si="5"/>
        <v>194388.50772154529</v>
      </c>
      <c r="E117" t="e">
        <f>VLOOKUP(B117,[1]Nacional_1950_2017!$A$2:$C$69,3,0)</f>
        <v>#N/A</v>
      </c>
      <c r="F117" t="e">
        <f t="shared" si="6"/>
        <v>#N/A</v>
      </c>
      <c r="G117" t="e">
        <f t="shared" si="7"/>
        <v>#N/A</v>
      </c>
      <c r="H117">
        <v>11.088302441378708</v>
      </c>
    </row>
    <row r="118" spans="1:8" x14ac:dyDescent="0.35">
      <c r="A118" s="1">
        <v>41883</v>
      </c>
      <c r="B118">
        <f t="shared" si="4"/>
        <v>2014</v>
      </c>
      <c r="C118">
        <v>12.195552437439501</v>
      </c>
      <c r="D118">
        <f t="shared" si="5"/>
        <v>197906.98715082908</v>
      </c>
      <c r="E118" t="e">
        <f>VLOOKUP(B118,[1]Nacional_1950_2017!$A$2:$C$69,3,0)</f>
        <v>#N/A</v>
      </c>
      <c r="F118" t="e">
        <f t="shared" si="6"/>
        <v>#N/A</v>
      </c>
      <c r="G118" t="e">
        <f t="shared" si="7"/>
        <v>#N/A</v>
      </c>
      <c r="H118">
        <v>11.094596029882236</v>
      </c>
    </row>
    <row r="119" spans="1:8" x14ac:dyDescent="0.35">
      <c r="A119" s="1">
        <v>41913</v>
      </c>
      <c r="B119">
        <f t="shared" si="4"/>
        <v>2014</v>
      </c>
      <c r="C119">
        <v>12.199619285067801</v>
      </c>
      <c r="D119">
        <f t="shared" si="5"/>
        <v>198713.48354956048</v>
      </c>
      <c r="E119" t="e">
        <f>VLOOKUP(B119,[1]Nacional_1950_2017!$A$2:$C$69,3,0)</f>
        <v>#N/A</v>
      </c>
      <c r="F119" t="e">
        <f t="shared" si="6"/>
        <v>#N/A</v>
      </c>
      <c r="G119" t="e">
        <f t="shared" si="7"/>
        <v>#N/A</v>
      </c>
      <c r="H119">
        <v>11.096499428232512</v>
      </c>
    </row>
    <row r="120" spans="1:8" x14ac:dyDescent="0.35">
      <c r="A120" s="1">
        <v>41944</v>
      </c>
      <c r="B120">
        <f t="shared" si="4"/>
        <v>2014</v>
      </c>
      <c r="C120">
        <v>12.187563746689801</v>
      </c>
      <c r="D120">
        <f t="shared" si="5"/>
        <v>196332.26778107349</v>
      </c>
      <c r="E120" t="e">
        <f>VLOOKUP(B120,[1]Nacional_1950_2017!$A$2:$C$69,3,0)</f>
        <v>#N/A</v>
      </c>
      <c r="F120" t="e">
        <f t="shared" si="6"/>
        <v>#N/A</v>
      </c>
      <c r="G120" t="e">
        <f t="shared" si="7"/>
        <v>#N/A</v>
      </c>
      <c r="H120">
        <v>11.095717053636424</v>
      </c>
    </row>
    <row r="121" spans="1:8" x14ac:dyDescent="0.35">
      <c r="A121" s="1">
        <v>41974</v>
      </c>
      <c r="B121">
        <f t="shared" si="4"/>
        <v>2014</v>
      </c>
      <c r="C121">
        <v>12.200923258242399</v>
      </c>
      <c r="D121">
        <f t="shared" si="5"/>
        <v>198972.76961583801</v>
      </c>
      <c r="E121" t="e">
        <f>VLOOKUP(B121,[1]Nacional_1950_2017!$A$2:$C$69,3,0)</f>
        <v>#N/A</v>
      </c>
      <c r="F121" t="e">
        <f t="shared" si="6"/>
        <v>#N/A</v>
      </c>
      <c r="G121" t="e">
        <f t="shared" si="7"/>
        <v>#N/A</v>
      </c>
      <c r="H121">
        <v>11.102321825985925</v>
      </c>
    </row>
    <row r="122" spans="1:8" x14ac:dyDescent="0.35">
      <c r="A122" s="1">
        <v>42005</v>
      </c>
      <c r="B122">
        <f t="shared" si="4"/>
        <v>2015</v>
      </c>
      <c r="C122">
        <v>12.1999165700772</v>
      </c>
      <c r="D122">
        <f t="shared" si="5"/>
        <v>198772.56687124301</v>
      </c>
      <c r="E122" t="e">
        <f>VLOOKUP(B122,[1]Nacional_1950_2017!$A$2:$C$69,3,0)</f>
        <v>#N/A</v>
      </c>
      <c r="F122" t="e">
        <f t="shared" si="6"/>
        <v>#N/A</v>
      </c>
      <c r="G122" t="e">
        <f t="shared" si="7"/>
        <v>#N/A</v>
      </c>
      <c r="H122">
        <v>11.105052379495454</v>
      </c>
    </row>
    <row r="123" spans="1:8" x14ac:dyDescent="0.35">
      <c r="A123" s="1">
        <v>42036</v>
      </c>
      <c r="B123">
        <f t="shared" si="4"/>
        <v>2015</v>
      </c>
      <c r="C123">
        <v>12.2053833640103</v>
      </c>
      <c r="D123">
        <f t="shared" si="5"/>
        <v>199862.19119601246</v>
      </c>
      <c r="E123" t="e">
        <f>VLOOKUP(B123,[1]Nacional_1950_2017!$A$2:$C$69,3,0)</f>
        <v>#N/A</v>
      </c>
      <c r="F123" t="e">
        <f t="shared" si="6"/>
        <v>#N/A</v>
      </c>
      <c r="G123" t="e">
        <f t="shared" si="7"/>
        <v>#N/A</v>
      </c>
      <c r="H123">
        <v>11.107782920554685</v>
      </c>
    </row>
    <row r="124" spans="1:8" x14ac:dyDescent="0.35">
      <c r="A124" s="1">
        <v>42064</v>
      </c>
      <c r="B124">
        <f t="shared" si="4"/>
        <v>2015</v>
      </c>
      <c r="C124">
        <v>12.200514095912499</v>
      </c>
      <c r="D124">
        <f t="shared" si="5"/>
        <v>198891.37410695892</v>
      </c>
      <c r="E124" t="e">
        <f>VLOOKUP(B124,[1]Nacional_1950_2017!$A$2:$C$69,3,0)</f>
        <v>#N/A</v>
      </c>
      <c r="F124" t="e">
        <f t="shared" si="6"/>
        <v>#N/A</v>
      </c>
      <c r="G124" t="e">
        <f t="shared" si="7"/>
        <v>#N/A</v>
      </c>
      <c r="H124">
        <v>11.103408467828537</v>
      </c>
    </row>
    <row r="125" spans="1:8" x14ac:dyDescent="0.35">
      <c r="A125" s="1">
        <v>42095</v>
      </c>
      <c r="B125">
        <f t="shared" si="4"/>
        <v>2015</v>
      </c>
      <c r="C125">
        <v>12.2114495926362</v>
      </c>
      <c r="D125">
        <f t="shared" si="5"/>
        <v>201078.28576606076</v>
      </c>
      <c r="E125" t="e">
        <f>VLOOKUP(B125,[1]Nacional_1950_2017!$A$2:$C$69,3,0)</f>
        <v>#N/A</v>
      </c>
      <c r="F125" t="e">
        <f t="shared" si="6"/>
        <v>#N/A</v>
      </c>
      <c r="G125" t="e">
        <f t="shared" si="7"/>
        <v>#N/A</v>
      </c>
      <c r="H125">
        <v>11.109796792084504</v>
      </c>
    </row>
    <row r="126" spans="1:8" x14ac:dyDescent="0.35">
      <c r="A126" s="1">
        <v>42125</v>
      </c>
      <c r="B126">
        <f t="shared" si="4"/>
        <v>2015</v>
      </c>
      <c r="C126">
        <v>12.2098406593971</v>
      </c>
      <c r="D126">
        <f t="shared" si="5"/>
        <v>200755.02435118295</v>
      </c>
      <c r="E126" t="e">
        <f>VLOOKUP(B126,[1]Nacional_1950_2017!$A$2:$C$69,3,0)</f>
        <v>#N/A</v>
      </c>
      <c r="F126" t="e">
        <f t="shared" si="6"/>
        <v>#N/A</v>
      </c>
      <c r="G126" t="e">
        <f t="shared" si="7"/>
        <v>#N/A</v>
      </c>
      <c r="H126">
        <v>11.110735578519938</v>
      </c>
    </row>
    <row r="127" spans="1:8" x14ac:dyDescent="0.35">
      <c r="A127" s="1">
        <v>42156</v>
      </c>
      <c r="B127">
        <f t="shared" si="4"/>
        <v>2015</v>
      </c>
      <c r="C127">
        <v>12.2076343079667</v>
      </c>
      <c r="D127">
        <f t="shared" si="5"/>
        <v>200312.57649326356</v>
      </c>
      <c r="E127" t="e">
        <f>VLOOKUP(B127,[1]Nacional_1950_2017!$A$2:$C$69,3,0)</f>
        <v>#N/A</v>
      </c>
      <c r="F127" t="e">
        <f t="shared" si="6"/>
        <v>#N/A</v>
      </c>
      <c r="G127" t="e">
        <f t="shared" si="7"/>
        <v>#N/A</v>
      </c>
      <c r="H127">
        <v>11.108600657101643</v>
      </c>
    </row>
    <row r="128" spans="1:8" x14ac:dyDescent="0.35">
      <c r="A128" s="1">
        <v>42186</v>
      </c>
      <c r="B128">
        <f t="shared" si="4"/>
        <v>2015</v>
      </c>
      <c r="C128">
        <v>12.2255276382815</v>
      </c>
      <c r="D128">
        <f t="shared" si="5"/>
        <v>203929.0948780989</v>
      </c>
      <c r="E128" t="e">
        <f>VLOOKUP(B128,[1]Nacional_1950_2017!$A$2:$C$69,3,0)</f>
        <v>#N/A</v>
      </c>
      <c r="F128" t="e">
        <f t="shared" si="6"/>
        <v>#N/A</v>
      </c>
      <c r="G128" t="e">
        <f t="shared" si="7"/>
        <v>#N/A</v>
      </c>
      <c r="H128">
        <v>11.12152694385682</v>
      </c>
    </row>
    <row r="129" spans="1:8" x14ac:dyDescent="0.35">
      <c r="A129" s="1">
        <v>42217</v>
      </c>
      <c r="B129">
        <f t="shared" si="4"/>
        <v>2015</v>
      </c>
      <c r="C129">
        <v>12.2109949093936</v>
      </c>
      <c r="D129">
        <f t="shared" si="5"/>
        <v>200986.87962106819</v>
      </c>
      <c r="E129" t="e">
        <f>VLOOKUP(B129,[1]Nacional_1950_2017!$A$2:$C$69,3,0)</f>
        <v>#N/A</v>
      </c>
      <c r="F129" t="e">
        <f t="shared" si="6"/>
        <v>#N/A</v>
      </c>
      <c r="G129" t="e">
        <f t="shared" si="7"/>
        <v>#N/A</v>
      </c>
      <c r="H129">
        <v>11.122736849857557</v>
      </c>
    </row>
    <row r="130" spans="1:8" x14ac:dyDescent="0.35">
      <c r="A130" s="1">
        <v>42248</v>
      </c>
      <c r="B130">
        <f t="shared" si="4"/>
        <v>2015</v>
      </c>
      <c r="C130">
        <v>12.2222073423249</v>
      </c>
      <c r="D130">
        <f t="shared" si="5"/>
        <v>203253.11278027776</v>
      </c>
      <c r="E130" t="e">
        <f>VLOOKUP(B130,[1]Nacional_1950_2017!$A$2:$C$69,3,0)</f>
        <v>#N/A</v>
      </c>
      <c r="F130" t="e">
        <f t="shared" si="6"/>
        <v>#N/A</v>
      </c>
      <c r="G130" t="e">
        <f t="shared" si="7"/>
        <v>#N/A</v>
      </c>
      <c r="H130">
        <v>11.122044224868148</v>
      </c>
    </row>
    <row r="131" spans="1:8" x14ac:dyDescent="0.35">
      <c r="A131" s="1">
        <v>42278</v>
      </c>
      <c r="B131">
        <f t="shared" ref="B131:B194" si="8">YEAR(A131)</f>
        <v>2015</v>
      </c>
      <c r="C131">
        <v>12.2222956818854</v>
      </c>
      <c r="D131">
        <f t="shared" ref="D131:D194" si="9">EXP(C131)</f>
        <v>203271.06886403571</v>
      </c>
      <c r="E131" t="e">
        <f>VLOOKUP(B131,[1]Nacional_1950_2017!$A$2:$C$69,3,0)</f>
        <v>#N/A</v>
      </c>
      <c r="F131" t="e">
        <f t="shared" ref="F131:F194" si="10">D131*1000000000/E131</f>
        <v>#N/A</v>
      </c>
      <c r="G131" t="e">
        <f t="shared" ref="G131:G194" si="11">LN(F131)</f>
        <v>#N/A</v>
      </c>
      <c r="H131">
        <v>11.119438933366174</v>
      </c>
    </row>
    <row r="132" spans="1:8" x14ac:dyDescent="0.35">
      <c r="A132" s="1">
        <v>42309</v>
      </c>
      <c r="B132">
        <f t="shared" si="8"/>
        <v>2015</v>
      </c>
      <c r="C132">
        <v>12.2102539171165</v>
      </c>
      <c r="D132">
        <f t="shared" si="9"/>
        <v>200838.00505973253</v>
      </c>
      <c r="E132" t="e">
        <f>VLOOKUP(B132,[1]Nacional_1950_2017!$A$2:$C$69,3,0)</f>
        <v>#N/A</v>
      </c>
      <c r="F132" t="e">
        <f t="shared" si="10"/>
        <v>#N/A</v>
      </c>
      <c r="G132" t="e">
        <f t="shared" si="11"/>
        <v>#N/A</v>
      </c>
      <c r="H132">
        <v>11.11436590589374</v>
      </c>
    </row>
    <row r="133" spans="1:8" x14ac:dyDescent="0.35">
      <c r="A133" s="1">
        <v>42339</v>
      </c>
      <c r="B133">
        <f t="shared" si="8"/>
        <v>2015</v>
      </c>
      <c r="C133">
        <v>12.2167525509981</v>
      </c>
      <c r="D133">
        <f t="shared" si="9"/>
        <v>202147.42784544855</v>
      </c>
      <c r="E133" t="e">
        <f>VLOOKUP(B133,[1]Nacional_1950_2017!$A$2:$C$69,3,0)</f>
        <v>#N/A</v>
      </c>
      <c r="F133" t="e">
        <f t="shared" si="10"/>
        <v>#N/A</v>
      </c>
      <c r="G133" t="e">
        <f t="shared" si="11"/>
        <v>#N/A</v>
      </c>
      <c r="H133">
        <v>11.113954127832017</v>
      </c>
    </row>
    <row r="134" spans="1:8" x14ac:dyDescent="0.35">
      <c r="A134" s="1">
        <v>42370</v>
      </c>
      <c r="B134">
        <f t="shared" si="8"/>
        <v>2016</v>
      </c>
      <c r="C134">
        <v>12.2178815330343</v>
      </c>
      <c r="D134">
        <f t="shared" si="9"/>
        <v>202375.77753724545</v>
      </c>
      <c r="E134" t="e">
        <f>VLOOKUP(B134,[1]Nacional_1950_2017!$A$2:$C$69,3,0)</f>
        <v>#N/A</v>
      </c>
      <c r="F134" t="e">
        <f t="shared" si="10"/>
        <v>#N/A</v>
      </c>
      <c r="G134" t="e">
        <f t="shared" si="11"/>
        <v>#N/A</v>
      </c>
      <c r="H134">
        <v>11.122558951759261</v>
      </c>
    </row>
    <row r="135" spans="1:8" x14ac:dyDescent="0.35">
      <c r="A135" s="1">
        <v>42401</v>
      </c>
      <c r="B135">
        <f t="shared" si="8"/>
        <v>2016</v>
      </c>
      <c r="C135">
        <v>12.2348447584908</v>
      </c>
      <c r="D135">
        <f t="shared" si="9"/>
        <v>205838.00573606091</v>
      </c>
      <c r="E135" t="e">
        <f>VLOOKUP(B135,[1]Nacional_1950_2017!$A$2:$C$69,3,0)</f>
        <v>#N/A</v>
      </c>
      <c r="F135" t="e">
        <f t="shared" si="10"/>
        <v>#N/A</v>
      </c>
      <c r="G135" t="e">
        <f t="shared" si="11"/>
        <v>#N/A</v>
      </c>
      <c r="H135">
        <v>11.126803667748604</v>
      </c>
    </row>
    <row r="136" spans="1:8" x14ac:dyDescent="0.35">
      <c r="A136" s="1">
        <v>42430</v>
      </c>
      <c r="B136">
        <f t="shared" si="8"/>
        <v>2016</v>
      </c>
      <c r="C136">
        <v>12.227269488474899</v>
      </c>
      <c r="D136">
        <f t="shared" si="9"/>
        <v>204284.61835588186</v>
      </c>
      <c r="E136" t="e">
        <f>VLOOKUP(B136,[1]Nacional_1950_2017!$A$2:$C$69,3,0)</f>
        <v>#N/A</v>
      </c>
      <c r="F136" t="e">
        <f t="shared" si="10"/>
        <v>#N/A</v>
      </c>
      <c r="G136" t="e">
        <f t="shared" si="11"/>
        <v>#N/A</v>
      </c>
      <c r="H136">
        <v>11.128483078893526</v>
      </c>
    </row>
    <row r="137" spans="1:8" x14ac:dyDescent="0.35">
      <c r="A137" s="1">
        <v>42461</v>
      </c>
      <c r="B137">
        <f t="shared" si="8"/>
        <v>2016</v>
      </c>
      <c r="C137">
        <v>12.2273384956539</v>
      </c>
      <c r="D137">
        <f t="shared" si="9"/>
        <v>204298.7159475197</v>
      </c>
      <c r="E137" t="e">
        <f>VLOOKUP(B137,[1]Nacional_1950_2017!$A$2:$C$69,3,0)</f>
        <v>#N/A</v>
      </c>
      <c r="F137" t="e">
        <f t="shared" si="10"/>
        <v>#N/A</v>
      </c>
      <c r="G137" t="e">
        <f t="shared" si="11"/>
        <v>#N/A</v>
      </c>
      <c r="H137">
        <v>11.12326766424288</v>
      </c>
    </row>
    <row r="138" spans="1:8" x14ac:dyDescent="0.35">
      <c r="A138" s="1">
        <v>42491</v>
      </c>
      <c r="B138">
        <f t="shared" si="8"/>
        <v>2016</v>
      </c>
      <c r="C138">
        <v>12.2321922056187</v>
      </c>
      <c r="D138">
        <f t="shared" si="9"/>
        <v>205292.73304479331</v>
      </c>
      <c r="E138" t="e">
        <f>VLOOKUP(B138,[1]Nacional_1950_2017!$A$2:$C$69,3,0)</f>
        <v>#N/A</v>
      </c>
      <c r="F138" t="e">
        <f t="shared" si="10"/>
        <v>#N/A</v>
      </c>
      <c r="G138" t="e">
        <f t="shared" si="11"/>
        <v>#N/A</v>
      </c>
      <c r="H138">
        <v>11.133602366006153</v>
      </c>
    </row>
    <row r="139" spans="1:8" x14ac:dyDescent="0.35">
      <c r="A139" s="1">
        <v>42522</v>
      </c>
      <c r="B139">
        <f t="shared" si="8"/>
        <v>2016</v>
      </c>
      <c r="C139">
        <v>12.232391908727401</v>
      </c>
      <c r="D139">
        <f t="shared" si="9"/>
        <v>205333.73473572228</v>
      </c>
      <c r="E139" t="e">
        <f>VLOOKUP(B139,[1]Nacional_1950_2017!$A$2:$C$69,3,0)</f>
        <v>#N/A</v>
      </c>
      <c r="F139" t="e">
        <f t="shared" si="10"/>
        <v>#N/A</v>
      </c>
      <c r="G139" t="e">
        <f t="shared" si="11"/>
        <v>#N/A</v>
      </c>
      <c r="H139">
        <v>11.136869480529329</v>
      </c>
    </row>
    <row r="140" spans="1:8" x14ac:dyDescent="0.35">
      <c r="A140" s="1">
        <v>42552</v>
      </c>
      <c r="B140">
        <f t="shared" si="8"/>
        <v>2016</v>
      </c>
      <c r="C140">
        <v>12.209241492168699</v>
      </c>
      <c r="D140">
        <f t="shared" si="9"/>
        <v>200634.77454812292</v>
      </c>
      <c r="E140" t="e">
        <f>VLOOKUP(B140,[1]Nacional_1950_2017!$A$2:$C$69,3,0)</f>
        <v>#N/A</v>
      </c>
      <c r="F140" t="e">
        <f t="shared" si="10"/>
        <v>#N/A</v>
      </c>
      <c r="G140" t="e">
        <f t="shared" si="11"/>
        <v>#N/A</v>
      </c>
      <c r="H140">
        <v>11.117038566943004</v>
      </c>
    </row>
    <row r="141" spans="1:8" x14ac:dyDescent="0.35">
      <c r="A141" s="1">
        <v>42583</v>
      </c>
      <c r="B141">
        <f t="shared" si="8"/>
        <v>2016</v>
      </c>
      <c r="C141">
        <v>12.2439639232347</v>
      </c>
      <c r="D141">
        <f t="shared" si="9"/>
        <v>207723.66115468749</v>
      </c>
      <c r="E141" t="e">
        <f>VLOOKUP(B141,[1]Nacional_1950_2017!$A$2:$C$69,3,0)</f>
        <v>#N/A</v>
      </c>
      <c r="F141" t="e">
        <f t="shared" si="10"/>
        <v>#N/A</v>
      </c>
      <c r="G141" t="e">
        <f t="shared" si="11"/>
        <v>#N/A</v>
      </c>
      <c r="H141">
        <v>11.146208835066556</v>
      </c>
    </row>
    <row r="142" spans="1:8" x14ac:dyDescent="0.35">
      <c r="A142" s="1">
        <v>42614</v>
      </c>
      <c r="B142">
        <f t="shared" si="8"/>
        <v>2016</v>
      </c>
      <c r="C142">
        <v>12.246679074596599</v>
      </c>
      <c r="D142">
        <f t="shared" si="9"/>
        <v>208288.42870390284</v>
      </c>
      <c r="E142" t="e">
        <f>VLOOKUP(B142,[1]Nacional_1950_2017!$A$2:$C$69,3,0)</f>
        <v>#N/A</v>
      </c>
      <c r="F142" t="e">
        <f t="shared" si="10"/>
        <v>#N/A</v>
      </c>
      <c r="G142" t="e">
        <f t="shared" si="11"/>
        <v>#N/A</v>
      </c>
      <c r="H142">
        <v>11.14737872559831</v>
      </c>
    </row>
    <row r="143" spans="1:8" x14ac:dyDescent="0.35">
      <c r="A143" s="1">
        <v>42644</v>
      </c>
      <c r="B143">
        <f t="shared" si="8"/>
        <v>2016</v>
      </c>
      <c r="C143">
        <v>12.233410532107399</v>
      </c>
      <c r="D143">
        <f t="shared" si="9"/>
        <v>205542.99904128932</v>
      </c>
      <c r="E143" t="e">
        <f>VLOOKUP(B143,[1]Nacional_1950_2017!$A$2:$C$69,3,0)</f>
        <v>#N/A</v>
      </c>
      <c r="F143" t="e">
        <f t="shared" si="10"/>
        <v>#N/A</v>
      </c>
      <c r="G143" t="e">
        <f t="shared" si="11"/>
        <v>#N/A</v>
      </c>
      <c r="H143">
        <v>11.140953225789751</v>
      </c>
    </row>
    <row r="144" spans="1:8" x14ac:dyDescent="0.35">
      <c r="A144" s="1">
        <v>42675</v>
      </c>
      <c r="B144">
        <f t="shared" si="8"/>
        <v>2016</v>
      </c>
      <c r="C144">
        <v>12.2389871784866</v>
      </c>
      <c r="D144">
        <f t="shared" si="9"/>
        <v>206692.44170141383</v>
      </c>
      <c r="E144" t="e">
        <f>VLOOKUP(B144,[1]Nacional_1950_2017!$A$2:$C$69,3,0)</f>
        <v>#N/A</v>
      </c>
      <c r="F144" t="e">
        <f t="shared" si="10"/>
        <v>#N/A</v>
      </c>
      <c r="G144" t="e">
        <f t="shared" si="11"/>
        <v>#N/A</v>
      </c>
      <c r="H144">
        <v>11.141937516978262</v>
      </c>
    </row>
    <row r="145" spans="1:8" x14ac:dyDescent="0.35">
      <c r="A145" s="1">
        <v>42705</v>
      </c>
      <c r="B145">
        <f t="shared" si="8"/>
        <v>2016</v>
      </c>
      <c r="C145">
        <v>12.246618589405999</v>
      </c>
      <c r="D145">
        <f t="shared" si="9"/>
        <v>208275.83071959246</v>
      </c>
      <c r="E145" t="e">
        <f>VLOOKUP(B145,[1]Nacional_1950_2017!$A$2:$C$69,3,0)</f>
        <v>#N/A</v>
      </c>
      <c r="F145" t="e">
        <f t="shared" si="10"/>
        <v>#N/A</v>
      </c>
      <c r="G145" t="e">
        <f t="shared" si="11"/>
        <v>#N/A</v>
      </c>
      <c r="H145">
        <v>11.141941042970751</v>
      </c>
    </row>
    <row r="146" spans="1:8" x14ac:dyDescent="0.35">
      <c r="A146" s="1">
        <v>42736</v>
      </c>
      <c r="B146">
        <f t="shared" si="8"/>
        <v>2017</v>
      </c>
      <c r="C146">
        <v>12.234709388976</v>
      </c>
      <c r="D146">
        <f t="shared" si="9"/>
        <v>205810.14343099305</v>
      </c>
      <c r="E146" t="e">
        <f>VLOOKUP(B146,[1]Nacional_1950_2017!$A$2:$C$69,3,0)</f>
        <v>#N/A</v>
      </c>
      <c r="F146" t="e">
        <f t="shared" si="10"/>
        <v>#N/A</v>
      </c>
      <c r="G146" t="e">
        <f t="shared" si="11"/>
        <v>#N/A</v>
      </c>
      <c r="H146">
        <v>11.138104266683857</v>
      </c>
    </row>
    <row r="147" spans="1:8" x14ac:dyDescent="0.35">
      <c r="A147" s="1">
        <v>42767</v>
      </c>
      <c r="B147">
        <f t="shared" si="8"/>
        <v>2017</v>
      </c>
      <c r="C147">
        <v>12.244466444394099</v>
      </c>
      <c r="D147">
        <f t="shared" si="9"/>
        <v>207828.07292208954</v>
      </c>
      <c r="E147" t="e">
        <f>VLOOKUP(B147,[1]Nacional_1950_2017!$A$2:$C$69,3,0)</f>
        <v>#N/A</v>
      </c>
      <c r="F147" t="e">
        <f t="shared" si="10"/>
        <v>#N/A</v>
      </c>
      <c r="G147" t="e">
        <f t="shared" si="11"/>
        <v>#N/A</v>
      </c>
      <c r="H147">
        <v>11.143415298977336</v>
      </c>
    </row>
    <row r="148" spans="1:8" x14ac:dyDescent="0.35">
      <c r="A148" s="1">
        <v>42795</v>
      </c>
      <c r="B148">
        <f t="shared" si="8"/>
        <v>2017</v>
      </c>
      <c r="C148">
        <v>12.235959756630001</v>
      </c>
      <c r="D148">
        <f t="shared" si="9"/>
        <v>206067.64272805204</v>
      </c>
      <c r="E148" t="e">
        <f>VLOOKUP(B148,[1]Nacional_1950_2017!$A$2:$C$69,3,0)</f>
        <v>#N/A</v>
      </c>
      <c r="F148" t="e">
        <f t="shared" si="10"/>
        <v>#N/A</v>
      </c>
      <c r="G148" t="e">
        <f t="shared" si="11"/>
        <v>#N/A</v>
      </c>
      <c r="H148">
        <v>11.135214596479107</v>
      </c>
    </row>
    <row r="149" spans="1:8" x14ac:dyDescent="0.35">
      <c r="A149" s="1">
        <v>42826</v>
      </c>
      <c r="B149">
        <f t="shared" si="8"/>
        <v>2017</v>
      </c>
      <c r="C149">
        <v>12.2350367434116</v>
      </c>
      <c r="D149">
        <f t="shared" si="9"/>
        <v>205877.52732294277</v>
      </c>
      <c r="E149" t="e">
        <f>VLOOKUP(B149,[1]Nacional_1950_2017!$A$2:$C$69,3,0)</f>
        <v>#N/A</v>
      </c>
      <c r="F149" t="e">
        <f t="shared" si="10"/>
        <v>#N/A</v>
      </c>
      <c r="G149" t="e">
        <f t="shared" si="11"/>
        <v>#N/A</v>
      </c>
      <c r="H149">
        <v>11.141083995322287</v>
      </c>
    </row>
    <row r="150" spans="1:8" x14ac:dyDescent="0.35">
      <c r="A150" s="1">
        <v>42856</v>
      </c>
      <c r="B150">
        <f t="shared" si="8"/>
        <v>2017</v>
      </c>
      <c r="C150">
        <v>12.2404116498685</v>
      </c>
      <c r="D150">
        <f t="shared" si="9"/>
        <v>206987.07897083068</v>
      </c>
      <c r="E150" t="e">
        <f>VLOOKUP(B150,[1]Nacional_1950_2017!$A$2:$C$69,3,0)</f>
        <v>#N/A</v>
      </c>
      <c r="F150" t="e">
        <f t="shared" si="10"/>
        <v>#N/A</v>
      </c>
      <c r="G150" t="e">
        <f t="shared" si="11"/>
        <v>#N/A</v>
      </c>
      <c r="H150">
        <v>11.141031822633783</v>
      </c>
    </row>
    <row r="151" spans="1:8" x14ac:dyDescent="0.35">
      <c r="A151" s="1">
        <v>42887</v>
      </c>
      <c r="B151">
        <f t="shared" si="8"/>
        <v>2017</v>
      </c>
      <c r="C151">
        <v>12.2536460167199</v>
      </c>
      <c r="D151">
        <f t="shared" si="9"/>
        <v>209744.6288726675</v>
      </c>
      <c r="E151" t="e">
        <f>VLOOKUP(B151,[1]Nacional_1950_2017!$A$2:$C$69,3,0)</f>
        <v>#N/A</v>
      </c>
      <c r="F151" t="e">
        <f t="shared" si="10"/>
        <v>#N/A</v>
      </c>
      <c r="G151" t="e">
        <f t="shared" si="11"/>
        <v>#N/A</v>
      </c>
      <c r="H151">
        <v>11.157301061466677</v>
      </c>
    </row>
    <row r="152" spans="1:8" x14ac:dyDescent="0.35">
      <c r="A152" s="1">
        <v>42917</v>
      </c>
      <c r="B152">
        <f t="shared" si="8"/>
        <v>2017</v>
      </c>
      <c r="C152">
        <v>12.241236230583601</v>
      </c>
      <c r="D152">
        <f t="shared" si="9"/>
        <v>207157.82691248017</v>
      </c>
      <c r="E152" t="e">
        <f>VLOOKUP(B152,[1]Nacional_1950_2017!$A$2:$C$69,3,0)</f>
        <v>#N/A</v>
      </c>
      <c r="F152" t="e">
        <f t="shared" si="10"/>
        <v>#N/A</v>
      </c>
      <c r="G152" t="e">
        <f t="shared" si="11"/>
        <v>#N/A</v>
      </c>
      <c r="H152">
        <v>11.147389021362017</v>
      </c>
    </row>
    <row r="153" spans="1:8" x14ac:dyDescent="0.35">
      <c r="A153" s="1">
        <v>42948</v>
      </c>
      <c r="B153">
        <f t="shared" si="8"/>
        <v>2017</v>
      </c>
      <c r="C153">
        <v>12.2526420393196</v>
      </c>
      <c r="D153">
        <f t="shared" si="9"/>
        <v>209534.15567828948</v>
      </c>
      <c r="E153" t="e">
        <f>VLOOKUP(B153,[1]Nacional_1950_2017!$A$2:$C$69,3,0)</f>
        <v>#N/A</v>
      </c>
      <c r="F153" t="e">
        <f t="shared" si="10"/>
        <v>#N/A</v>
      </c>
      <c r="G153" t="e">
        <f t="shared" si="11"/>
        <v>#N/A</v>
      </c>
      <c r="H153">
        <v>11.152704082174399</v>
      </c>
    </row>
    <row r="154" spans="1:8" x14ac:dyDescent="0.35">
      <c r="A154" s="1">
        <v>42979</v>
      </c>
      <c r="B154">
        <f t="shared" si="8"/>
        <v>2017</v>
      </c>
      <c r="C154">
        <v>12.253454130096801</v>
      </c>
      <c r="D154">
        <f t="shared" si="9"/>
        <v>209704.38554532145</v>
      </c>
      <c r="E154" t="e">
        <f>VLOOKUP(B154,[1]Nacional_1950_2017!$A$2:$C$69,3,0)</f>
        <v>#N/A</v>
      </c>
      <c r="F154" t="e">
        <f t="shared" si="10"/>
        <v>#N/A</v>
      </c>
      <c r="G154" t="e">
        <f t="shared" si="11"/>
        <v>#N/A</v>
      </c>
      <c r="H154">
        <v>11.14966695682512</v>
      </c>
    </row>
    <row r="155" spans="1:8" x14ac:dyDescent="0.35">
      <c r="A155" s="1">
        <v>43009</v>
      </c>
      <c r="B155">
        <f t="shared" si="8"/>
        <v>2017</v>
      </c>
      <c r="C155">
        <v>12.247483837316899</v>
      </c>
      <c r="D155">
        <f t="shared" si="9"/>
        <v>208456.11893276565</v>
      </c>
      <c r="E155" t="e">
        <f>VLOOKUP(B155,[1]Nacional_1950_2017!$A$2:$C$69,3,0)</f>
        <v>#N/A</v>
      </c>
      <c r="F155" t="e">
        <f t="shared" si="10"/>
        <v>#N/A</v>
      </c>
      <c r="G155" t="e">
        <f t="shared" si="11"/>
        <v>#N/A</v>
      </c>
      <c r="H155">
        <v>11.147408614533658</v>
      </c>
    </row>
    <row r="156" spans="1:8" x14ac:dyDescent="0.35">
      <c r="A156" s="1">
        <v>43040</v>
      </c>
      <c r="B156">
        <f t="shared" si="8"/>
        <v>2017</v>
      </c>
      <c r="C156">
        <v>12.250814140977299</v>
      </c>
      <c r="D156">
        <f t="shared" si="9"/>
        <v>209151.49837833687</v>
      </c>
      <c r="E156" t="e">
        <f>VLOOKUP(B156,[1]Nacional_1950_2017!$A$2:$C$69,3,0)</f>
        <v>#N/A</v>
      </c>
      <c r="F156" t="e">
        <f t="shared" si="10"/>
        <v>#N/A</v>
      </c>
      <c r="G156" t="e">
        <f t="shared" si="11"/>
        <v>#N/A</v>
      </c>
      <c r="H156">
        <v>11.147446034305824</v>
      </c>
    </row>
    <row r="157" spans="1:8" x14ac:dyDescent="0.35">
      <c r="A157" s="1">
        <v>43070</v>
      </c>
      <c r="B157">
        <f t="shared" si="8"/>
        <v>2017</v>
      </c>
      <c r="C157">
        <v>12.262913111705799</v>
      </c>
      <c r="D157">
        <f t="shared" si="9"/>
        <v>211697.3864913203</v>
      </c>
      <c r="E157" t="e">
        <f>VLOOKUP(B157,[1]Nacional_1950_2017!$A$2:$C$69,3,0)</f>
        <v>#N/A</v>
      </c>
      <c r="F157" t="e">
        <f t="shared" si="10"/>
        <v>#N/A</v>
      </c>
      <c r="G157" t="e">
        <f t="shared" si="11"/>
        <v>#N/A</v>
      </c>
      <c r="H157">
        <v>11.168411705682324</v>
      </c>
    </row>
    <row r="158" spans="1:8" x14ac:dyDescent="0.35">
      <c r="A158" s="1">
        <v>43101</v>
      </c>
      <c r="B158">
        <f t="shared" si="8"/>
        <v>2018</v>
      </c>
      <c r="C158">
        <v>12.247079883613001</v>
      </c>
      <c r="D158">
        <f t="shared" si="9"/>
        <v>208371.92931692087</v>
      </c>
      <c r="E158">
        <f>VLOOKUP(B158,[2]Hoja1!$A$2:$C$54,3,0)</f>
        <v>48258494</v>
      </c>
      <c r="F158">
        <f t="shared" si="10"/>
        <v>4317829.0917433286</v>
      </c>
      <c r="G158">
        <f t="shared" si="11"/>
        <v>15.278263308852843</v>
      </c>
      <c r="H158">
        <v>11.154061619903645</v>
      </c>
    </row>
    <row r="159" spans="1:8" x14ac:dyDescent="0.35">
      <c r="A159" s="1">
        <v>43132</v>
      </c>
      <c r="B159">
        <f t="shared" si="8"/>
        <v>2018</v>
      </c>
      <c r="C159">
        <v>12.2557071842147</v>
      </c>
      <c r="D159">
        <f t="shared" si="9"/>
        <v>210177.39353091837</v>
      </c>
      <c r="E159">
        <f>VLOOKUP(B159,[2]Hoja1!$A$2:$C$54,3,0)</f>
        <v>48258494</v>
      </c>
      <c r="F159">
        <f t="shared" si="10"/>
        <v>4355241.4530573282</v>
      </c>
      <c r="G159">
        <f t="shared" si="11"/>
        <v>15.286890609454542</v>
      </c>
      <c r="H159">
        <v>11.155412949428232</v>
      </c>
    </row>
    <row r="160" spans="1:8" x14ac:dyDescent="0.35">
      <c r="A160" s="1">
        <v>43160</v>
      </c>
      <c r="B160">
        <f t="shared" si="8"/>
        <v>2018</v>
      </c>
      <c r="C160">
        <v>12.2651988621723</v>
      </c>
      <c r="D160">
        <f t="shared" si="9"/>
        <v>212181.82733577312</v>
      </c>
      <c r="E160">
        <f>VLOOKUP(B160,[2]Hoja1!$A$2:$C$54,3,0)</f>
        <v>48258494</v>
      </c>
      <c r="F160">
        <f t="shared" si="10"/>
        <v>4396776.8106433889</v>
      </c>
      <c r="G160">
        <f t="shared" si="11"/>
        <v>15.296382287412142</v>
      </c>
      <c r="H160">
        <v>11.174061013689279</v>
      </c>
    </row>
    <row r="161" spans="1:8" x14ac:dyDescent="0.35">
      <c r="A161" s="1">
        <v>43191</v>
      </c>
      <c r="B161">
        <f t="shared" si="8"/>
        <v>2018</v>
      </c>
      <c r="C161">
        <v>12.262869965572801</v>
      </c>
      <c r="D161">
        <f t="shared" si="9"/>
        <v>211688.25276477117</v>
      </c>
      <c r="E161">
        <f>VLOOKUP(B161,[2]Hoja1!$A$2:$C$54,3,0)</f>
        <v>48258494</v>
      </c>
      <c r="F161">
        <f t="shared" si="10"/>
        <v>4386549.0863592047</v>
      </c>
      <c r="G161">
        <f t="shared" si="11"/>
        <v>15.294053390812643</v>
      </c>
      <c r="H161">
        <v>11.161625373486585</v>
      </c>
    </row>
    <row r="162" spans="1:8" x14ac:dyDescent="0.35">
      <c r="A162" s="1">
        <v>43221</v>
      </c>
      <c r="B162">
        <f t="shared" si="8"/>
        <v>2018</v>
      </c>
      <c r="C162">
        <v>12.270289463036301</v>
      </c>
      <c r="D162">
        <f t="shared" si="9"/>
        <v>213264.71426338574</v>
      </c>
      <c r="E162">
        <f>VLOOKUP(B162,[2]Hoja1!$A$2:$C$54,3,0)</f>
        <v>48258494</v>
      </c>
      <c r="F162">
        <f t="shared" si="10"/>
        <v>4419216.1127818404</v>
      </c>
      <c r="G162">
        <f t="shared" si="11"/>
        <v>15.301472888276145</v>
      </c>
      <c r="H162">
        <v>11.165543861291615</v>
      </c>
    </row>
    <row r="163" spans="1:8" x14ac:dyDescent="0.35">
      <c r="A163" s="1">
        <v>43252</v>
      </c>
      <c r="B163">
        <f t="shared" si="8"/>
        <v>2018</v>
      </c>
      <c r="C163">
        <v>12.275907271390899</v>
      </c>
      <c r="D163">
        <f t="shared" si="9"/>
        <v>214466.16616037401</v>
      </c>
      <c r="E163">
        <f>VLOOKUP(B163,[2]Hoja1!$A$2:$C$54,3,0)</f>
        <v>48258494</v>
      </c>
      <c r="F163">
        <f t="shared" si="10"/>
        <v>4444112.2874736618</v>
      </c>
      <c r="G163">
        <f t="shared" si="11"/>
        <v>15.307090696630741</v>
      </c>
      <c r="H163">
        <v>11.175719663844509</v>
      </c>
    </row>
    <row r="164" spans="1:8" x14ac:dyDescent="0.35">
      <c r="A164" s="1">
        <v>43282</v>
      </c>
      <c r="B164">
        <f t="shared" si="8"/>
        <v>2018</v>
      </c>
      <c r="C164">
        <v>12.2698481286429</v>
      </c>
      <c r="D164">
        <f t="shared" si="9"/>
        <v>213170.61397645649</v>
      </c>
      <c r="E164">
        <f>VLOOKUP(B164,[2]Hoja1!$A$2:$C$54,3,0)</f>
        <v>48258494</v>
      </c>
      <c r="F164">
        <f t="shared" si="10"/>
        <v>4417266.1910348153</v>
      </c>
      <c r="G164">
        <f t="shared" si="11"/>
        <v>15.301031553882742</v>
      </c>
      <c r="H164">
        <v>11.17397713379491</v>
      </c>
    </row>
    <row r="165" spans="1:8" x14ac:dyDescent="0.35">
      <c r="A165" s="1">
        <v>43313</v>
      </c>
      <c r="B165">
        <f t="shared" si="8"/>
        <v>2018</v>
      </c>
      <c r="C165">
        <v>12.282553982941501</v>
      </c>
      <c r="D165">
        <f t="shared" si="9"/>
        <v>215896.40884396111</v>
      </c>
      <c r="E165">
        <f>VLOOKUP(B165,[2]Hoja1!$A$2:$C$54,3,0)</f>
        <v>48258494</v>
      </c>
      <c r="F165">
        <f t="shared" si="10"/>
        <v>4473749.4055235349</v>
      </c>
      <c r="G165">
        <f t="shared" si="11"/>
        <v>15.313737408181343</v>
      </c>
      <c r="H165">
        <v>11.177497208969454</v>
      </c>
    </row>
    <row r="166" spans="1:8" x14ac:dyDescent="0.35">
      <c r="A166" s="1">
        <v>43344</v>
      </c>
      <c r="B166">
        <f t="shared" si="8"/>
        <v>2018</v>
      </c>
      <c r="C166">
        <v>12.2783054184156</v>
      </c>
      <c r="D166">
        <f t="shared" si="9"/>
        <v>214981.10476109822</v>
      </c>
      <c r="E166">
        <f>VLOOKUP(B166,[2]Hoja1!$A$2:$C$54,3,0)</f>
        <v>48258494</v>
      </c>
      <c r="F166">
        <f t="shared" si="10"/>
        <v>4454782.7116423948</v>
      </c>
      <c r="G166">
        <f t="shared" si="11"/>
        <v>15.309488843655444</v>
      </c>
      <c r="H166">
        <v>11.181812899817777</v>
      </c>
    </row>
    <row r="167" spans="1:8" x14ac:dyDescent="0.35">
      <c r="A167" s="1">
        <v>43374</v>
      </c>
      <c r="B167">
        <f t="shared" si="8"/>
        <v>2018</v>
      </c>
      <c r="C167">
        <v>12.2810094533359</v>
      </c>
      <c r="D167">
        <f t="shared" si="9"/>
        <v>215563.20783441013</v>
      </c>
      <c r="E167">
        <f>VLOOKUP(B167,[2]Hoja1!$A$2:$C$54,3,0)</f>
        <v>48258494</v>
      </c>
      <c r="F167">
        <f t="shared" si="10"/>
        <v>4466844.9005973982</v>
      </c>
      <c r="G167">
        <f t="shared" si="11"/>
        <v>15.312192878575742</v>
      </c>
      <c r="H167">
        <v>11.18014521110385</v>
      </c>
    </row>
    <row r="168" spans="1:8" x14ac:dyDescent="0.35">
      <c r="A168" s="1">
        <v>43405</v>
      </c>
      <c r="B168">
        <f t="shared" si="8"/>
        <v>2018</v>
      </c>
      <c r="C168">
        <v>12.284869934377999</v>
      </c>
      <c r="D168">
        <f t="shared" si="9"/>
        <v>216396.99388373308</v>
      </c>
      <c r="E168">
        <f>VLOOKUP(B168,[2]Hoja1!$A$2:$C$54,3,0)</f>
        <v>48258494</v>
      </c>
      <c r="F168">
        <f t="shared" si="10"/>
        <v>4484122.3989238683</v>
      </c>
      <c r="G168">
        <f t="shared" si="11"/>
        <v>15.316053359617843</v>
      </c>
      <c r="H168">
        <v>11.184865420843131</v>
      </c>
    </row>
    <row r="169" spans="1:8" x14ac:dyDescent="0.35">
      <c r="A169" s="1">
        <v>43435</v>
      </c>
      <c r="B169">
        <f t="shared" si="8"/>
        <v>2018</v>
      </c>
      <c r="C169">
        <v>12.2825778222862</v>
      </c>
      <c r="D169">
        <f t="shared" si="9"/>
        <v>215901.55573421984</v>
      </c>
      <c r="E169">
        <f>VLOOKUP(B169,[2]Hoja1!$A$2:$C$54,3,0)</f>
        <v>48258494</v>
      </c>
      <c r="F169">
        <f t="shared" si="10"/>
        <v>4473856.0580489691</v>
      </c>
      <c r="G169">
        <f t="shared" si="11"/>
        <v>15.313761247526042</v>
      </c>
      <c r="H169">
        <v>11.188060018270987</v>
      </c>
    </row>
    <row r="170" spans="1:8" x14ac:dyDescent="0.35">
      <c r="A170" s="1">
        <v>43466</v>
      </c>
      <c r="B170">
        <f t="shared" si="8"/>
        <v>2019</v>
      </c>
      <c r="C170">
        <v>12.289363818783899</v>
      </c>
      <c r="D170">
        <f t="shared" si="9"/>
        <v>217371.64530518645</v>
      </c>
      <c r="E170">
        <f>VLOOKUP(B170,[2]Hoja1!$A$2:$C$54,3,0)</f>
        <v>49266526</v>
      </c>
      <c r="F170">
        <f t="shared" si="10"/>
        <v>4412156.9543017186</v>
      </c>
      <c r="G170">
        <f t="shared" si="11"/>
        <v>15.299874233133863</v>
      </c>
      <c r="H170">
        <v>11.191648759693285</v>
      </c>
    </row>
    <row r="171" spans="1:8" x14ac:dyDescent="0.35">
      <c r="A171" s="1">
        <v>43497</v>
      </c>
      <c r="B171">
        <f t="shared" si="8"/>
        <v>2019</v>
      </c>
      <c r="C171">
        <v>12.298190475278499</v>
      </c>
      <c r="D171">
        <f t="shared" si="9"/>
        <v>219298.80281661134</v>
      </c>
      <c r="E171">
        <f>VLOOKUP(B171,[2]Hoja1!$A$2:$C$54,3,0)</f>
        <v>49266526</v>
      </c>
      <c r="F171">
        <f t="shared" si="10"/>
        <v>4451273.9302262012</v>
      </c>
      <c r="G171">
        <f t="shared" si="11"/>
        <v>15.308700889628463</v>
      </c>
      <c r="H171">
        <v>11.190758574223915</v>
      </c>
    </row>
    <row r="172" spans="1:8" x14ac:dyDescent="0.35">
      <c r="A172" s="1">
        <v>43525</v>
      </c>
      <c r="B172">
        <f t="shared" si="8"/>
        <v>2019</v>
      </c>
      <c r="C172">
        <v>12.284642305937499</v>
      </c>
      <c r="D172">
        <f t="shared" si="9"/>
        <v>216347.74137933442</v>
      </c>
      <c r="E172">
        <f>VLOOKUP(B172,[2]Hoja1!$A$2:$C$54,3,0)</f>
        <v>49266526</v>
      </c>
      <c r="F172">
        <f t="shared" si="10"/>
        <v>4391374.000661918</v>
      </c>
      <c r="G172">
        <f t="shared" si="11"/>
        <v>15.295152720287463</v>
      </c>
      <c r="H172">
        <v>11.189419060633849</v>
      </c>
    </row>
    <row r="173" spans="1:8" x14ac:dyDescent="0.35">
      <c r="A173" s="1">
        <v>43556</v>
      </c>
      <c r="B173">
        <f t="shared" si="8"/>
        <v>2019</v>
      </c>
      <c r="C173">
        <v>12.2969852070947</v>
      </c>
      <c r="D173">
        <f t="shared" si="9"/>
        <v>219034.64816740583</v>
      </c>
      <c r="E173">
        <f>VLOOKUP(B173,[2]Hoja1!$A$2:$C$54,3,0)</f>
        <v>49266526</v>
      </c>
      <c r="F173">
        <f t="shared" si="10"/>
        <v>4445912.1832013456</v>
      </c>
      <c r="G173">
        <f t="shared" si="11"/>
        <v>15.307495621444664</v>
      </c>
      <c r="H173">
        <v>11.200222838687612</v>
      </c>
    </row>
    <row r="174" spans="1:8" x14ac:dyDescent="0.35">
      <c r="A174" s="1">
        <v>43586</v>
      </c>
      <c r="B174">
        <f t="shared" si="8"/>
        <v>2019</v>
      </c>
      <c r="C174">
        <v>12.306350815479901</v>
      </c>
      <c r="D174">
        <f t="shared" si="9"/>
        <v>221095.67723531576</v>
      </c>
      <c r="E174">
        <f>VLOOKUP(B174,[2]Hoja1!$A$2:$C$54,3,0)</f>
        <v>49266526</v>
      </c>
      <c r="F174">
        <f t="shared" si="10"/>
        <v>4487746.451521988</v>
      </c>
      <c r="G174">
        <f t="shared" si="11"/>
        <v>15.316861229829865</v>
      </c>
      <c r="H174">
        <v>11.203581884341308</v>
      </c>
    </row>
    <row r="175" spans="1:8" x14ac:dyDescent="0.35">
      <c r="A175" s="1">
        <v>43617</v>
      </c>
      <c r="B175">
        <f t="shared" si="8"/>
        <v>2019</v>
      </c>
      <c r="C175">
        <v>12.295062397425401</v>
      </c>
      <c r="D175">
        <f t="shared" si="9"/>
        <v>218613.89087572767</v>
      </c>
      <c r="E175">
        <f>VLOOKUP(B175,[2]Hoja1!$A$2:$C$54,3,0)</f>
        <v>49266526</v>
      </c>
      <c r="F175">
        <f t="shared" si="10"/>
        <v>4437371.75370814</v>
      </c>
      <c r="G175">
        <f t="shared" si="11"/>
        <v>15.305572811775365</v>
      </c>
      <c r="H175">
        <v>11.202337520008705</v>
      </c>
    </row>
    <row r="176" spans="1:8" x14ac:dyDescent="0.35">
      <c r="A176" s="1">
        <v>43647</v>
      </c>
      <c r="B176">
        <f t="shared" si="8"/>
        <v>2019</v>
      </c>
      <c r="C176">
        <v>12.310054056593801</v>
      </c>
      <c r="D176">
        <f t="shared" si="9"/>
        <v>221915.9657630072</v>
      </c>
      <c r="E176">
        <f>VLOOKUP(B176,[2]Hoja1!$A$2:$C$54,3,0)</f>
        <v>49266526</v>
      </c>
      <c r="F176">
        <f t="shared" si="10"/>
        <v>4504396.4691768037</v>
      </c>
      <c r="G176">
        <f t="shared" si="11"/>
        <v>15.320564470943765</v>
      </c>
      <c r="H176">
        <v>11.211138536571827</v>
      </c>
    </row>
    <row r="177" spans="1:8" x14ac:dyDescent="0.35">
      <c r="A177" s="1">
        <v>43678</v>
      </c>
      <c r="B177">
        <f t="shared" si="8"/>
        <v>2019</v>
      </c>
      <c r="C177">
        <v>12.309872255452699</v>
      </c>
      <c r="D177">
        <f t="shared" si="9"/>
        <v>221875.62485432558</v>
      </c>
      <c r="E177">
        <f>VLOOKUP(B177,[2]Hoja1!$A$2:$C$54,3,0)</f>
        <v>49266526</v>
      </c>
      <c r="F177">
        <f t="shared" si="10"/>
        <v>4503577.6391931027</v>
      </c>
      <c r="G177">
        <f t="shared" si="11"/>
        <v>15.320382669802664</v>
      </c>
      <c r="H177">
        <v>11.208470423126608</v>
      </c>
    </row>
    <row r="178" spans="1:8" x14ac:dyDescent="0.35">
      <c r="A178" s="1">
        <v>43709</v>
      </c>
      <c r="B178">
        <f t="shared" si="8"/>
        <v>2019</v>
      </c>
      <c r="C178">
        <v>12.3020655479536</v>
      </c>
      <c r="D178">
        <f t="shared" si="9"/>
        <v>220150.25025999165</v>
      </c>
      <c r="E178">
        <f>VLOOKUP(B178,[2]Hoja1!$A$2:$C$54,3,0)</f>
        <v>49266526</v>
      </c>
      <c r="F178">
        <f t="shared" si="10"/>
        <v>4468556.4039971409</v>
      </c>
      <c r="G178">
        <f t="shared" si="11"/>
        <v>15.312575962303564</v>
      </c>
      <c r="H178">
        <v>11.207950944406583</v>
      </c>
    </row>
    <row r="179" spans="1:8" x14ac:dyDescent="0.35">
      <c r="A179" s="1">
        <v>43739</v>
      </c>
      <c r="B179">
        <f t="shared" si="8"/>
        <v>2019</v>
      </c>
      <c r="C179">
        <v>12.3136749219391</v>
      </c>
      <c r="D179">
        <f t="shared" si="9"/>
        <v>222720.95008343188</v>
      </c>
      <c r="E179">
        <f>VLOOKUP(B179,[2]Hoja1!$A$2:$C$54,3,0)</f>
        <v>49266526</v>
      </c>
      <c r="F179">
        <f t="shared" si="10"/>
        <v>4520735.845743048</v>
      </c>
      <c r="G179">
        <f t="shared" si="11"/>
        <v>15.324185336289064</v>
      </c>
      <c r="H179">
        <v>11.215747704038442</v>
      </c>
    </row>
    <row r="180" spans="1:8" x14ac:dyDescent="0.35">
      <c r="A180" s="1">
        <v>43770</v>
      </c>
      <c r="B180">
        <f t="shared" si="8"/>
        <v>2019</v>
      </c>
      <c r="C180">
        <v>12.310862434889801</v>
      </c>
      <c r="D180">
        <f t="shared" si="9"/>
        <v>222095.43034112785</v>
      </c>
      <c r="E180">
        <f>VLOOKUP(B180,[2]Hoja1!$A$2:$C$54,3,0)</f>
        <v>49266526</v>
      </c>
      <c r="F180">
        <f t="shared" si="10"/>
        <v>4508039.1976720225</v>
      </c>
      <c r="G180">
        <f t="shared" si="11"/>
        <v>15.321372849239765</v>
      </c>
      <c r="H180">
        <v>11.217962125350629</v>
      </c>
    </row>
    <row r="181" spans="1:8" x14ac:dyDescent="0.35">
      <c r="A181" s="1">
        <v>43800</v>
      </c>
      <c r="B181">
        <f t="shared" si="8"/>
        <v>2019</v>
      </c>
      <c r="C181">
        <v>12.315714243171101</v>
      </c>
      <c r="D181">
        <f t="shared" si="9"/>
        <v>223175.61309013772</v>
      </c>
      <c r="E181">
        <f>VLOOKUP(B181,[2]Hoja1!$A$2:$C$54,3,0)</f>
        <v>49266526</v>
      </c>
      <c r="F181">
        <f t="shared" si="10"/>
        <v>4529964.4852193901</v>
      </c>
      <c r="G181">
        <f t="shared" si="11"/>
        <v>15.326224657521065</v>
      </c>
      <c r="H181">
        <v>11.221017508458294</v>
      </c>
    </row>
    <row r="182" spans="1:8" x14ac:dyDescent="0.35">
      <c r="A182" s="1">
        <v>43831</v>
      </c>
      <c r="B182">
        <f t="shared" si="8"/>
        <v>2020</v>
      </c>
      <c r="C182">
        <v>12.328180299956999</v>
      </c>
      <c r="D182">
        <f t="shared" si="9"/>
        <v>225975.1462714927</v>
      </c>
      <c r="E182">
        <f>VLOOKUP(B182,[2]Hoja1!$A$2:$C$54,3,0)</f>
        <v>50390790</v>
      </c>
      <c r="F182">
        <f t="shared" si="10"/>
        <v>4484453.335053741</v>
      </c>
      <c r="G182">
        <f t="shared" si="11"/>
        <v>15.316127158655691</v>
      </c>
    </row>
    <row r="183" spans="1:8" x14ac:dyDescent="0.35">
      <c r="A183" s="1">
        <v>43862</v>
      </c>
      <c r="B183">
        <f t="shared" si="8"/>
        <v>2020</v>
      </c>
      <c r="C183">
        <v>12.330729262738901</v>
      </c>
      <c r="D183">
        <f t="shared" si="9"/>
        <v>226551.88323723862</v>
      </c>
      <c r="E183">
        <f>VLOOKUP(B183,[2]Hoja1!$A$2:$C$54,3,0)</f>
        <v>50390790</v>
      </c>
      <c r="F183">
        <f t="shared" si="10"/>
        <v>4495898.6203081682</v>
      </c>
      <c r="G183">
        <f t="shared" si="11"/>
        <v>15.318676121437592</v>
      </c>
    </row>
    <row r="184" spans="1:8" x14ac:dyDescent="0.35">
      <c r="A184" s="1">
        <v>43891</v>
      </c>
      <c r="B184">
        <f t="shared" si="8"/>
        <v>2020</v>
      </c>
      <c r="C184">
        <v>12.223272447304099</v>
      </c>
      <c r="D184">
        <f t="shared" si="9"/>
        <v>203469.71401378702</v>
      </c>
      <c r="E184">
        <f>VLOOKUP(B184,[2]Hoja1!$A$2:$C$54,3,0)</f>
        <v>50390790</v>
      </c>
      <c r="F184">
        <f t="shared" si="10"/>
        <v>4037835.3666173322</v>
      </c>
      <c r="G184">
        <f t="shared" si="11"/>
        <v>15.211219306002791</v>
      </c>
    </row>
    <row r="185" spans="1:8" x14ac:dyDescent="0.35">
      <c r="A185" s="1">
        <v>43922</v>
      </c>
      <c r="B185">
        <f t="shared" si="8"/>
        <v>2020</v>
      </c>
      <c r="C185">
        <v>12.0695971766998</v>
      </c>
      <c r="D185">
        <f t="shared" si="9"/>
        <v>174485.54433390935</v>
      </c>
      <c r="E185">
        <f>VLOOKUP(B185,[2]Hoja1!$A$2:$C$54,3,0)</f>
        <v>50390790</v>
      </c>
      <c r="F185">
        <f t="shared" si="10"/>
        <v>3462647.5261433558</v>
      </c>
      <c r="G185">
        <f t="shared" si="11"/>
        <v>15.057544035398491</v>
      </c>
    </row>
    <row r="186" spans="1:8" x14ac:dyDescent="0.35">
      <c r="A186" s="1">
        <v>43952</v>
      </c>
      <c r="B186">
        <f t="shared" si="8"/>
        <v>2020</v>
      </c>
      <c r="C186">
        <v>12.1150542139716</v>
      </c>
      <c r="D186">
        <f t="shared" si="9"/>
        <v>182600.1765429868</v>
      </c>
      <c r="E186">
        <f>VLOOKUP(B186,[2]Hoja1!$A$2:$C$54,3,0)</f>
        <v>50390790</v>
      </c>
      <c r="F186">
        <f t="shared" si="10"/>
        <v>3623681.5605190308</v>
      </c>
      <c r="G186">
        <f t="shared" si="11"/>
        <v>15.103001072670292</v>
      </c>
    </row>
    <row r="187" spans="1:8" x14ac:dyDescent="0.35">
      <c r="A187" s="1">
        <v>43983</v>
      </c>
      <c r="B187">
        <f t="shared" si="8"/>
        <v>2020</v>
      </c>
      <c r="C187">
        <v>12.1642787293287</v>
      </c>
      <c r="D187">
        <f t="shared" si="9"/>
        <v>191813.48169248214</v>
      </c>
      <c r="E187">
        <f>VLOOKUP(B187,[2]Hoja1!$A$2:$C$54,3,0)</f>
        <v>50390790</v>
      </c>
      <c r="F187">
        <f t="shared" si="10"/>
        <v>3806518.6454207627</v>
      </c>
      <c r="G187">
        <f t="shared" si="11"/>
        <v>15.152225588027392</v>
      </c>
    </row>
    <row r="188" spans="1:8" x14ac:dyDescent="0.35">
      <c r="A188" s="1">
        <v>44013</v>
      </c>
      <c r="B188">
        <f t="shared" si="8"/>
        <v>2020</v>
      </c>
      <c r="C188">
        <v>12.1972851320792</v>
      </c>
      <c r="D188">
        <f t="shared" si="9"/>
        <v>198250.19677950008</v>
      </c>
      <c r="E188">
        <f>VLOOKUP(B188,[2]Hoja1!$A$2:$C$54,3,0)</f>
        <v>50390790</v>
      </c>
      <c r="F188">
        <f t="shared" si="10"/>
        <v>3934254.5885766051</v>
      </c>
      <c r="G188">
        <f t="shared" si="11"/>
        <v>15.185231990777892</v>
      </c>
    </row>
    <row r="189" spans="1:8" x14ac:dyDescent="0.35">
      <c r="A189" s="1">
        <v>44044</v>
      </c>
      <c r="B189">
        <f t="shared" si="8"/>
        <v>2020</v>
      </c>
      <c r="C189">
        <v>12.2011505260141</v>
      </c>
      <c r="D189">
        <f t="shared" si="9"/>
        <v>199017.99485274244</v>
      </c>
      <c r="E189">
        <f>VLOOKUP(B189,[2]Hoja1!$A$2:$C$54,3,0)</f>
        <v>50390790</v>
      </c>
      <c r="F189">
        <f t="shared" si="10"/>
        <v>3949491.4616885833</v>
      </c>
      <c r="G189">
        <f t="shared" si="11"/>
        <v>15.189097384712792</v>
      </c>
    </row>
    <row r="190" spans="1:8" x14ac:dyDescent="0.35">
      <c r="A190" s="1">
        <v>44075</v>
      </c>
      <c r="B190">
        <f t="shared" si="8"/>
        <v>2020</v>
      </c>
      <c r="C190">
        <v>12.2385706919067</v>
      </c>
      <c r="D190">
        <f t="shared" si="9"/>
        <v>206606.37499733624</v>
      </c>
      <c r="E190">
        <f>VLOOKUP(B190,[2]Hoja1!$A$2:$C$54,3,0)</f>
        <v>50390790</v>
      </c>
      <c r="F190">
        <f t="shared" si="10"/>
        <v>4100082.0784380687</v>
      </c>
      <c r="G190">
        <f t="shared" si="11"/>
        <v>15.226517550605392</v>
      </c>
    </row>
    <row r="191" spans="1:8" x14ac:dyDescent="0.35">
      <c r="A191" s="1">
        <v>44105</v>
      </c>
      <c r="B191">
        <f t="shared" si="8"/>
        <v>2020</v>
      </c>
      <c r="C191">
        <v>12.268169679137699</v>
      </c>
      <c r="D191">
        <f t="shared" si="9"/>
        <v>212813.11796833118</v>
      </c>
      <c r="E191">
        <f>VLOOKUP(B191,[2]Hoja1!$A$2:$C$54,3,0)</f>
        <v>50390790</v>
      </c>
      <c r="F191">
        <f t="shared" si="10"/>
        <v>4223254.2488087844</v>
      </c>
      <c r="G191">
        <f t="shared" si="11"/>
        <v>15.256116537836391</v>
      </c>
    </row>
    <row r="192" spans="1:8" x14ac:dyDescent="0.35">
      <c r="A192" s="1">
        <v>44136</v>
      </c>
      <c r="B192">
        <f t="shared" si="8"/>
        <v>2020</v>
      </c>
      <c r="C192">
        <v>12.277085532695599</v>
      </c>
      <c r="D192">
        <f t="shared" si="9"/>
        <v>214719.01227527257</v>
      </c>
      <c r="E192">
        <f>VLOOKUP(B192,[2]Hoja1!$A$2:$C$54,3,0)</f>
        <v>50390790</v>
      </c>
      <c r="F192">
        <f t="shared" si="10"/>
        <v>4261076.5236122031</v>
      </c>
      <c r="G192">
        <f t="shared" si="11"/>
        <v>15.265032391394291</v>
      </c>
    </row>
    <row r="193" spans="1:7" x14ac:dyDescent="0.35">
      <c r="A193" s="1">
        <v>44166</v>
      </c>
      <c r="B193">
        <f t="shared" si="8"/>
        <v>2020</v>
      </c>
      <c r="C193">
        <v>12.295763678166599</v>
      </c>
      <c r="D193">
        <f t="shared" si="9"/>
        <v>218767.25435629967</v>
      </c>
      <c r="E193">
        <f>VLOOKUP(B193,[2]Hoja1!$A$2:$C$54,3,0)</f>
        <v>50390790</v>
      </c>
      <c r="F193">
        <f t="shared" si="10"/>
        <v>4341413.4677447937</v>
      </c>
      <c r="G193">
        <f t="shared" si="11"/>
        <v>15.283710536865291</v>
      </c>
    </row>
    <row r="194" spans="1:7" x14ac:dyDescent="0.35">
      <c r="A194" s="1">
        <v>44197</v>
      </c>
      <c r="B194">
        <f t="shared" si="8"/>
        <v>2021</v>
      </c>
      <c r="C194">
        <v>12.289995311509699</v>
      </c>
      <c r="D194">
        <f t="shared" si="9"/>
        <v>217508.95726918193</v>
      </c>
      <c r="E194">
        <f>VLOOKUP(B194,[2]Hoja1!$A$2:$C$54,3,0)</f>
        <v>51115637</v>
      </c>
      <c r="F194">
        <f t="shared" si="10"/>
        <v>4255233.2326247236</v>
      </c>
      <c r="G194">
        <f t="shared" si="11"/>
        <v>15.263660132265235</v>
      </c>
    </row>
    <row r="195" spans="1:7" x14ac:dyDescent="0.35">
      <c r="A195" s="1">
        <v>44228</v>
      </c>
      <c r="B195">
        <f t="shared" ref="B195:B253" si="12">YEAR(A195)</f>
        <v>2021</v>
      </c>
      <c r="C195">
        <v>12.3100789513769</v>
      </c>
      <c r="D195">
        <f t="shared" ref="D195:D253" si="13">EXP(C195)</f>
        <v>221921.49038160787</v>
      </c>
      <c r="E195">
        <f>VLOOKUP(B195,[2]Hoja1!$A$2:$C$54,3,0)</f>
        <v>51115637</v>
      </c>
      <c r="F195">
        <f t="shared" ref="F195:F253" si="14">D195*1000000000/E195</f>
        <v>4341557.7581789279</v>
      </c>
      <c r="G195">
        <f t="shared" ref="G195:G253" si="15">LN(F195)</f>
        <v>15.283743772132436</v>
      </c>
    </row>
    <row r="196" spans="1:7" x14ac:dyDescent="0.35">
      <c r="A196" s="1">
        <v>44256</v>
      </c>
      <c r="B196">
        <f t="shared" si="12"/>
        <v>2021</v>
      </c>
      <c r="C196">
        <v>12.3285723171134</v>
      </c>
      <c r="D196">
        <f t="shared" si="13"/>
        <v>226063.74977166264</v>
      </c>
      <c r="E196">
        <f>VLOOKUP(B196,[2]Hoja1!$A$2:$C$54,3,0)</f>
        <v>51115637</v>
      </c>
      <c r="F196">
        <f t="shared" si="14"/>
        <v>4422594.7878075475</v>
      </c>
      <c r="G196">
        <f t="shared" si="15"/>
        <v>15.302237137868936</v>
      </c>
    </row>
    <row r="197" spans="1:7" x14ac:dyDescent="0.35">
      <c r="A197" s="1">
        <v>44287</v>
      </c>
      <c r="B197">
        <f t="shared" si="12"/>
        <v>2021</v>
      </c>
      <c r="C197">
        <v>12.300043241728501</v>
      </c>
      <c r="D197">
        <f t="shared" si="13"/>
        <v>219705.48891183452</v>
      </c>
      <c r="E197">
        <f>VLOOKUP(B197,[2]Hoja1!$A$2:$C$54,3,0)</f>
        <v>51115637</v>
      </c>
      <c r="F197">
        <f t="shared" si="14"/>
        <v>4298205.046565976</v>
      </c>
      <c r="G197">
        <f t="shared" si="15"/>
        <v>15.273708062484037</v>
      </c>
    </row>
    <row r="198" spans="1:7" x14ac:dyDescent="0.35">
      <c r="A198" s="1">
        <v>44317</v>
      </c>
      <c r="B198">
        <f t="shared" si="12"/>
        <v>2021</v>
      </c>
      <c r="C198">
        <v>12.2429630306635</v>
      </c>
      <c r="D198">
        <f t="shared" si="13"/>
        <v>207515.85609799196</v>
      </c>
      <c r="E198">
        <f>VLOOKUP(B198,[2]Hoja1!$A$2:$C$54,3,0)</f>
        <v>51115637</v>
      </c>
      <c r="F198">
        <f t="shared" si="14"/>
        <v>4059733.3473119382</v>
      </c>
      <c r="G198">
        <f t="shared" si="15"/>
        <v>15.216627851419036</v>
      </c>
    </row>
    <row r="199" spans="1:7" x14ac:dyDescent="0.35">
      <c r="A199" s="1">
        <v>44348</v>
      </c>
      <c r="B199">
        <f t="shared" si="12"/>
        <v>2021</v>
      </c>
      <c r="C199">
        <v>12.316355577608</v>
      </c>
      <c r="D199">
        <f t="shared" si="13"/>
        <v>223318.78920326702</v>
      </c>
      <c r="E199">
        <f>VLOOKUP(B199,[2]Hoja1!$A$2:$C$54,3,0)</f>
        <v>51115637</v>
      </c>
      <c r="F199">
        <f t="shared" si="14"/>
        <v>4368893.7927794391</v>
      </c>
      <c r="G199">
        <f t="shared" si="15"/>
        <v>15.290020398363536</v>
      </c>
    </row>
    <row r="200" spans="1:7" x14ac:dyDescent="0.35">
      <c r="A200" s="1">
        <v>44378</v>
      </c>
      <c r="B200">
        <f t="shared" si="12"/>
        <v>2021</v>
      </c>
      <c r="C200">
        <v>12.326659994811999</v>
      </c>
      <c r="D200">
        <f t="shared" si="13"/>
        <v>225631.85611299242</v>
      </c>
      <c r="E200">
        <f>VLOOKUP(B200,[2]Hoja1!$A$2:$C$54,3,0)</f>
        <v>51115637</v>
      </c>
      <c r="F200">
        <f t="shared" si="14"/>
        <v>4414145.4426752506</v>
      </c>
      <c r="G200">
        <f t="shared" si="15"/>
        <v>15.300324815567535</v>
      </c>
    </row>
    <row r="201" spans="1:7" x14ac:dyDescent="0.35">
      <c r="A201" s="1">
        <v>44409</v>
      </c>
      <c r="B201">
        <f t="shared" si="12"/>
        <v>2021</v>
      </c>
      <c r="C201">
        <v>12.317680859773599</v>
      </c>
      <c r="D201">
        <f t="shared" si="13"/>
        <v>223614.9458140317</v>
      </c>
      <c r="E201">
        <f>VLOOKUP(B201,[2]Hoja1!$A$2:$C$54,3,0)</f>
        <v>51115637</v>
      </c>
      <c r="F201">
        <f t="shared" si="14"/>
        <v>4374687.6482050233</v>
      </c>
      <c r="G201">
        <f t="shared" si="15"/>
        <v>15.291345680529135</v>
      </c>
    </row>
    <row r="202" spans="1:7" x14ac:dyDescent="0.35">
      <c r="A202" s="1">
        <v>44440</v>
      </c>
      <c r="B202">
        <f t="shared" si="12"/>
        <v>2021</v>
      </c>
      <c r="C202">
        <v>12.372393615414399</v>
      </c>
      <c r="D202">
        <f t="shared" si="13"/>
        <v>236190.41819077337</v>
      </c>
      <c r="E202">
        <f>VLOOKUP(B202,[2]Hoja1!$A$2:$C$54,3,0)</f>
        <v>51115637</v>
      </c>
      <c r="F202">
        <f t="shared" si="14"/>
        <v>4620707.7139774933</v>
      </c>
      <c r="G202">
        <f t="shared" si="15"/>
        <v>15.346058436169935</v>
      </c>
    </row>
    <row r="203" spans="1:7" x14ac:dyDescent="0.35">
      <c r="A203" s="1">
        <v>44470</v>
      </c>
      <c r="B203">
        <f t="shared" si="12"/>
        <v>2021</v>
      </c>
      <c r="C203">
        <v>12.370416846255599</v>
      </c>
      <c r="D203">
        <f t="shared" si="13"/>
        <v>235723.98542333118</v>
      </c>
      <c r="E203">
        <f>VLOOKUP(B203,[2]Hoja1!$A$2:$C$54,3,0)</f>
        <v>51115637</v>
      </c>
      <c r="F203">
        <f t="shared" si="14"/>
        <v>4611582.6635072781</v>
      </c>
      <c r="G203">
        <f t="shared" si="15"/>
        <v>15.344081667011135</v>
      </c>
    </row>
    <row r="204" spans="1:7" x14ac:dyDescent="0.35">
      <c r="A204" s="1">
        <v>44501</v>
      </c>
      <c r="B204">
        <f t="shared" si="12"/>
        <v>2021</v>
      </c>
      <c r="C204">
        <v>12.385078142225</v>
      </c>
      <c r="D204">
        <f t="shared" si="13"/>
        <v>239205.46366939761</v>
      </c>
      <c r="E204">
        <f>VLOOKUP(B204,[2]Hoja1!$A$2:$C$54,3,0)</f>
        <v>51115637</v>
      </c>
      <c r="F204">
        <f t="shared" si="14"/>
        <v>4679692.5111076599</v>
      </c>
      <c r="G204">
        <f t="shared" si="15"/>
        <v>15.358742962980536</v>
      </c>
    </row>
    <row r="205" spans="1:7" x14ac:dyDescent="0.35">
      <c r="A205" s="1">
        <v>44531</v>
      </c>
      <c r="B205">
        <f t="shared" si="12"/>
        <v>2021</v>
      </c>
      <c r="C205">
        <v>12.400747911519399</v>
      </c>
      <c r="D205">
        <f t="shared" si="13"/>
        <v>242983.27955008188</v>
      </c>
      <c r="E205">
        <f>VLOOKUP(B205,[2]Hoja1!$A$2:$C$54,3,0)</f>
        <v>51115637</v>
      </c>
      <c r="F205">
        <f t="shared" si="14"/>
        <v>4753599.7555910703</v>
      </c>
      <c r="G205">
        <f t="shared" si="15"/>
        <v>15.374412732274935</v>
      </c>
    </row>
    <row r="206" spans="1:7" x14ac:dyDescent="0.35">
      <c r="A206" s="1">
        <v>44562</v>
      </c>
      <c r="B206">
        <f t="shared" si="12"/>
        <v>2022</v>
      </c>
      <c r="C206">
        <v>12.372533143548701</v>
      </c>
      <c r="D206">
        <f t="shared" si="13"/>
        <v>236223.37569835974</v>
      </c>
      <c r="E206">
        <f>VLOOKUP(B206,[2]Hoja1!$A$2:$C$54,3,0)</f>
        <v>51643565</v>
      </c>
      <c r="F206">
        <f t="shared" si="14"/>
        <v>4574110.5537226126</v>
      </c>
      <c r="G206">
        <f t="shared" si="15"/>
        <v>15.335922823303951</v>
      </c>
    </row>
    <row r="207" spans="1:7" x14ac:dyDescent="0.35">
      <c r="A207" s="1">
        <v>44593</v>
      </c>
      <c r="B207">
        <f t="shared" si="12"/>
        <v>2022</v>
      </c>
      <c r="C207">
        <v>12.3849253175546</v>
      </c>
      <c r="D207">
        <f t="shared" si="13"/>
        <v>239168.90996647952</v>
      </c>
      <c r="E207">
        <f>VLOOKUP(B207,[2]Hoja1!$A$2:$C$54,3,0)</f>
        <v>51643565</v>
      </c>
      <c r="F207">
        <f t="shared" si="14"/>
        <v>4631146.396777208</v>
      </c>
      <c r="G207">
        <f t="shared" si="15"/>
        <v>15.348314997309851</v>
      </c>
    </row>
    <row r="208" spans="1:7" x14ac:dyDescent="0.35">
      <c r="A208" s="1">
        <v>44621</v>
      </c>
      <c r="B208">
        <f t="shared" si="12"/>
        <v>2022</v>
      </c>
      <c r="C208">
        <v>12.402095088896701</v>
      </c>
      <c r="D208">
        <f t="shared" si="13"/>
        <v>243310.84171998603</v>
      </c>
      <c r="E208">
        <f>VLOOKUP(B208,[2]Hoja1!$A$2:$C$54,3,0)</f>
        <v>51643565</v>
      </c>
      <c r="F208">
        <f t="shared" si="14"/>
        <v>4711348.678581466</v>
      </c>
      <c r="G208">
        <f t="shared" si="15"/>
        <v>15.365484768651951</v>
      </c>
    </row>
    <row r="209" spans="1:7" x14ac:dyDescent="0.35">
      <c r="A209" s="1">
        <v>44652</v>
      </c>
      <c r="B209">
        <f t="shared" si="12"/>
        <v>2022</v>
      </c>
      <c r="C209">
        <v>12.4031243340802</v>
      </c>
      <c r="D209">
        <f t="shared" si="13"/>
        <v>243561.39715128616</v>
      </c>
      <c r="E209">
        <f>VLOOKUP(B209,[2]Hoja1!$A$2:$C$54,3,0)</f>
        <v>51643565</v>
      </c>
      <c r="F209">
        <f t="shared" si="14"/>
        <v>4716200.3078464111</v>
      </c>
      <c r="G209">
        <f t="shared" si="15"/>
        <v>15.366514013835451</v>
      </c>
    </row>
    <row r="210" spans="1:7" x14ac:dyDescent="0.35">
      <c r="A210" s="1">
        <v>44682</v>
      </c>
      <c r="B210">
        <f t="shared" si="12"/>
        <v>2022</v>
      </c>
      <c r="C210">
        <v>12.4042473509679</v>
      </c>
      <c r="D210">
        <f t="shared" si="13"/>
        <v>243835.07435677788</v>
      </c>
      <c r="E210">
        <f>VLOOKUP(B210,[2]Hoja1!$A$2:$C$54,3,0)</f>
        <v>51643565</v>
      </c>
      <c r="F210">
        <f t="shared" si="14"/>
        <v>4721499.6555094114</v>
      </c>
      <c r="G210">
        <f t="shared" si="15"/>
        <v>15.36763703072315</v>
      </c>
    </row>
    <row r="211" spans="1:7" x14ac:dyDescent="0.35">
      <c r="A211" s="1">
        <v>44713</v>
      </c>
      <c r="B211">
        <f t="shared" si="12"/>
        <v>2022</v>
      </c>
      <c r="C211">
        <v>12.4004588549519</v>
      </c>
      <c r="D211">
        <f t="shared" si="13"/>
        <v>242913.05378743328</v>
      </c>
      <c r="E211">
        <f>VLOOKUP(B211,[2]Hoja1!$A$2:$C$54,3,0)</f>
        <v>51643565</v>
      </c>
      <c r="F211">
        <f t="shared" si="14"/>
        <v>4703646.1132656755</v>
      </c>
      <c r="G211">
        <f t="shared" si="15"/>
        <v>15.363848534707151</v>
      </c>
    </row>
    <row r="212" spans="1:7" x14ac:dyDescent="0.35">
      <c r="A212" s="1">
        <v>44743</v>
      </c>
      <c r="B212">
        <f t="shared" si="12"/>
        <v>2022</v>
      </c>
      <c r="C212">
        <v>12.393419036326399</v>
      </c>
      <c r="D212">
        <f t="shared" si="13"/>
        <v>241208.99511660927</v>
      </c>
      <c r="E212">
        <f>VLOOKUP(B212,[2]Hoja1!$A$2:$C$54,3,0)</f>
        <v>51643565</v>
      </c>
      <c r="F212">
        <f t="shared" si="14"/>
        <v>4670649.5788315395</v>
      </c>
      <c r="G212">
        <f t="shared" si="15"/>
        <v>15.35680871608165</v>
      </c>
    </row>
    <row r="213" spans="1:7" x14ac:dyDescent="0.35">
      <c r="A213" s="1">
        <v>44774</v>
      </c>
      <c r="B213">
        <f t="shared" si="12"/>
        <v>2022</v>
      </c>
      <c r="C213">
        <v>12.411079478168</v>
      </c>
      <c r="D213">
        <f t="shared" si="13"/>
        <v>245506.69044520461</v>
      </c>
      <c r="E213">
        <f>VLOOKUP(B213,[2]Hoja1!$A$2:$C$54,3,0)</f>
        <v>51643565</v>
      </c>
      <c r="F213">
        <f t="shared" si="14"/>
        <v>4753867.9881066428</v>
      </c>
      <c r="G213">
        <f t="shared" si="15"/>
        <v>15.374469157923251</v>
      </c>
    </row>
    <row r="214" spans="1:7" x14ac:dyDescent="0.35">
      <c r="A214" s="1">
        <v>44805</v>
      </c>
      <c r="B214">
        <f t="shared" si="12"/>
        <v>2022</v>
      </c>
      <c r="C214">
        <v>12.4247790255056</v>
      </c>
      <c r="D214">
        <f t="shared" si="13"/>
        <v>248893.16459047468</v>
      </c>
      <c r="E214">
        <f>VLOOKUP(B214,[2]Hoja1!$A$2:$C$54,3,0)</f>
        <v>51643565</v>
      </c>
      <c r="F214">
        <f t="shared" si="14"/>
        <v>4819441.9690134618</v>
      </c>
      <c r="G214">
        <f t="shared" si="15"/>
        <v>15.388168705260851</v>
      </c>
    </row>
    <row r="215" spans="1:7" x14ac:dyDescent="0.35">
      <c r="A215" s="1">
        <v>44835</v>
      </c>
      <c r="B215">
        <f t="shared" si="12"/>
        <v>2022</v>
      </c>
      <c r="C215">
        <v>12.4185661071963</v>
      </c>
      <c r="D215">
        <f t="shared" si="13"/>
        <v>247351.60544038925</v>
      </c>
      <c r="E215">
        <f>VLOOKUP(B215,[2]Hoja1!$A$2:$C$54,3,0)</f>
        <v>51643565</v>
      </c>
      <c r="F215">
        <f t="shared" si="14"/>
        <v>4789591.993511471</v>
      </c>
      <c r="G215">
        <f t="shared" si="15"/>
        <v>15.381955786951551</v>
      </c>
    </row>
    <row r="216" spans="1:7" x14ac:dyDescent="0.35">
      <c r="A216" s="1">
        <v>44866</v>
      </c>
      <c r="B216">
        <f t="shared" si="12"/>
        <v>2022</v>
      </c>
      <c r="C216">
        <v>12.393145301567699</v>
      </c>
      <c r="D216">
        <f t="shared" si="13"/>
        <v>241142.97686669181</v>
      </c>
      <c r="E216">
        <f>VLOOKUP(B216,[2]Hoja1!$A$2:$C$54,3,0)</f>
        <v>51643565</v>
      </c>
      <c r="F216">
        <f t="shared" si="14"/>
        <v>4669371.2346677035</v>
      </c>
      <c r="G216">
        <f t="shared" si="15"/>
        <v>15.35653498132295</v>
      </c>
    </row>
    <row r="217" spans="1:7" x14ac:dyDescent="0.35">
      <c r="A217" s="1">
        <v>44896</v>
      </c>
      <c r="B217">
        <f t="shared" si="12"/>
        <v>2022</v>
      </c>
      <c r="C217">
        <v>12.4090278012361</v>
      </c>
      <c r="D217">
        <f t="shared" si="13"/>
        <v>245003.50639385392</v>
      </c>
      <c r="E217">
        <f>VLOOKUP(B217,[2]Hoja1!$A$2:$C$54,3,0)</f>
        <v>51643565</v>
      </c>
      <c r="F217">
        <f t="shared" si="14"/>
        <v>4744124.5853932416</v>
      </c>
      <c r="G217">
        <f t="shared" si="15"/>
        <v>15.37241748099135</v>
      </c>
    </row>
    <row r="218" spans="1:7" x14ac:dyDescent="0.35">
      <c r="A218" s="1">
        <v>44927</v>
      </c>
      <c r="B218">
        <f t="shared" si="12"/>
        <v>2023</v>
      </c>
      <c r="C218">
        <v>12.4144143886303</v>
      </c>
      <c r="D218">
        <f t="shared" si="13"/>
        <v>246326.80001164234</v>
      </c>
      <c r="E218">
        <f>VLOOKUP(B218,[2]Hoja1!$A$2:$C$54,3,0)</f>
        <v>52117067</v>
      </c>
      <c r="F218">
        <f t="shared" si="14"/>
        <v>4726413.326591121</v>
      </c>
      <c r="G218">
        <f t="shared" si="15"/>
        <v>15.368677190922348</v>
      </c>
    </row>
    <row r="219" spans="1:7" x14ac:dyDescent="0.35">
      <c r="A219" s="1">
        <v>44958</v>
      </c>
      <c r="B219">
        <f t="shared" si="12"/>
        <v>2023</v>
      </c>
      <c r="C219">
        <v>12.411143763511101</v>
      </c>
      <c r="D219">
        <f t="shared" si="13"/>
        <v>245522.47343433532</v>
      </c>
      <c r="E219">
        <f>VLOOKUP(B219,[2]Hoja1!$A$2:$C$54,3,0)</f>
        <v>52117067</v>
      </c>
      <c r="F219">
        <f t="shared" si="14"/>
        <v>4710980.2520992849</v>
      </c>
      <c r="G219">
        <f t="shared" si="15"/>
        <v>15.365406565803148</v>
      </c>
    </row>
    <row r="220" spans="1:7" x14ac:dyDescent="0.35">
      <c r="A220" s="1">
        <v>44986</v>
      </c>
      <c r="B220">
        <f t="shared" si="12"/>
        <v>2023</v>
      </c>
      <c r="C220">
        <v>12.413918457858699</v>
      </c>
      <c r="D220">
        <f t="shared" si="13"/>
        <v>246204.66925834905</v>
      </c>
      <c r="E220">
        <f>VLOOKUP(B220,[2]Hoja1!$A$2:$C$54,3,0)</f>
        <v>52117067</v>
      </c>
      <c r="F220">
        <f t="shared" si="14"/>
        <v>4724069.9339114586</v>
      </c>
      <c r="G220">
        <f t="shared" si="15"/>
        <v>15.368181260150747</v>
      </c>
    </row>
    <row r="221" spans="1:7" x14ac:dyDescent="0.35">
      <c r="A221" s="1">
        <v>45017</v>
      </c>
      <c r="B221">
        <f t="shared" si="12"/>
        <v>2023</v>
      </c>
      <c r="C221">
        <v>12.391702835682301</v>
      </c>
      <c r="D221">
        <f t="shared" si="13"/>
        <v>240795.38710251602</v>
      </c>
      <c r="E221">
        <f>VLOOKUP(B221,[2]Hoja1!$A$2:$C$54,3,0)</f>
        <v>52117067</v>
      </c>
      <c r="F221">
        <f t="shared" si="14"/>
        <v>4620278.9405343169</v>
      </c>
      <c r="G221">
        <f t="shared" si="15"/>
        <v>15.345965637974349</v>
      </c>
    </row>
    <row r="222" spans="1:7" x14ac:dyDescent="0.35">
      <c r="A222" s="1">
        <v>45047</v>
      </c>
      <c r="B222">
        <f t="shared" si="12"/>
        <v>2023</v>
      </c>
      <c r="C222">
        <v>12.4041225366362</v>
      </c>
      <c r="D222">
        <f t="shared" si="13"/>
        <v>243804.64214415458</v>
      </c>
      <c r="E222">
        <f>VLOOKUP(B222,[2]Hoja1!$A$2:$C$54,3,0)</f>
        <v>52117067</v>
      </c>
      <c r="F222">
        <f t="shared" si="14"/>
        <v>4678019.2397272587</v>
      </c>
      <c r="G222">
        <f t="shared" si="15"/>
        <v>15.358385338928247</v>
      </c>
    </row>
    <row r="223" spans="1:7" x14ac:dyDescent="0.35">
      <c r="A223" s="1">
        <v>45078</v>
      </c>
      <c r="B223">
        <f t="shared" si="12"/>
        <v>2023</v>
      </c>
      <c r="C223">
        <v>12.4247043776815</v>
      </c>
      <c r="D223">
        <f t="shared" si="13"/>
        <v>248874.58595074082</v>
      </c>
      <c r="E223">
        <f>VLOOKUP(B223,[2]Hoja1!$A$2:$C$54,3,0)</f>
        <v>52117067</v>
      </c>
      <c r="F223">
        <f t="shared" si="14"/>
        <v>4775299.1539362874</v>
      </c>
      <c r="G223">
        <f t="shared" si="15"/>
        <v>15.378967179973548</v>
      </c>
    </row>
    <row r="224" spans="1:7" x14ac:dyDescent="0.35">
      <c r="A224" s="1">
        <v>45108</v>
      </c>
      <c r="B224">
        <f t="shared" si="12"/>
        <v>2023</v>
      </c>
      <c r="C224">
        <v>12.3938880396166</v>
      </c>
      <c r="D224">
        <f t="shared" si="13"/>
        <v>241322.14946175093</v>
      </c>
      <c r="E224">
        <f>VLOOKUP(B224,[2]Hoja1!$A$2:$C$54,3,0)</f>
        <v>52117067</v>
      </c>
      <c r="F224">
        <f t="shared" si="14"/>
        <v>4630386.2314767437</v>
      </c>
      <c r="G224">
        <f t="shared" si="15"/>
        <v>15.348150841908648</v>
      </c>
    </row>
    <row r="225" spans="1:7" x14ac:dyDescent="0.35">
      <c r="A225" s="1">
        <v>45139</v>
      </c>
      <c r="B225">
        <f t="shared" si="12"/>
        <v>2023</v>
      </c>
      <c r="C225">
        <v>12.410099121858201</v>
      </c>
      <c r="D225">
        <f t="shared" si="13"/>
        <v>245266.12435163982</v>
      </c>
      <c r="E225">
        <f>VLOOKUP(B225,[2]Hoja1!$A$2:$C$54,3,0)</f>
        <v>52117067</v>
      </c>
      <c r="F225">
        <f t="shared" si="14"/>
        <v>4706061.5354973795</v>
      </c>
      <c r="G225">
        <f t="shared" si="15"/>
        <v>15.364361924150248</v>
      </c>
    </row>
    <row r="226" spans="1:7" x14ac:dyDescent="0.35">
      <c r="A226" s="1">
        <v>45170</v>
      </c>
      <c r="B226">
        <f t="shared" si="12"/>
        <v>2023</v>
      </c>
      <c r="C226">
        <v>12.4129784085252</v>
      </c>
      <c r="D226">
        <f t="shared" si="13"/>
        <v>245973.33347366931</v>
      </c>
      <c r="E226">
        <f>VLOOKUP(B226,[2]Hoja1!$A$2:$C$54,3,0)</f>
        <v>52117067</v>
      </c>
      <c r="F226">
        <f t="shared" si="14"/>
        <v>4719631.1617779508</v>
      </c>
      <c r="G226">
        <f t="shared" si="15"/>
        <v>15.367241210817248</v>
      </c>
    </row>
    <row r="227" spans="1:7" x14ac:dyDescent="0.35">
      <c r="A227" s="1">
        <v>45200</v>
      </c>
      <c r="B227">
        <f t="shared" si="12"/>
        <v>2023</v>
      </c>
      <c r="C227">
        <v>12.4031160298897</v>
      </c>
      <c r="D227">
        <f t="shared" si="13"/>
        <v>243559.37457944377</v>
      </c>
      <c r="E227">
        <f>VLOOKUP(B227,[2]Hoja1!$A$2:$C$54,3,0)</f>
        <v>52117067</v>
      </c>
      <c r="F227">
        <f t="shared" si="14"/>
        <v>4673313.150554765</v>
      </c>
      <c r="G227">
        <f t="shared" si="15"/>
        <v>15.357378832181748</v>
      </c>
    </row>
    <row r="228" spans="1:7" x14ac:dyDescent="0.35">
      <c r="A228" s="1">
        <v>45231</v>
      </c>
      <c r="B228">
        <f t="shared" si="12"/>
        <v>2023</v>
      </c>
      <c r="C228">
        <v>12.425297765075801</v>
      </c>
      <c r="D228">
        <f t="shared" si="13"/>
        <v>249022.30881691439</v>
      </c>
      <c r="E228">
        <f>VLOOKUP(B228,[2]Hoja1!$A$2:$C$54,3,0)</f>
        <v>52117067</v>
      </c>
      <c r="F228">
        <f t="shared" si="14"/>
        <v>4778133.5971365077</v>
      </c>
      <c r="G228">
        <f t="shared" si="15"/>
        <v>15.379560567367848</v>
      </c>
    </row>
    <row r="229" spans="1:7" x14ac:dyDescent="0.35">
      <c r="A229" s="1">
        <v>45261</v>
      </c>
      <c r="B229">
        <f t="shared" si="12"/>
        <v>2023</v>
      </c>
      <c r="C229">
        <v>12.4130142850344</v>
      </c>
      <c r="D229">
        <f t="shared" si="13"/>
        <v>245982.15829653159</v>
      </c>
      <c r="E229">
        <f>VLOOKUP(B229,[2]Hoja1!$A$2:$C$54,3,0)</f>
        <v>52117067</v>
      </c>
      <c r="F229">
        <f t="shared" si="14"/>
        <v>4719800.4887061585</v>
      </c>
      <c r="G229">
        <f t="shared" si="15"/>
        <v>15.367277087326448</v>
      </c>
    </row>
    <row r="230" spans="1:7" x14ac:dyDescent="0.35">
      <c r="A230" s="1">
        <v>45292</v>
      </c>
      <c r="B230">
        <f t="shared" si="12"/>
        <v>2024</v>
      </c>
      <c r="C230">
        <v>12.422183626795899</v>
      </c>
      <c r="D230">
        <f t="shared" si="13"/>
        <v>248248.02515142027</v>
      </c>
      <c r="E230">
        <f>VLOOKUP(B230,[2]Hoja1!$A$2:$C$54,3,0)</f>
        <v>52613753</v>
      </c>
      <c r="F230">
        <f t="shared" si="14"/>
        <v>4718310.5366275674</v>
      </c>
      <c r="G230">
        <f t="shared" si="15"/>
        <v>15.366961356331768</v>
      </c>
    </row>
    <row r="231" spans="1:7" x14ac:dyDescent="0.35">
      <c r="A231" s="1">
        <v>45323</v>
      </c>
      <c r="B231">
        <f t="shared" si="12"/>
        <v>2024</v>
      </c>
      <c r="C231">
        <v>12.4187966545544</v>
      </c>
      <c r="D231">
        <f t="shared" si="13"/>
        <v>247408.63827367732</v>
      </c>
      <c r="E231">
        <f>VLOOKUP(B231,[2]Hoja1!$A$2:$C$54,3,0)</f>
        <v>52613753</v>
      </c>
      <c r="F231">
        <f t="shared" si="14"/>
        <v>4702356.782525613</v>
      </c>
      <c r="G231">
        <f t="shared" si="15"/>
        <v>15.363574384090269</v>
      </c>
    </row>
    <row r="232" spans="1:7" x14ac:dyDescent="0.35">
      <c r="A232" s="1">
        <v>45352</v>
      </c>
      <c r="B232">
        <f t="shared" si="12"/>
        <v>2024</v>
      </c>
      <c r="C232">
        <v>12.4070713486496</v>
      </c>
      <c r="D232">
        <f t="shared" si="13"/>
        <v>244524.63724520797</v>
      </c>
      <c r="E232">
        <f>VLOOKUP(B232,[2]Hoja1!$A$2:$C$54,3,0)</f>
        <v>52613753</v>
      </c>
      <c r="F232">
        <f t="shared" si="14"/>
        <v>4647542.1976685068</v>
      </c>
      <c r="G232">
        <f t="shared" si="15"/>
        <v>15.351849078185468</v>
      </c>
    </row>
    <row r="233" spans="1:7" x14ac:dyDescent="0.35">
      <c r="A233" s="1">
        <v>45383</v>
      </c>
      <c r="B233">
        <f t="shared" si="12"/>
        <v>2024</v>
      </c>
      <c r="C233">
        <v>12.4332130436394</v>
      </c>
      <c r="D233">
        <f t="shared" si="13"/>
        <v>251001.21120981759</v>
      </c>
      <c r="E233">
        <f>VLOOKUP(B233,[2]Hoja1!$A$2:$C$54,3,0)</f>
        <v>52613753</v>
      </c>
      <c r="F233">
        <f t="shared" si="14"/>
        <v>4770638.7949519129</v>
      </c>
      <c r="G233">
        <f t="shared" si="15"/>
        <v>15.377990773175268</v>
      </c>
    </row>
    <row r="234" spans="1:7" x14ac:dyDescent="0.35">
      <c r="A234" s="1">
        <v>45413</v>
      </c>
      <c r="B234">
        <f t="shared" si="12"/>
        <v>2024</v>
      </c>
      <c r="C234">
        <v>12.4295168788198</v>
      </c>
      <c r="D234">
        <f t="shared" si="13"/>
        <v>250075.18179619333</v>
      </c>
      <c r="E234">
        <f>VLOOKUP(B234,[2]Hoja1!$A$2:$C$54,3,0)</f>
        <v>52613753</v>
      </c>
      <c r="F234">
        <f t="shared" si="14"/>
        <v>4753038.2749201208</v>
      </c>
      <c r="G234">
        <f t="shared" si="15"/>
        <v>15.374294608355669</v>
      </c>
    </row>
    <row r="235" spans="1:7" x14ac:dyDescent="0.35">
      <c r="A235" s="1">
        <v>45444</v>
      </c>
      <c r="B235">
        <f t="shared" si="12"/>
        <v>2024</v>
      </c>
      <c r="C235">
        <v>12.4082863475408</v>
      </c>
      <c r="D235">
        <f t="shared" si="13"/>
        <v>244821.91496781298</v>
      </c>
      <c r="E235">
        <f>VLOOKUP(B235,[2]Hoja1!$A$2:$C$54,3,0)</f>
        <v>52613753</v>
      </c>
      <c r="F235">
        <f t="shared" si="14"/>
        <v>4653192.3880779417</v>
      </c>
      <c r="G235">
        <f t="shared" si="15"/>
        <v>15.353064077076668</v>
      </c>
    </row>
    <row r="236" spans="1:7" x14ac:dyDescent="0.35">
      <c r="A236" s="1">
        <v>45474</v>
      </c>
      <c r="B236">
        <f t="shared" si="12"/>
        <v>2024</v>
      </c>
      <c r="C236">
        <v>12.4251055033768</v>
      </c>
      <c r="D236">
        <f t="shared" si="13"/>
        <v>248974.43596693745</v>
      </c>
      <c r="E236">
        <f>VLOOKUP(B236,[2]Hoja1!$A$2:$C$54,3,0)</f>
        <v>52613753</v>
      </c>
      <c r="F236">
        <f t="shared" si="14"/>
        <v>4732117.0182810845</v>
      </c>
      <c r="G236">
        <f t="shared" si="15"/>
        <v>15.369883232912668</v>
      </c>
    </row>
    <row r="237" spans="1:7" x14ac:dyDescent="0.35">
      <c r="A237" s="1">
        <v>45505</v>
      </c>
      <c r="B237">
        <f t="shared" si="12"/>
        <v>2024</v>
      </c>
      <c r="C237">
        <v>12.4218795881332</v>
      </c>
      <c r="D237">
        <f t="shared" si="13"/>
        <v>248172.55962663537</v>
      </c>
      <c r="E237">
        <f>VLOOKUP(B237,[2]Hoja1!$A$2:$C$54,3,0)</f>
        <v>52613753</v>
      </c>
      <c r="F237">
        <f t="shared" si="14"/>
        <v>4716876.205858863</v>
      </c>
      <c r="G237">
        <f t="shared" si="15"/>
        <v>15.366657317669068</v>
      </c>
    </row>
    <row r="238" spans="1:7" x14ac:dyDescent="0.35">
      <c r="A238" s="1">
        <v>45536</v>
      </c>
      <c r="B238">
        <f t="shared" si="12"/>
        <v>2024</v>
      </c>
      <c r="C238">
        <v>12.4194369184899</v>
      </c>
      <c r="D238">
        <f t="shared" si="13"/>
        <v>247567.09582400933</v>
      </c>
      <c r="E238">
        <f>VLOOKUP(B238,[2]Hoja1!$A$2:$C$54,3,0)</f>
        <v>52613753</v>
      </c>
      <c r="F238">
        <f t="shared" si="14"/>
        <v>4705368.4960282026</v>
      </c>
      <c r="G238">
        <f t="shared" si="15"/>
        <v>15.364214648025769</v>
      </c>
    </row>
    <row r="239" spans="1:7" x14ac:dyDescent="0.35">
      <c r="A239" s="1">
        <v>45566</v>
      </c>
      <c r="B239">
        <f t="shared" si="12"/>
        <v>2024</v>
      </c>
      <c r="C239">
        <v>12.437678073554199</v>
      </c>
      <c r="D239">
        <f t="shared" si="13"/>
        <v>252124.44489641525</v>
      </c>
      <c r="E239">
        <f>VLOOKUP(B239,[2]Hoja1!$A$2:$C$54,3,0)</f>
        <v>52613753</v>
      </c>
      <c r="F239">
        <f t="shared" si="14"/>
        <v>4791987.465642591</v>
      </c>
      <c r="G239">
        <f t="shared" si="15"/>
        <v>15.382455803090068</v>
      </c>
    </row>
    <row r="240" spans="1:7" x14ac:dyDescent="0.35">
      <c r="A240" s="1">
        <v>45597</v>
      </c>
      <c r="B240">
        <f t="shared" si="12"/>
        <v>2024</v>
      </c>
      <c r="C240">
        <v>12.4274168238447</v>
      </c>
      <c r="D240">
        <f t="shared" si="13"/>
        <v>249550.56122534114</v>
      </c>
      <c r="E240">
        <f>VLOOKUP(B240,[2]Hoja1!$A$2:$C$54,3,0)</f>
        <v>52613753</v>
      </c>
      <c r="F240">
        <f t="shared" si="14"/>
        <v>4743067.1069091214</v>
      </c>
      <c r="G240">
        <f t="shared" si="15"/>
        <v>15.372194553380568</v>
      </c>
    </row>
    <row r="241" spans="1:7" x14ac:dyDescent="0.35">
      <c r="A241" s="1">
        <v>45627</v>
      </c>
      <c r="B241">
        <f t="shared" si="12"/>
        <v>2024</v>
      </c>
      <c r="C241">
        <v>12.4454210826012</v>
      </c>
      <c r="D241">
        <f t="shared" si="13"/>
        <v>254084.22425747427</v>
      </c>
      <c r="E241">
        <f>VLOOKUP(B241,[2]Hoja1!$A$2:$C$54,3,0)</f>
        <v>52613753</v>
      </c>
      <c r="F241">
        <f t="shared" si="14"/>
        <v>4829235.8892830601</v>
      </c>
      <c r="G241">
        <f t="shared" si="15"/>
        <v>15.390198812137069</v>
      </c>
    </row>
    <row r="242" spans="1:7" x14ac:dyDescent="0.35">
      <c r="A242" s="1">
        <v>45658</v>
      </c>
      <c r="B242">
        <f t="shared" si="12"/>
        <v>2025</v>
      </c>
      <c r="C242">
        <v>12.443815459046</v>
      </c>
      <c r="D242">
        <f t="shared" si="13"/>
        <v>253676.58798477723</v>
      </c>
      <c r="E242">
        <f>VLOOKUP(B242,[2]Hoja1!$A$2:$C$54,3,0)</f>
        <v>53057212</v>
      </c>
      <c r="F242">
        <f t="shared" si="14"/>
        <v>4781189.5578828612</v>
      </c>
      <c r="G242">
        <f t="shared" si="15"/>
        <v>15.380199934988527</v>
      </c>
    </row>
    <row r="243" spans="1:7" x14ac:dyDescent="0.35">
      <c r="A243" s="1">
        <v>45689</v>
      </c>
      <c r="B243">
        <f t="shared" si="12"/>
        <v>2025</v>
      </c>
      <c r="C243">
        <v>12.4447750871495</v>
      </c>
      <c r="D243">
        <f t="shared" si="13"/>
        <v>253920.14000880052</v>
      </c>
      <c r="E243">
        <f>VLOOKUP(B243,[2]Hoja1!$A$2:$C$54,3,0)</f>
        <v>53057212</v>
      </c>
      <c r="F243">
        <f t="shared" si="14"/>
        <v>4785779.9239206258</v>
      </c>
      <c r="G243">
        <f t="shared" si="15"/>
        <v>15.381159563092027</v>
      </c>
    </row>
    <row r="244" spans="1:7" x14ac:dyDescent="0.35">
      <c r="A244" s="1">
        <v>45717</v>
      </c>
      <c r="B244">
        <f t="shared" si="12"/>
        <v>2025</v>
      </c>
      <c r="C244">
        <v>12.4359037838045</v>
      </c>
      <c r="D244">
        <f t="shared" si="13"/>
        <v>251677.4997005793</v>
      </c>
      <c r="E244">
        <f>VLOOKUP(B244,[2]Hoja1!$A$2:$C$54,3,0)</f>
        <v>53057212</v>
      </c>
      <c r="F244">
        <f t="shared" si="14"/>
        <v>4743511.5833183872</v>
      </c>
      <c r="G244">
        <f t="shared" si="15"/>
        <v>15.372288259747027</v>
      </c>
    </row>
    <row r="245" spans="1:7" x14ac:dyDescent="0.35">
      <c r="A245" s="1">
        <v>45748</v>
      </c>
      <c r="B245">
        <f t="shared" si="12"/>
        <v>2025</v>
      </c>
      <c r="C245">
        <v>12.4455290020829</v>
      </c>
      <c r="D245">
        <f t="shared" si="13"/>
        <v>254111.64637492789</v>
      </c>
      <c r="E245">
        <f>VLOOKUP(B245,[2]Hoja1!$A$2:$C$54,3,0)</f>
        <v>53057212</v>
      </c>
      <c r="F245">
        <f t="shared" si="14"/>
        <v>4789389.3553043818</v>
      </c>
      <c r="G245">
        <f t="shared" si="15"/>
        <v>15.381913478025426</v>
      </c>
    </row>
    <row r="246" spans="1:7" x14ac:dyDescent="0.35">
      <c r="A246" s="1">
        <v>45778</v>
      </c>
      <c r="B246">
        <f t="shared" si="12"/>
        <v>2025</v>
      </c>
      <c r="C246">
        <v>12.449046326406</v>
      </c>
      <c r="D246">
        <f t="shared" si="13"/>
        <v>255007.01317412505</v>
      </c>
      <c r="E246">
        <f>VLOOKUP(B246,[2]Hoja1!$A$2:$C$54,3,0)</f>
        <v>53057212</v>
      </c>
      <c r="F246">
        <f t="shared" si="14"/>
        <v>4806264.8518758407</v>
      </c>
      <c r="G246">
        <f t="shared" si="15"/>
        <v>15.385430802348527</v>
      </c>
    </row>
    <row r="247" spans="1:7" x14ac:dyDescent="0.35">
      <c r="A247" s="1">
        <v>45809</v>
      </c>
      <c r="B247">
        <f t="shared" si="12"/>
        <v>2025</v>
      </c>
      <c r="C247">
        <v>12.440578391511099</v>
      </c>
      <c r="D247">
        <f t="shared" si="13"/>
        <v>252856.74739302776</v>
      </c>
      <c r="E247">
        <f>VLOOKUP(B247,[2]Hoja1!$A$2:$C$54,3,0)</f>
        <v>53057212</v>
      </c>
      <c r="F247">
        <f t="shared" si="14"/>
        <v>4765737.5474804016</v>
      </c>
      <c r="G247">
        <f t="shared" si="15"/>
        <v>15.376962867453626</v>
      </c>
    </row>
    <row r="248" spans="1:7" x14ac:dyDescent="0.35">
      <c r="A248" s="1">
        <v>45839</v>
      </c>
      <c r="B248">
        <f t="shared" si="12"/>
        <v>2025</v>
      </c>
      <c r="C248">
        <v>12.4691537946462</v>
      </c>
      <c r="D248">
        <f t="shared" si="13"/>
        <v>260186.45683465493</v>
      </c>
      <c r="E248">
        <f>VLOOKUP(B248,[2]Hoja1!$A$2:$C$54,3,0)</f>
        <v>53057212</v>
      </c>
      <c r="F248">
        <f t="shared" si="14"/>
        <v>4903884.8259621132</v>
      </c>
      <c r="G248">
        <f t="shared" si="15"/>
        <v>15.405538270588726</v>
      </c>
    </row>
    <row r="249" spans="1:7" x14ac:dyDescent="0.35">
      <c r="A249" s="1">
        <v>45870</v>
      </c>
      <c r="B249">
        <f t="shared" si="12"/>
        <v>2025</v>
      </c>
      <c r="C249">
        <v>12.4457382427084</v>
      </c>
      <c r="D249">
        <f t="shared" si="13"/>
        <v>254164.82241786242</v>
      </c>
      <c r="E249">
        <f>VLOOKUP(B249,[2]Hoja1!$A$2:$C$54,3,0)</f>
        <v>53057212</v>
      </c>
      <c r="F249">
        <f t="shared" si="14"/>
        <v>4790391.5949798198</v>
      </c>
      <c r="G249">
        <f t="shared" si="15"/>
        <v>15.382122718650926</v>
      </c>
    </row>
    <row r="250" spans="1:7" x14ac:dyDescent="0.35">
      <c r="A250" s="1">
        <v>45901</v>
      </c>
      <c r="B250">
        <f t="shared" si="12"/>
        <v>2025</v>
      </c>
      <c r="C250">
        <v>12.4579478926454</v>
      </c>
      <c r="D250">
        <f t="shared" si="13"/>
        <v>257287.10814581267</v>
      </c>
      <c r="E250">
        <f>VLOOKUP(B250,[2]Hoja1!$A$2:$C$54,3,0)</f>
        <v>53057212</v>
      </c>
      <c r="F250">
        <f t="shared" si="14"/>
        <v>4849239.1222104291</v>
      </c>
      <c r="G250">
        <f t="shared" si="15"/>
        <v>15.394332368587927</v>
      </c>
    </row>
    <row r="251" spans="1:7" x14ac:dyDescent="0.35">
      <c r="A251" s="1">
        <v>45931</v>
      </c>
      <c r="B251">
        <f t="shared" si="12"/>
        <v>2025</v>
      </c>
      <c r="C251">
        <v>12.4630690329417</v>
      </c>
      <c r="D251">
        <f t="shared" si="13"/>
        <v>258608.09110557404</v>
      </c>
      <c r="E251">
        <f>VLOOKUP(B251,[2]Hoja1!$A$2:$C$54,3,0)</f>
        <v>53057212</v>
      </c>
      <c r="F251">
        <f t="shared" si="14"/>
        <v>4874136.4530343963</v>
      </c>
      <c r="G251">
        <f t="shared" si="15"/>
        <v>15.399453508884227</v>
      </c>
    </row>
    <row r="252" spans="1:7" x14ac:dyDescent="0.35">
      <c r="A252" s="1">
        <v>45962</v>
      </c>
      <c r="B252">
        <f t="shared" si="12"/>
        <v>2025</v>
      </c>
      <c r="C252">
        <v>12.4522435483729</v>
      </c>
      <c r="D252">
        <f t="shared" si="13"/>
        <v>255823.63195847839</v>
      </c>
      <c r="E252">
        <f>VLOOKUP(B252,[2]Hoja1!$A$2:$C$54,3,0)</f>
        <v>53057212</v>
      </c>
      <c r="F252">
        <f t="shared" si="14"/>
        <v>4821656.1390085556</v>
      </c>
      <c r="G252">
        <f t="shared" si="15"/>
        <v>15.388628024315427</v>
      </c>
    </row>
    <row r="253" spans="1:7" x14ac:dyDescent="0.35">
      <c r="A253" s="1">
        <v>45992</v>
      </c>
      <c r="B253">
        <f t="shared" si="12"/>
        <v>2025</v>
      </c>
      <c r="C253">
        <v>12.461131398685399</v>
      </c>
      <c r="D253">
        <f t="shared" si="13"/>
        <v>258107.48835843022</v>
      </c>
      <c r="E253">
        <f>VLOOKUP(B253,[2]Hoja1!$A$2:$C$54,3,0)</f>
        <v>53057212</v>
      </c>
      <c r="F253">
        <f t="shared" si="14"/>
        <v>4864701.3031598832</v>
      </c>
      <c r="G253">
        <f t="shared" si="15"/>
        <v>15.397515874627926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Mensual_Values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Jaulín Méndez Oscar Fernando</dc:creator>
  <cp:lastModifiedBy>Jaulín Méndez Oscar Fernando</cp:lastModifiedBy>
  <dcterms:created xsi:type="dcterms:W3CDTF">2026-02-25T14:35:07Z</dcterms:created>
  <dcterms:modified xsi:type="dcterms:W3CDTF">2026-02-25T16:53:57Z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2026-02-25T14:50:23Z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dd48d061-119a-4b03-81bc-7c0890fdf640</vt:lpwstr>
  </property>
  <property fmtid="{D5CDD505-2E9C-101B-9397-08002B2CF9AE}" pid="8" name="MSIP_Label_d7faaadc-1a6d-4614-bb5b-a314f37e002a_ContentBits">
    <vt:lpwstr>0</vt:lpwstr>
  </property>
  <property fmtid="{D5CDD505-2E9C-101B-9397-08002B2CF9AE}" pid="9" name="MSIP_Label_d7faaadc-1a6d-4614-bb5b-a314f37e002a_Tag">
    <vt:lpwstr>10, 3, 0, 1</vt:lpwstr>
  </property>
</Properties>
</file>