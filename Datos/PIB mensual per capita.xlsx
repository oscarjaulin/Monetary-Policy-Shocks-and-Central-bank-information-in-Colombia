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co C\Repositorios Git\Monetary-Policy-Shocks-and-Central-bank-information-in-Colombia\Datos\"/>
    </mc:Choice>
  </mc:AlternateContent>
  <xr:revisionPtr revIDLastSave="0" documentId="13_ncr:1_{7439396A-9292-4B5D-A46D-54918C37A183}" xr6:coauthVersionLast="47" xr6:coauthVersionMax="47" xr10:uidLastSave="{00000000-0000-0000-0000-000000000000}"/>
  <bookViews>
    <workbookView xWindow="-28920" yWindow="-120" windowWidth="29040" windowHeight="15840" xr2:uid="{9535A740-7E69-41C9-8479-535D748B30AD}"/>
  </bookViews>
  <sheets>
    <sheet name="Mensual_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G245" i="1" s="1"/>
  <c r="F246" i="1"/>
  <c r="F247" i="1"/>
  <c r="F248" i="1"/>
  <c r="F249" i="1"/>
  <c r="F250" i="1"/>
  <c r="F251" i="1"/>
  <c r="F252" i="1"/>
  <c r="F253" i="1"/>
  <c r="F2" i="1"/>
  <c r="G149" i="1"/>
  <c r="G164" i="1"/>
  <c r="G173" i="1"/>
  <c r="G185" i="1"/>
  <c r="G187" i="1"/>
  <c r="G197" i="1"/>
  <c r="G199" i="1"/>
  <c r="G209" i="1"/>
  <c r="G221" i="1"/>
  <c r="G223" i="1"/>
  <c r="G233" i="1"/>
  <c r="G235" i="1"/>
  <c r="G5" i="1"/>
  <c r="G7" i="1"/>
  <c r="G17" i="1"/>
  <c r="G19" i="1"/>
  <c r="G29" i="1"/>
  <c r="G31" i="1"/>
  <c r="G41" i="1"/>
  <c r="G43" i="1"/>
  <c r="G53" i="1"/>
  <c r="G55" i="1"/>
  <c r="G65" i="1"/>
  <c r="G67" i="1"/>
  <c r="G77" i="1"/>
  <c r="G79" i="1"/>
  <c r="G89" i="1"/>
  <c r="G91" i="1"/>
  <c r="G101" i="1"/>
  <c r="G103" i="1"/>
  <c r="G113" i="1"/>
  <c r="G115" i="1"/>
  <c r="G125" i="1"/>
  <c r="G127" i="1"/>
  <c r="G137" i="1"/>
  <c r="G139" i="1"/>
  <c r="G151" i="1"/>
  <c r="G211" i="1"/>
  <c r="G247" i="1"/>
  <c r="B3" i="1"/>
  <c r="B4" i="1"/>
  <c r="B5" i="1"/>
  <c r="B6" i="1"/>
  <c r="B7" i="1"/>
  <c r="B8" i="1"/>
  <c r="G8" i="1" s="1"/>
  <c r="B9" i="1"/>
  <c r="B10" i="1"/>
  <c r="B11" i="1"/>
  <c r="B12" i="1"/>
  <c r="B13" i="1"/>
  <c r="B14" i="1"/>
  <c r="B15" i="1"/>
  <c r="B16" i="1"/>
  <c r="B17" i="1"/>
  <c r="B18" i="1"/>
  <c r="B19" i="1"/>
  <c r="B20" i="1"/>
  <c r="G20" i="1" s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G11" i="1" l="1"/>
  <c r="G6" i="1"/>
  <c r="G32" i="1"/>
  <c r="G38" i="1"/>
  <c r="G80" i="1"/>
  <c r="G92" i="1"/>
  <c r="G110" i="1"/>
  <c r="G116" i="1"/>
  <c r="G122" i="1"/>
  <c r="G152" i="1"/>
  <c r="G161" i="1"/>
  <c r="G163" i="1"/>
  <c r="G175" i="1"/>
  <c r="G176" i="1"/>
  <c r="G182" i="1"/>
  <c r="G188" i="1"/>
  <c r="G224" i="1"/>
  <c r="G236" i="1"/>
  <c r="G246" i="1"/>
  <c r="G253" i="1"/>
  <c r="G248" i="1"/>
  <c r="G241" i="1"/>
  <c r="G234" i="1"/>
  <c r="G230" i="1"/>
  <c r="G229" i="1"/>
  <c r="G222" i="1"/>
  <c r="G218" i="1"/>
  <c r="G217" i="1"/>
  <c r="G212" i="1"/>
  <c r="G210" i="1"/>
  <c r="G206" i="1"/>
  <c r="G205" i="1"/>
  <c r="G200" i="1"/>
  <c r="G198" i="1"/>
  <c r="G194" i="1"/>
  <c r="G193" i="1"/>
  <c r="G186" i="1"/>
  <c r="G181" i="1"/>
  <c r="G180" i="1"/>
  <c r="G174" i="1"/>
  <c r="G170" i="1"/>
  <c r="G169" i="1"/>
  <c r="G168" i="1"/>
  <c r="G162" i="1"/>
  <c r="G158" i="1"/>
  <c r="G157" i="1"/>
  <c r="G150" i="1"/>
  <c r="G145" i="1"/>
  <c r="G140" i="1"/>
  <c r="G138" i="1"/>
  <c r="G133" i="1"/>
  <c r="G128" i="1"/>
  <c r="G126" i="1"/>
  <c r="G121" i="1"/>
  <c r="G114" i="1"/>
  <c r="G109" i="1"/>
  <c r="G104" i="1"/>
  <c r="G102" i="1"/>
  <c r="G98" i="1"/>
  <c r="G97" i="1"/>
  <c r="G90" i="1"/>
  <c r="G86" i="1"/>
  <c r="G85" i="1"/>
  <c r="G78" i="1"/>
  <c r="G74" i="1"/>
  <c r="G73" i="1"/>
  <c r="G68" i="1"/>
  <c r="G66" i="1"/>
  <c r="G62" i="1"/>
  <c r="G61" i="1"/>
  <c r="G56" i="1"/>
  <c r="G54" i="1"/>
  <c r="G50" i="1"/>
  <c r="G49" i="1"/>
  <c r="G44" i="1"/>
  <c r="G42" i="1"/>
  <c r="G37" i="1"/>
  <c r="G30" i="1"/>
  <c r="G26" i="1"/>
  <c r="G25" i="1"/>
  <c r="G23" i="1"/>
  <c r="G18" i="1"/>
  <c r="G14" i="1"/>
  <c r="G13" i="1"/>
  <c r="G2" i="1"/>
  <c r="G134" i="1"/>
  <c r="G146" i="1"/>
  <c r="G242" i="1"/>
  <c r="G12" i="1"/>
  <c r="G24" i="1"/>
  <c r="G36" i="1"/>
  <c r="G48" i="1"/>
  <c r="G60" i="1"/>
  <c r="G72" i="1"/>
  <c r="G84" i="1"/>
  <c r="G96" i="1"/>
  <c r="G108" i="1"/>
  <c r="G120" i="1"/>
  <c r="G132" i="1"/>
  <c r="G144" i="1"/>
  <c r="G156" i="1"/>
  <c r="G192" i="1"/>
  <c r="G204" i="1"/>
  <c r="G216" i="1"/>
  <c r="G228" i="1"/>
  <c r="G240" i="1"/>
  <c r="G252" i="1"/>
  <c r="G3" i="1"/>
  <c r="G15" i="1"/>
  <c r="G27" i="1"/>
  <c r="G39" i="1"/>
  <c r="G51" i="1"/>
  <c r="G63" i="1"/>
  <c r="G75" i="1"/>
  <c r="G87" i="1"/>
  <c r="G99" i="1"/>
  <c r="G111" i="1"/>
  <c r="G123" i="1"/>
  <c r="G135" i="1"/>
  <c r="G147" i="1"/>
  <c r="G159" i="1"/>
  <c r="G171" i="1"/>
  <c r="G183" i="1"/>
  <c r="G195" i="1"/>
  <c r="G207" i="1"/>
  <c r="G219" i="1"/>
  <c r="G231" i="1"/>
  <c r="G4" i="1"/>
  <c r="G28" i="1"/>
  <c r="G52" i="1"/>
  <c r="G76" i="1"/>
  <c r="G100" i="1"/>
  <c r="G124" i="1"/>
  <c r="G148" i="1"/>
  <c r="G172" i="1"/>
  <c r="G196" i="1"/>
  <c r="G220" i="1"/>
  <c r="G232" i="1"/>
  <c r="G244" i="1"/>
  <c r="G243" i="1"/>
  <c r="G16" i="1"/>
  <c r="G40" i="1"/>
  <c r="G64" i="1"/>
  <c r="G88" i="1"/>
  <c r="G112" i="1"/>
  <c r="G136" i="1"/>
  <c r="G160" i="1"/>
  <c r="G184" i="1"/>
  <c r="G208" i="1"/>
  <c r="G9" i="1"/>
  <c r="G21" i="1"/>
  <c r="G33" i="1"/>
  <c r="G45" i="1"/>
  <c r="G57" i="1"/>
  <c r="G69" i="1"/>
  <c r="G93" i="1"/>
  <c r="G117" i="1"/>
  <c r="G141" i="1"/>
  <c r="G165" i="1"/>
  <c r="G189" i="1"/>
  <c r="G213" i="1"/>
  <c r="G237" i="1"/>
  <c r="G10" i="1"/>
  <c r="G34" i="1"/>
  <c r="G58" i="1"/>
  <c r="G82" i="1"/>
  <c r="G106" i="1"/>
  <c r="G130" i="1"/>
  <c r="G154" i="1"/>
  <c r="G178" i="1"/>
  <c r="G202" i="1"/>
  <c r="G226" i="1"/>
  <c r="G250" i="1"/>
  <c r="G81" i="1"/>
  <c r="G105" i="1"/>
  <c r="G129" i="1"/>
  <c r="G153" i="1"/>
  <c r="G177" i="1"/>
  <c r="G201" i="1"/>
  <c r="G225" i="1"/>
  <c r="G249" i="1"/>
  <c r="G22" i="1"/>
  <c r="G46" i="1"/>
  <c r="G70" i="1"/>
  <c r="G94" i="1"/>
  <c r="G118" i="1"/>
  <c r="G142" i="1"/>
  <c r="G166" i="1"/>
  <c r="G190" i="1"/>
  <c r="G214" i="1"/>
  <c r="G238" i="1"/>
  <c r="G35" i="1"/>
  <c r="G47" i="1"/>
  <c r="G59" i="1"/>
  <c r="G71" i="1"/>
  <c r="G83" i="1"/>
  <c r="G95" i="1"/>
  <c r="G107" i="1"/>
  <c r="G119" i="1"/>
  <c r="G131" i="1"/>
  <c r="G143" i="1"/>
  <c r="G155" i="1"/>
  <c r="G167" i="1"/>
  <c r="G179" i="1"/>
  <c r="G191" i="1"/>
  <c r="G203" i="1"/>
  <c r="G215" i="1"/>
  <c r="G227" i="1"/>
  <c r="G239" i="1"/>
  <c r="G251" i="1"/>
</calcChain>
</file>

<file path=xl/sharedStrings.xml><?xml version="1.0" encoding="utf-8"?>
<sst xmlns="http://schemas.openxmlformats.org/spreadsheetml/2006/main" count="6" uniqueCount="5">
  <si>
    <t>PIB</t>
  </si>
  <si>
    <t>Población</t>
  </si>
  <si>
    <t xml:space="preserve">ln PIB </t>
  </si>
  <si>
    <t>PIB PC</t>
  </si>
  <si>
    <t>lnPIBPC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</si>
</sst>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FC61-3FA9-4B34-8553-92A3C9D4856C}">
  <dimension ref="A1:H253"/>
  <sheetViews>
    <sheetView tabSelected="1" workbookViewId="0">
      <selection activeCell="G1" sqref="G1"/>
    </sheetView>
  </sheetViews>
  <sheetFormatPr baseColWidth="10" defaultRowHeight="14.4" x14ac:dyDescent="0.3"/>
  <sheetData>
    <row r="1" spans="1:7" x14ac:dyDescent="0.3">
      <c r="B1" t="s">
        <v>1</v>
      </c>
      <c r="C1" t="s">
        <v>2</v>
      </c>
      <c r="D1" t="s">
        <v>0</v>
      </c>
      <c r="E1" t="s">
        <v>1</v>
      </c>
      <c r="F1" t="s">
        <v>3</v>
      </c>
      <c r="G1" t="s">
        <v>4</v>
      </c>
    </row>
    <row r="2" spans="1:7" x14ac:dyDescent="0.3">
      <c r="A2" s="1">
        <v>38353</v>
      </c>
      <c r="B2">
        <f>YEAR(A2)</f>
        <v>2005</v>
      </c>
      <c r="C2">
        <v>11.7347812802238</v>
      </c>
      <c r="D2">
        <f>EXP(C2)</f>
        <v>124839.13658945698</v>
      </c>
      <c r="E2">
        <v>41671878</v>
      </c>
      <c r="F2">
        <f>D2*10000000/E2</f>
        <v>29957.645918779323</v>
      </c>
      <c r="G2">
        <f>LN(F2)</f>
        <v>10.307539860404505</v>
      </c>
    </row>
    <row r="3" spans="1:7" x14ac:dyDescent="0.3">
      <c r="A3" s="1">
        <v>38384</v>
      </c>
      <c r="B3">
        <f t="shared" ref="B3:B66" si="0">YEAR(A3)</f>
        <v>2005</v>
      </c>
      <c r="C3">
        <v>11.747017504101301</v>
      </c>
      <c r="D3">
        <f t="shared" ref="D3:D66" si="1">EXP(C3)</f>
        <v>126376.08023012828</v>
      </c>
      <c r="E3">
        <v>41671878</v>
      </c>
      <c r="F3">
        <f t="shared" ref="F3:F66" si="2">D3*10000000/E3</f>
        <v>30326.466263442286</v>
      </c>
      <c r="G3">
        <f t="shared" ref="G3:G66" si="3">LN(F3)</f>
        <v>10.319776084282006</v>
      </c>
    </row>
    <row r="4" spans="1:7" x14ac:dyDescent="0.3">
      <c r="A4" s="1">
        <v>38412</v>
      </c>
      <c r="B4">
        <f t="shared" si="0"/>
        <v>2005</v>
      </c>
      <c r="C4">
        <v>11.7502531456749</v>
      </c>
      <c r="D4">
        <f t="shared" si="1"/>
        <v>126785.65018268391</v>
      </c>
      <c r="E4">
        <v>41671878</v>
      </c>
      <c r="F4">
        <f t="shared" si="2"/>
        <v>30424.750759417158</v>
      </c>
      <c r="G4">
        <f t="shared" si="3"/>
        <v>10.323011725855606</v>
      </c>
    </row>
    <row r="5" spans="1:7" x14ac:dyDescent="0.3">
      <c r="A5" s="1">
        <v>38443</v>
      </c>
      <c r="B5">
        <f t="shared" si="0"/>
        <v>2005</v>
      </c>
      <c r="C5">
        <v>11.773272108898899</v>
      </c>
      <c r="D5">
        <f t="shared" si="1"/>
        <v>129737.97375360945</v>
      </c>
      <c r="E5">
        <v>41671878</v>
      </c>
      <c r="F5">
        <f t="shared" si="2"/>
        <v>31133.219806798592</v>
      </c>
      <c r="G5">
        <f t="shared" si="3"/>
        <v>10.346030689079605</v>
      </c>
    </row>
    <row r="6" spans="1:7" x14ac:dyDescent="0.3">
      <c r="A6" s="1">
        <v>38473</v>
      </c>
      <c r="B6">
        <f t="shared" si="0"/>
        <v>2005</v>
      </c>
      <c r="C6">
        <v>11.7617608978693</v>
      </c>
      <c r="D6">
        <f t="shared" si="1"/>
        <v>128253.09533010586</v>
      </c>
      <c r="E6">
        <v>41671878</v>
      </c>
      <c r="F6">
        <f t="shared" si="2"/>
        <v>30776.89355159512</v>
      </c>
      <c r="G6">
        <f t="shared" si="3"/>
        <v>10.334519478050003</v>
      </c>
    </row>
    <row r="7" spans="1:7" x14ac:dyDescent="0.3">
      <c r="A7" s="1">
        <v>38504</v>
      </c>
      <c r="B7">
        <f t="shared" si="0"/>
        <v>2005</v>
      </c>
      <c r="C7">
        <v>11.7702545332318</v>
      </c>
      <c r="D7">
        <f t="shared" si="1"/>
        <v>129347.06968883204</v>
      </c>
      <c r="E7">
        <v>41671878</v>
      </c>
      <c r="F7">
        <f t="shared" si="2"/>
        <v>31039.414563661383</v>
      </c>
      <c r="G7">
        <f t="shared" si="3"/>
        <v>10.343013113412505</v>
      </c>
    </row>
    <row r="8" spans="1:7" x14ac:dyDescent="0.3">
      <c r="A8" s="1">
        <v>38534</v>
      </c>
      <c r="B8">
        <f t="shared" si="0"/>
        <v>2005</v>
      </c>
      <c r="C8">
        <v>11.756802721879</v>
      </c>
      <c r="D8">
        <f t="shared" si="1"/>
        <v>127618.76776550814</v>
      </c>
      <c r="E8">
        <v>41671878</v>
      </c>
      <c r="F8">
        <f t="shared" si="2"/>
        <v>30624.673974498612</v>
      </c>
      <c r="G8">
        <f t="shared" si="3"/>
        <v>10.329561302059703</v>
      </c>
    </row>
    <row r="9" spans="1:7" x14ac:dyDescent="0.3">
      <c r="A9" s="1">
        <v>38565</v>
      </c>
      <c r="B9">
        <f t="shared" si="0"/>
        <v>2005</v>
      </c>
      <c r="C9">
        <v>11.7705661691495</v>
      </c>
      <c r="D9">
        <f t="shared" si="1"/>
        <v>129387.38516314505</v>
      </c>
      <c r="E9">
        <v>41671878</v>
      </c>
      <c r="F9">
        <f t="shared" si="2"/>
        <v>31049.089067486962</v>
      </c>
      <c r="G9">
        <f t="shared" si="3"/>
        <v>10.343324749330206</v>
      </c>
    </row>
    <row r="10" spans="1:7" x14ac:dyDescent="0.3">
      <c r="A10" s="1">
        <v>38596</v>
      </c>
      <c r="B10">
        <f t="shared" si="0"/>
        <v>2005</v>
      </c>
      <c r="C10">
        <v>11.7682613789715</v>
      </c>
      <c r="D10">
        <f t="shared" si="1"/>
        <v>129089.51778142918</v>
      </c>
      <c r="E10">
        <v>41671878</v>
      </c>
      <c r="F10">
        <f t="shared" si="2"/>
        <v>30977.609835925603</v>
      </c>
      <c r="G10">
        <f t="shared" si="3"/>
        <v>10.341019959152206</v>
      </c>
    </row>
    <row r="11" spans="1:7" x14ac:dyDescent="0.3">
      <c r="A11" s="1">
        <v>38626</v>
      </c>
      <c r="B11">
        <f t="shared" si="0"/>
        <v>2005</v>
      </c>
      <c r="C11">
        <v>11.7712402253402</v>
      </c>
      <c r="D11">
        <f t="shared" si="1"/>
        <v>129474.62893141054</v>
      </c>
      <c r="E11">
        <v>41671878</v>
      </c>
      <c r="F11">
        <f t="shared" si="2"/>
        <v>31070.024953377564</v>
      </c>
      <c r="G11">
        <f t="shared" si="3"/>
        <v>10.343998805520906</v>
      </c>
    </row>
    <row r="12" spans="1:7" x14ac:dyDescent="0.3">
      <c r="A12" s="1">
        <v>38657</v>
      </c>
      <c r="B12">
        <f t="shared" si="0"/>
        <v>2005</v>
      </c>
      <c r="C12">
        <v>11.776592600469099</v>
      </c>
      <c r="D12">
        <f t="shared" si="1"/>
        <v>130169.48361775282</v>
      </c>
      <c r="E12">
        <v>41671878</v>
      </c>
      <c r="F12">
        <f t="shared" si="2"/>
        <v>31236.769223060408</v>
      </c>
      <c r="G12">
        <f t="shared" si="3"/>
        <v>10.349351180649803</v>
      </c>
    </row>
    <row r="13" spans="1:7" x14ac:dyDescent="0.3">
      <c r="A13" s="1">
        <v>38687</v>
      </c>
      <c r="B13">
        <f t="shared" si="0"/>
        <v>2005</v>
      </c>
      <c r="C13">
        <v>11.8021262141907</v>
      </c>
      <c r="D13">
        <f t="shared" si="1"/>
        <v>133535.9774056334</v>
      </c>
      <c r="E13">
        <v>41671878</v>
      </c>
      <c r="F13">
        <f t="shared" si="2"/>
        <v>32044.626691802419</v>
      </c>
      <c r="G13">
        <f t="shared" si="3"/>
        <v>10.374884794371406</v>
      </c>
    </row>
    <row r="14" spans="1:7" x14ac:dyDescent="0.3">
      <c r="A14" s="1">
        <v>38718</v>
      </c>
      <c r="B14">
        <f t="shared" si="0"/>
        <v>2006</v>
      </c>
      <c r="C14">
        <v>11.798325910299599</v>
      </c>
      <c r="D14">
        <f t="shared" si="1"/>
        <v>133029.46317470097</v>
      </c>
      <c r="E14">
        <v>42170126</v>
      </c>
      <c r="F14">
        <f t="shared" si="2"/>
        <v>31545.90127966442</v>
      </c>
      <c r="G14">
        <f t="shared" si="3"/>
        <v>10.359198947633546</v>
      </c>
    </row>
    <row r="15" spans="1:7" x14ac:dyDescent="0.3">
      <c r="A15" s="1">
        <v>38749</v>
      </c>
      <c r="B15">
        <f t="shared" si="0"/>
        <v>2006</v>
      </c>
      <c r="C15">
        <v>11.8054187477111</v>
      </c>
      <c r="D15">
        <f t="shared" si="1"/>
        <v>133976.37369934731</v>
      </c>
      <c r="E15">
        <v>42170126</v>
      </c>
      <c r="F15">
        <f t="shared" si="2"/>
        <v>31770.446618856986</v>
      </c>
      <c r="G15">
        <f t="shared" si="3"/>
        <v>10.366291785045046</v>
      </c>
    </row>
    <row r="16" spans="1:7" x14ac:dyDescent="0.3">
      <c r="A16" s="1">
        <v>38777</v>
      </c>
      <c r="B16">
        <f t="shared" si="0"/>
        <v>2006</v>
      </c>
      <c r="C16">
        <v>11.8155396119892</v>
      </c>
      <c r="D16">
        <f t="shared" si="1"/>
        <v>135339.21532842648</v>
      </c>
      <c r="E16">
        <v>42170126</v>
      </c>
      <c r="F16">
        <f t="shared" si="2"/>
        <v>32093.623653964536</v>
      </c>
      <c r="G16">
        <f t="shared" si="3"/>
        <v>10.376412649323147</v>
      </c>
    </row>
    <row r="17" spans="1:7" x14ac:dyDescent="0.3">
      <c r="A17" s="1">
        <v>38808</v>
      </c>
      <c r="B17">
        <f t="shared" si="0"/>
        <v>2006</v>
      </c>
      <c r="C17">
        <v>11.812663320442301</v>
      </c>
      <c r="D17">
        <f t="shared" si="1"/>
        <v>134950.4995853052</v>
      </c>
      <c r="E17">
        <v>42170126</v>
      </c>
      <c r="F17">
        <f t="shared" si="2"/>
        <v>32001.445664474704</v>
      </c>
      <c r="G17">
        <f t="shared" si="3"/>
        <v>10.373536357776247</v>
      </c>
    </row>
    <row r="18" spans="1:7" x14ac:dyDescent="0.3">
      <c r="A18" s="1">
        <v>38838</v>
      </c>
      <c r="B18">
        <f t="shared" si="0"/>
        <v>2006</v>
      </c>
      <c r="C18">
        <v>11.8273721536391</v>
      </c>
      <c r="D18">
        <f t="shared" si="1"/>
        <v>136950.13406697722</v>
      </c>
      <c r="E18">
        <v>42170126</v>
      </c>
      <c r="F18">
        <f t="shared" si="2"/>
        <v>32475.62837895652</v>
      </c>
      <c r="G18">
        <f t="shared" si="3"/>
        <v>10.388245190973047</v>
      </c>
    </row>
    <row r="19" spans="1:7" x14ac:dyDescent="0.3">
      <c r="A19" s="1">
        <v>38869</v>
      </c>
      <c r="B19">
        <f t="shared" si="0"/>
        <v>2006</v>
      </c>
      <c r="C19">
        <v>11.820035445918601</v>
      </c>
      <c r="D19">
        <f t="shared" si="1"/>
        <v>135949.0477902276</v>
      </c>
      <c r="E19">
        <v>42170126</v>
      </c>
      <c r="F19">
        <f t="shared" si="2"/>
        <v>32238.236089270307</v>
      </c>
      <c r="G19">
        <f t="shared" si="3"/>
        <v>10.380908483252547</v>
      </c>
    </row>
    <row r="20" spans="1:7" x14ac:dyDescent="0.3">
      <c r="A20" s="1">
        <v>38899</v>
      </c>
      <c r="B20">
        <f t="shared" si="0"/>
        <v>2006</v>
      </c>
      <c r="C20">
        <v>11.827677925989899</v>
      </c>
      <c r="D20">
        <f t="shared" si="1"/>
        <v>136992.01603426065</v>
      </c>
      <c r="E20">
        <v>42170126</v>
      </c>
      <c r="F20">
        <f t="shared" si="2"/>
        <v>32485.560046526927</v>
      </c>
      <c r="G20">
        <f t="shared" si="3"/>
        <v>10.388550963323846</v>
      </c>
    </row>
    <row r="21" spans="1:7" x14ac:dyDescent="0.3">
      <c r="A21" s="1">
        <v>38930</v>
      </c>
      <c r="B21">
        <f t="shared" si="0"/>
        <v>2006</v>
      </c>
      <c r="C21">
        <v>11.8402169129571</v>
      </c>
      <c r="D21">
        <f t="shared" si="1"/>
        <v>138720.57165835355</v>
      </c>
      <c r="E21">
        <v>42170126</v>
      </c>
      <c r="F21">
        <f t="shared" si="2"/>
        <v>32895.460558584426</v>
      </c>
      <c r="G21">
        <f t="shared" si="3"/>
        <v>10.401089950291047</v>
      </c>
    </row>
    <row r="22" spans="1:7" x14ac:dyDescent="0.3">
      <c r="A22" s="1">
        <v>38961</v>
      </c>
      <c r="B22">
        <f t="shared" si="0"/>
        <v>2006</v>
      </c>
      <c r="C22">
        <v>11.849947861053099</v>
      </c>
      <c r="D22">
        <f t="shared" si="1"/>
        <v>140077.04351579843</v>
      </c>
      <c r="E22">
        <v>42170126</v>
      </c>
      <c r="F22">
        <f t="shared" si="2"/>
        <v>33217.127099833291</v>
      </c>
      <c r="G22">
        <f t="shared" si="3"/>
        <v>10.410820898387046</v>
      </c>
    </row>
    <row r="23" spans="1:7" x14ac:dyDescent="0.3">
      <c r="A23" s="1">
        <v>38991</v>
      </c>
      <c r="B23">
        <f t="shared" si="0"/>
        <v>2006</v>
      </c>
      <c r="C23">
        <v>11.8491543595031</v>
      </c>
      <c r="D23">
        <f t="shared" si="1"/>
        <v>139965.93625237199</v>
      </c>
      <c r="E23">
        <v>42170126</v>
      </c>
      <c r="F23">
        <f t="shared" si="2"/>
        <v>33190.779712721749</v>
      </c>
      <c r="G23">
        <f t="shared" si="3"/>
        <v>10.410027396837046</v>
      </c>
    </row>
    <row r="24" spans="1:7" x14ac:dyDescent="0.3">
      <c r="A24" s="1">
        <v>39022</v>
      </c>
      <c r="B24">
        <f t="shared" si="0"/>
        <v>2006</v>
      </c>
      <c r="C24">
        <v>11.861490895785201</v>
      </c>
      <c r="D24">
        <f t="shared" si="1"/>
        <v>141703.32575310869</v>
      </c>
      <c r="E24">
        <v>42170126</v>
      </c>
      <c r="F24">
        <f t="shared" si="2"/>
        <v>33602.775043429727</v>
      </c>
      <c r="G24">
        <f t="shared" si="3"/>
        <v>10.422363933119147</v>
      </c>
    </row>
    <row r="25" spans="1:7" x14ac:dyDescent="0.3">
      <c r="A25" s="1">
        <v>39052</v>
      </c>
      <c r="B25">
        <f t="shared" si="0"/>
        <v>2006</v>
      </c>
      <c r="C25">
        <v>11.854324384711701</v>
      </c>
      <c r="D25">
        <f t="shared" si="1"/>
        <v>140691.4374849704</v>
      </c>
      <c r="E25">
        <v>42170126</v>
      </c>
      <c r="F25">
        <f t="shared" si="2"/>
        <v>33362.821226801745</v>
      </c>
      <c r="G25">
        <f t="shared" si="3"/>
        <v>10.415197422045647</v>
      </c>
    </row>
    <row r="26" spans="1:7" x14ac:dyDescent="0.3">
      <c r="A26" s="1">
        <v>39083</v>
      </c>
      <c r="B26">
        <f t="shared" si="0"/>
        <v>2007</v>
      </c>
      <c r="C26">
        <v>11.8618624101523</v>
      </c>
      <c r="D26">
        <f t="shared" si="1"/>
        <v>141755.98035485664</v>
      </c>
      <c r="E26">
        <v>42658630</v>
      </c>
      <c r="F26">
        <f t="shared" si="2"/>
        <v>33230.317137436585</v>
      </c>
      <c r="G26">
        <f t="shared" si="3"/>
        <v>10.411217905011693</v>
      </c>
    </row>
    <row r="27" spans="1:7" x14ac:dyDescent="0.3">
      <c r="A27" s="1">
        <v>39114</v>
      </c>
      <c r="B27">
        <f t="shared" si="0"/>
        <v>2007</v>
      </c>
      <c r="C27">
        <v>11.8739802904127</v>
      </c>
      <c r="D27">
        <f t="shared" si="1"/>
        <v>143484.21245765063</v>
      </c>
      <c r="E27">
        <v>42658630</v>
      </c>
      <c r="F27">
        <f t="shared" si="2"/>
        <v>33635.447846696115</v>
      </c>
      <c r="G27">
        <f t="shared" si="3"/>
        <v>10.423335785272092</v>
      </c>
    </row>
    <row r="28" spans="1:7" x14ac:dyDescent="0.3">
      <c r="A28" s="1">
        <v>39142</v>
      </c>
      <c r="B28">
        <f t="shared" si="0"/>
        <v>2007</v>
      </c>
      <c r="C28">
        <v>11.880732489434999</v>
      </c>
      <c r="D28">
        <f t="shared" si="1"/>
        <v>144456.32467089948</v>
      </c>
      <c r="E28">
        <v>42658630</v>
      </c>
      <c r="F28">
        <f t="shared" si="2"/>
        <v>33863.329570335358</v>
      </c>
      <c r="G28">
        <f t="shared" si="3"/>
        <v>10.430087984294392</v>
      </c>
    </row>
    <row r="29" spans="1:7" x14ac:dyDescent="0.3">
      <c r="A29" s="1">
        <v>39173</v>
      </c>
      <c r="B29">
        <f t="shared" si="0"/>
        <v>2007</v>
      </c>
      <c r="C29">
        <v>11.872324756340401</v>
      </c>
      <c r="D29">
        <f t="shared" si="1"/>
        <v>143246.86597689276</v>
      </c>
      <c r="E29">
        <v>42658630</v>
      </c>
      <c r="F29">
        <f t="shared" si="2"/>
        <v>33579.809285223819</v>
      </c>
      <c r="G29">
        <f t="shared" si="3"/>
        <v>10.421680251199794</v>
      </c>
    </row>
    <row r="30" spans="1:7" x14ac:dyDescent="0.3">
      <c r="A30" s="1">
        <v>39203</v>
      </c>
      <c r="B30">
        <f t="shared" si="0"/>
        <v>2007</v>
      </c>
      <c r="C30">
        <v>11.8883865222351</v>
      </c>
      <c r="D30">
        <f t="shared" si="1"/>
        <v>145566.2403650535</v>
      </c>
      <c r="E30">
        <v>42658630</v>
      </c>
      <c r="F30">
        <f t="shared" si="2"/>
        <v>34123.515069530709</v>
      </c>
      <c r="G30">
        <f t="shared" si="3"/>
        <v>10.437742017094493</v>
      </c>
    </row>
    <row r="31" spans="1:7" x14ac:dyDescent="0.3">
      <c r="A31" s="1">
        <v>39234</v>
      </c>
      <c r="B31">
        <f t="shared" si="0"/>
        <v>2007</v>
      </c>
      <c r="C31">
        <v>11.895393891424501</v>
      </c>
      <c r="D31">
        <f t="shared" si="1"/>
        <v>146589.85900107256</v>
      </c>
      <c r="E31">
        <v>42658630</v>
      </c>
      <c r="F31">
        <f t="shared" si="2"/>
        <v>34363.470885275165</v>
      </c>
      <c r="G31">
        <f t="shared" si="3"/>
        <v>10.444749386283894</v>
      </c>
    </row>
    <row r="32" spans="1:7" x14ac:dyDescent="0.3">
      <c r="A32" s="1">
        <v>39264</v>
      </c>
      <c r="B32">
        <f t="shared" si="0"/>
        <v>2007</v>
      </c>
      <c r="C32">
        <v>11.895856759418001</v>
      </c>
      <c r="D32">
        <f t="shared" si="1"/>
        <v>146657.72646060152</v>
      </c>
      <c r="E32">
        <v>42658630</v>
      </c>
      <c r="F32">
        <f t="shared" si="2"/>
        <v>34379.380317793024</v>
      </c>
      <c r="G32">
        <f t="shared" si="3"/>
        <v>10.445212254277394</v>
      </c>
    </row>
    <row r="33" spans="1:8" x14ac:dyDescent="0.3">
      <c r="A33" s="1">
        <v>39295</v>
      </c>
      <c r="B33">
        <f t="shared" si="0"/>
        <v>2007</v>
      </c>
      <c r="C33">
        <v>11.908199732543499</v>
      </c>
      <c r="D33">
        <f t="shared" si="1"/>
        <v>148479.13652055588</v>
      </c>
      <c r="E33">
        <v>42658630</v>
      </c>
      <c r="F33">
        <f t="shared" si="2"/>
        <v>34806.353725038964</v>
      </c>
      <c r="G33">
        <f t="shared" si="3"/>
        <v>10.457555227402892</v>
      </c>
    </row>
    <row r="34" spans="1:8" x14ac:dyDescent="0.3">
      <c r="A34" s="1">
        <v>39326</v>
      </c>
      <c r="B34">
        <f t="shared" si="0"/>
        <v>2007</v>
      </c>
      <c r="C34">
        <v>11.913711398038499</v>
      </c>
      <c r="D34">
        <f t="shared" si="1"/>
        <v>149299.76328671243</v>
      </c>
      <c r="E34">
        <v>42658630</v>
      </c>
      <c r="F34">
        <f t="shared" si="2"/>
        <v>34998.724358169129</v>
      </c>
      <c r="G34">
        <f t="shared" si="3"/>
        <v>10.463066892897892</v>
      </c>
    </row>
    <row r="35" spans="1:8" x14ac:dyDescent="0.3">
      <c r="A35" s="1">
        <v>39356</v>
      </c>
      <c r="B35">
        <f t="shared" si="0"/>
        <v>2007</v>
      </c>
      <c r="C35">
        <v>11.9150252072809</v>
      </c>
      <c r="D35">
        <f t="shared" si="1"/>
        <v>149496.04360482158</v>
      </c>
      <c r="E35">
        <v>42658630</v>
      </c>
      <c r="F35">
        <f t="shared" si="2"/>
        <v>35044.736224492342</v>
      </c>
      <c r="G35">
        <f t="shared" si="3"/>
        <v>10.464380702140293</v>
      </c>
    </row>
    <row r="36" spans="1:8" x14ac:dyDescent="0.3">
      <c r="A36" s="1">
        <v>39387</v>
      </c>
      <c r="B36">
        <f t="shared" si="0"/>
        <v>2007</v>
      </c>
      <c r="C36">
        <v>11.9223693774768</v>
      </c>
      <c r="D36">
        <f t="shared" si="1"/>
        <v>150598.00955236153</v>
      </c>
      <c r="E36">
        <v>42658630</v>
      </c>
      <c r="F36">
        <f t="shared" si="2"/>
        <v>35303.058150803605</v>
      </c>
      <c r="G36">
        <f t="shared" si="3"/>
        <v>10.471724872336193</v>
      </c>
    </row>
    <row r="37" spans="1:8" x14ac:dyDescent="0.3">
      <c r="A37" s="1">
        <v>39417</v>
      </c>
      <c r="B37">
        <f t="shared" si="0"/>
        <v>2007</v>
      </c>
      <c r="C37">
        <v>11.9169811652423</v>
      </c>
      <c r="D37">
        <f t="shared" si="1"/>
        <v>149788.73773690205</v>
      </c>
      <c r="E37">
        <v>42658630</v>
      </c>
      <c r="F37">
        <f t="shared" si="2"/>
        <v>35113.349335621431</v>
      </c>
      <c r="G37">
        <f t="shared" si="3"/>
        <v>10.466336660101693</v>
      </c>
    </row>
    <row r="38" spans="1:8" x14ac:dyDescent="0.3">
      <c r="A38" s="1">
        <v>39448</v>
      </c>
      <c r="B38">
        <f t="shared" si="0"/>
        <v>2008</v>
      </c>
      <c r="C38">
        <v>11.9262765554429</v>
      </c>
      <c r="D38">
        <f t="shared" si="1"/>
        <v>151187.57379320308</v>
      </c>
      <c r="E38">
        <v>43134017</v>
      </c>
      <c r="F38">
        <f t="shared" si="2"/>
        <v>35050.659388668362</v>
      </c>
      <c r="G38">
        <f t="shared" si="3"/>
        <v>10.464549705086586</v>
      </c>
      <c r="H38">
        <v>10.825867333967221</v>
      </c>
    </row>
    <row r="39" spans="1:8" x14ac:dyDescent="0.3">
      <c r="A39" s="1">
        <v>39479</v>
      </c>
      <c r="B39">
        <f t="shared" si="0"/>
        <v>2008</v>
      </c>
      <c r="C39">
        <v>11.9273825354145</v>
      </c>
      <c r="D39">
        <f t="shared" si="1"/>
        <v>151354.87672156346</v>
      </c>
      <c r="E39">
        <v>43134017</v>
      </c>
      <c r="F39">
        <f t="shared" si="2"/>
        <v>35089.446160686457</v>
      </c>
      <c r="G39">
        <f t="shared" si="3"/>
        <v>10.465655685058186</v>
      </c>
      <c r="H39">
        <v>10.821969201776701</v>
      </c>
    </row>
    <row r="40" spans="1:8" x14ac:dyDescent="0.3">
      <c r="A40" s="1">
        <v>39508</v>
      </c>
      <c r="B40">
        <f t="shared" si="0"/>
        <v>2008</v>
      </c>
      <c r="C40">
        <v>11.913386829142601</v>
      </c>
      <c r="D40">
        <f t="shared" si="1"/>
        <v>149251.31309052324</v>
      </c>
      <c r="E40">
        <v>43134017</v>
      </c>
      <c r="F40">
        <f t="shared" si="2"/>
        <v>34601.7652588497</v>
      </c>
      <c r="G40">
        <f t="shared" si="3"/>
        <v>10.451659978786287</v>
      </c>
      <c r="H40">
        <v>10.820108597168071</v>
      </c>
    </row>
    <row r="41" spans="1:8" x14ac:dyDescent="0.3">
      <c r="A41" s="1">
        <v>39539</v>
      </c>
      <c r="B41">
        <f t="shared" si="0"/>
        <v>2008</v>
      </c>
      <c r="C41">
        <v>11.9341717704538</v>
      </c>
      <c r="D41">
        <f t="shared" si="1"/>
        <v>152385.95671566014</v>
      </c>
      <c r="E41">
        <v>43134017</v>
      </c>
      <c r="F41">
        <f t="shared" si="2"/>
        <v>35328.48719275558</v>
      </c>
      <c r="G41">
        <f t="shared" si="3"/>
        <v>10.472444920097486</v>
      </c>
      <c r="H41">
        <v>10.829742946313367</v>
      </c>
    </row>
    <row r="42" spans="1:8" x14ac:dyDescent="0.3">
      <c r="A42" s="1">
        <v>39569</v>
      </c>
      <c r="B42">
        <f t="shared" si="0"/>
        <v>2008</v>
      </c>
      <c r="C42">
        <v>11.925411660122</v>
      </c>
      <c r="D42">
        <f t="shared" si="1"/>
        <v>151056.86889922444</v>
      </c>
      <c r="E42">
        <v>43134017</v>
      </c>
      <c r="F42">
        <f t="shared" si="2"/>
        <v>35020.357343306197</v>
      </c>
      <c r="G42">
        <f t="shared" si="3"/>
        <v>10.463684809765686</v>
      </c>
      <c r="H42">
        <v>10.823827156518615</v>
      </c>
    </row>
    <row r="43" spans="1:8" x14ac:dyDescent="0.3">
      <c r="A43" s="1">
        <v>39600</v>
      </c>
      <c r="B43">
        <f t="shared" si="0"/>
        <v>2008</v>
      </c>
      <c r="C43">
        <v>11.929226859424199</v>
      </c>
      <c r="D43">
        <f t="shared" si="1"/>
        <v>151634.28173217046</v>
      </c>
      <c r="E43">
        <v>43134017</v>
      </c>
      <c r="F43">
        <f t="shared" si="2"/>
        <v>35154.222184354046</v>
      </c>
      <c r="G43">
        <f t="shared" si="3"/>
        <v>10.467500009067885</v>
      </c>
      <c r="H43">
        <v>10.836154142790827</v>
      </c>
    </row>
    <row r="44" spans="1:8" x14ac:dyDescent="0.3">
      <c r="A44" s="1">
        <v>39630</v>
      </c>
      <c r="B44">
        <f t="shared" si="0"/>
        <v>2008</v>
      </c>
      <c r="C44">
        <v>11.9407834548244</v>
      </c>
      <c r="D44">
        <f t="shared" si="1"/>
        <v>153396.8226447636</v>
      </c>
      <c r="E44">
        <v>43134017</v>
      </c>
      <c r="F44">
        <f t="shared" si="2"/>
        <v>35562.841885272035</v>
      </c>
      <c r="G44">
        <f t="shared" si="3"/>
        <v>10.479056604468086</v>
      </c>
      <c r="H44">
        <v>10.839897642348799</v>
      </c>
    </row>
    <row r="45" spans="1:8" x14ac:dyDescent="0.3">
      <c r="A45" s="1">
        <v>39661</v>
      </c>
      <c r="B45">
        <f t="shared" si="0"/>
        <v>2008</v>
      </c>
      <c r="C45">
        <v>11.9344170982662</v>
      </c>
      <c r="D45">
        <f t="shared" si="1"/>
        <v>152423.34581516727</v>
      </c>
      <c r="E45">
        <v>43134017</v>
      </c>
      <c r="F45">
        <f t="shared" si="2"/>
        <v>35337.155316456447</v>
      </c>
      <c r="G45">
        <f t="shared" si="3"/>
        <v>10.472690247909886</v>
      </c>
      <c r="H45">
        <v>10.8444109041974</v>
      </c>
    </row>
    <row r="46" spans="1:8" x14ac:dyDescent="0.3">
      <c r="A46" s="1">
        <v>39692</v>
      </c>
      <c r="B46">
        <f t="shared" si="0"/>
        <v>2008</v>
      </c>
      <c r="C46">
        <v>11.9394016969094</v>
      </c>
      <c r="D46">
        <f t="shared" si="1"/>
        <v>153185.01174033521</v>
      </c>
      <c r="E46">
        <v>43134017</v>
      </c>
      <c r="F46">
        <f t="shared" si="2"/>
        <v>35513.736580651697</v>
      </c>
      <c r="G46">
        <f t="shared" si="3"/>
        <v>10.477674846553086</v>
      </c>
      <c r="H46">
        <v>10.839584155187378</v>
      </c>
    </row>
    <row r="47" spans="1:8" x14ac:dyDescent="0.3">
      <c r="A47" s="1">
        <v>39722</v>
      </c>
      <c r="B47">
        <f t="shared" si="0"/>
        <v>2008</v>
      </c>
      <c r="C47">
        <v>11.933688948739301</v>
      </c>
      <c r="D47">
        <f t="shared" si="1"/>
        <v>152312.39922577876</v>
      </c>
      <c r="E47">
        <v>43134017</v>
      </c>
      <c r="F47">
        <f t="shared" si="2"/>
        <v>35311.433949167949</v>
      </c>
      <c r="G47">
        <f t="shared" si="3"/>
        <v>10.471962098382987</v>
      </c>
      <c r="H47">
        <v>10.830423050220965</v>
      </c>
    </row>
    <row r="48" spans="1:8" x14ac:dyDescent="0.3">
      <c r="A48" s="1">
        <v>39753</v>
      </c>
      <c r="B48">
        <f t="shared" si="0"/>
        <v>2008</v>
      </c>
      <c r="C48">
        <v>11.9093339319333</v>
      </c>
      <c r="D48">
        <f t="shared" si="1"/>
        <v>148647.6370051057</v>
      </c>
      <c r="E48">
        <v>43134017</v>
      </c>
      <c r="F48">
        <f t="shared" si="2"/>
        <v>34461.811661340449</v>
      </c>
      <c r="G48">
        <f t="shared" si="3"/>
        <v>10.447607081576987</v>
      </c>
      <c r="H48">
        <v>10.817040099576738</v>
      </c>
    </row>
    <row r="49" spans="1:8" x14ac:dyDescent="0.3">
      <c r="A49" s="1">
        <v>39783</v>
      </c>
      <c r="B49">
        <f t="shared" si="0"/>
        <v>2008</v>
      </c>
      <c r="C49">
        <v>11.920648069327401</v>
      </c>
      <c r="D49">
        <f t="shared" si="1"/>
        <v>150339.00694683348</v>
      </c>
      <c r="E49">
        <v>43134017</v>
      </c>
      <c r="F49">
        <f t="shared" si="2"/>
        <v>34853.931398699431</v>
      </c>
      <c r="G49">
        <f t="shared" si="3"/>
        <v>10.458921218971087</v>
      </c>
      <c r="H49">
        <v>10.821590977020024</v>
      </c>
    </row>
    <row r="50" spans="1:8" x14ac:dyDescent="0.3">
      <c r="A50" s="1">
        <v>39814</v>
      </c>
      <c r="B50">
        <f t="shared" si="0"/>
        <v>2009</v>
      </c>
      <c r="C50">
        <v>11.912278004576899</v>
      </c>
      <c r="D50">
        <f t="shared" si="1"/>
        <v>149085.91128584408</v>
      </c>
      <c r="E50">
        <v>43608630</v>
      </c>
      <c r="F50">
        <f t="shared" si="2"/>
        <v>34187.249470080591</v>
      </c>
      <c r="G50">
        <f t="shared" si="3"/>
        <v>10.439608031022841</v>
      </c>
      <c r="H50">
        <v>10.81614980515544</v>
      </c>
    </row>
    <row r="51" spans="1:8" x14ac:dyDescent="0.3">
      <c r="A51" s="1">
        <v>39845</v>
      </c>
      <c r="B51">
        <f t="shared" si="0"/>
        <v>2009</v>
      </c>
      <c r="C51">
        <v>11.9319054773367</v>
      </c>
      <c r="D51">
        <f t="shared" si="1"/>
        <v>152040.99650892935</v>
      </c>
      <c r="E51">
        <v>43608630</v>
      </c>
      <c r="F51">
        <f t="shared" si="2"/>
        <v>34864.887181488928</v>
      </c>
      <c r="G51">
        <f t="shared" si="3"/>
        <v>10.459235503782644</v>
      </c>
      <c r="H51">
        <v>10.833584210055569</v>
      </c>
    </row>
    <row r="52" spans="1:8" x14ac:dyDescent="0.3">
      <c r="A52" s="1">
        <v>39873</v>
      </c>
      <c r="B52">
        <f t="shared" si="0"/>
        <v>2009</v>
      </c>
      <c r="C52">
        <v>11.927498248086399</v>
      </c>
      <c r="D52">
        <f t="shared" si="1"/>
        <v>151372.3914120702</v>
      </c>
      <c r="E52">
        <v>43608630</v>
      </c>
      <c r="F52">
        <f t="shared" si="2"/>
        <v>34711.567736035322</v>
      </c>
      <c r="G52">
        <f t="shared" si="3"/>
        <v>10.454828274532343</v>
      </c>
      <c r="H52">
        <v>10.833640268374779</v>
      </c>
    </row>
    <row r="53" spans="1:8" x14ac:dyDescent="0.3">
      <c r="A53" s="1">
        <v>39904</v>
      </c>
      <c r="B53">
        <f t="shared" si="0"/>
        <v>2009</v>
      </c>
      <c r="C53">
        <v>11.9362488779439</v>
      </c>
      <c r="D53">
        <f t="shared" si="1"/>
        <v>152702.80768057873</v>
      </c>
      <c r="E53">
        <v>43608630</v>
      </c>
      <c r="F53">
        <f t="shared" si="2"/>
        <v>35016.648695585885</v>
      </c>
      <c r="G53">
        <f t="shared" si="3"/>
        <v>10.463578904389843</v>
      </c>
      <c r="H53">
        <v>10.834417255655621</v>
      </c>
    </row>
    <row r="54" spans="1:8" x14ac:dyDescent="0.3">
      <c r="A54" s="1">
        <v>39934</v>
      </c>
      <c r="B54">
        <f t="shared" si="0"/>
        <v>2009</v>
      </c>
      <c r="C54">
        <v>11.935628658150399</v>
      </c>
      <c r="D54">
        <f t="shared" si="1"/>
        <v>152608.12774095353</v>
      </c>
      <c r="E54">
        <v>43608630</v>
      </c>
      <c r="F54">
        <f t="shared" si="2"/>
        <v>34994.937410543171</v>
      </c>
      <c r="G54">
        <f t="shared" si="3"/>
        <v>10.462958684596343</v>
      </c>
      <c r="H54">
        <v>10.841459794326221</v>
      </c>
    </row>
    <row r="55" spans="1:8" x14ac:dyDescent="0.3">
      <c r="A55" s="1">
        <v>39965</v>
      </c>
      <c r="B55">
        <f t="shared" si="0"/>
        <v>2009</v>
      </c>
      <c r="C55">
        <v>11.9327493539058</v>
      </c>
      <c r="D55">
        <f t="shared" si="1"/>
        <v>152169.35449495696</v>
      </c>
      <c r="E55">
        <v>43608630</v>
      </c>
      <c r="F55">
        <f t="shared" si="2"/>
        <v>34894.321260483754</v>
      </c>
      <c r="G55">
        <f t="shared" si="3"/>
        <v>10.460079380351743</v>
      </c>
      <c r="H55">
        <v>10.834374868494265</v>
      </c>
    </row>
    <row r="56" spans="1:8" x14ac:dyDescent="0.3">
      <c r="A56" s="1">
        <v>39995</v>
      </c>
      <c r="B56">
        <f t="shared" si="0"/>
        <v>2009</v>
      </c>
      <c r="C56">
        <v>11.956657535969599</v>
      </c>
      <c r="D56">
        <f t="shared" si="1"/>
        <v>155851.28588845077</v>
      </c>
      <c r="E56">
        <v>43608630</v>
      </c>
      <c r="F56">
        <f t="shared" si="2"/>
        <v>35738.633818226066</v>
      </c>
      <c r="G56">
        <f t="shared" si="3"/>
        <v>10.483987562415543</v>
      </c>
      <c r="H56">
        <v>10.854577588686901</v>
      </c>
    </row>
    <row r="57" spans="1:8" x14ac:dyDescent="0.3">
      <c r="A57" s="1">
        <v>40026</v>
      </c>
      <c r="B57">
        <f t="shared" si="0"/>
        <v>2009</v>
      </c>
      <c r="C57">
        <v>11.9326794674885</v>
      </c>
      <c r="D57">
        <f t="shared" si="1"/>
        <v>152158.72029554576</v>
      </c>
      <c r="E57">
        <v>43608630</v>
      </c>
      <c r="F57">
        <f t="shared" si="2"/>
        <v>34891.882706598612</v>
      </c>
      <c r="G57">
        <f t="shared" si="3"/>
        <v>10.460009493934441</v>
      </c>
      <c r="H57">
        <v>10.838387105995356</v>
      </c>
    </row>
    <row r="58" spans="1:8" x14ac:dyDescent="0.3">
      <c r="A58" s="1">
        <v>40057</v>
      </c>
      <c r="B58">
        <f t="shared" si="0"/>
        <v>2009</v>
      </c>
      <c r="C58">
        <v>11.9457597165419</v>
      </c>
      <c r="D58">
        <f t="shared" si="1"/>
        <v>154162.06783188338</v>
      </c>
      <c r="E58">
        <v>43608630</v>
      </c>
      <c r="F58">
        <f t="shared" si="2"/>
        <v>35351.27515628979</v>
      </c>
      <c r="G58">
        <f t="shared" si="3"/>
        <v>10.473089742987842</v>
      </c>
      <c r="H58">
        <v>10.841886416758975</v>
      </c>
    </row>
    <row r="59" spans="1:8" x14ac:dyDescent="0.3">
      <c r="A59" s="1">
        <v>40087</v>
      </c>
      <c r="B59">
        <f t="shared" si="0"/>
        <v>2009</v>
      </c>
      <c r="C59">
        <v>11.9483335265279</v>
      </c>
      <c r="D59">
        <f t="shared" si="1"/>
        <v>154559.36276303884</v>
      </c>
      <c r="E59">
        <v>43608630</v>
      </c>
      <c r="F59">
        <f t="shared" si="2"/>
        <v>35442.379814050299</v>
      </c>
      <c r="G59">
        <f t="shared" si="3"/>
        <v>10.475663552973844</v>
      </c>
      <c r="H59">
        <v>10.844436789663195</v>
      </c>
    </row>
    <row r="60" spans="1:8" x14ac:dyDescent="0.3">
      <c r="A60" s="1">
        <v>40118</v>
      </c>
      <c r="B60">
        <f t="shared" si="0"/>
        <v>2009</v>
      </c>
      <c r="C60">
        <v>11.946961460474901</v>
      </c>
      <c r="D60">
        <f t="shared" si="1"/>
        <v>154347.44252574636</v>
      </c>
      <c r="E60">
        <v>43608630</v>
      </c>
      <c r="F60">
        <f t="shared" si="2"/>
        <v>35393.78387391357</v>
      </c>
      <c r="G60">
        <f t="shared" si="3"/>
        <v>10.474291486920844</v>
      </c>
      <c r="H60">
        <v>10.852347466077704</v>
      </c>
    </row>
    <row r="61" spans="1:8" x14ac:dyDescent="0.3">
      <c r="A61" s="1">
        <v>40148</v>
      </c>
      <c r="B61">
        <f t="shared" si="0"/>
        <v>2009</v>
      </c>
      <c r="C61">
        <v>11.9629846229971</v>
      </c>
      <c r="D61">
        <f t="shared" si="1"/>
        <v>156840.49664889241</v>
      </c>
      <c r="E61">
        <v>43608630</v>
      </c>
      <c r="F61">
        <f t="shared" si="2"/>
        <v>35965.472120745915</v>
      </c>
      <c r="G61">
        <f t="shared" si="3"/>
        <v>10.490314649443041</v>
      </c>
      <c r="H61">
        <v>10.861009980720585</v>
      </c>
    </row>
    <row r="62" spans="1:8" x14ac:dyDescent="0.3">
      <c r="A62" s="1">
        <v>40179</v>
      </c>
      <c r="B62">
        <f t="shared" si="0"/>
        <v>2010</v>
      </c>
      <c r="C62">
        <v>11.949628803523</v>
      </c>
      <c r="D62">
        <f t="shared" si="1"/>
        <v>154759.68966140645</v>
      </c>
      <c r="E62">
        <v>44086292</v>
      </c>
      <c r="F62">
        <f t="shared" si="2"/>
        <v>35103.811783809455</v>
      </c>
      <c r="G62">
        <f t="shared" si="3"/>
        <v>10.466065001386969</v>
      </c>
      <c r="H62">
        <v>10.860333865131429</v>
      </c>
    </row>
    <row r="63" spans="1:8" x14ac:dyDescent="0.3">
      <c r="A63" s="1">
        <v>40210</v>
      </c>
      <c r="B63">
        <f t="shared" si="0"/>
        <v>2010</v>
      </c>
      <c r="C63">
        <v>11.9652976357039</v>
      </c>
      <c r="D63">
        <f t="shared" si="1"/>
        <v>157203.69058475166</v>
      </c>
      <c r="E63">
        <v>44086292</v>
      </c>
      <c r="F63">
        <f t="shared" si="2"/>
        <v>35658.179323575605</v>
      </c>
      <c r="G63">
        <f t="shared" si="3"/>
        <v>10.481733833567869</v>
      </c>
      <c r="H63">
        <v>10.868608399249467</v>
      </c>
    </row>
    <row r="64" spans="1:8" x14ac:dyDescent="0.3">
      <c r="A64" s="1">
        <v>40238</v>
      </c>
      <c r="B64">
        <f t="shared" si="0"/>
        <v>2010</v>
      </c>
      <c r="C64">
        <v>11.971088140773</v>
      </c>
      <c r="D64">
        <f t="shared" si="1"/>
        <v>158116.61996218635</v>
      </c>
      <c r="E64">
        <v>44086292</v>
      </c>
      <c r="F64">
        <f t="shared" si="2"/>
        <v>35865.257155713247</v>
      </c>
      <c r="G64">
        <f t="shared" si="3"/>
        <v>10.48752433863697</v>
      </c>
      <c r="H64">
        <v>10.868566455913616</v>
      </c>
    </row>
    <row r="65" spans="1:8" x14ac:dyDescent="0.3">
      <c r="A65" s="1">
        <v>40269</v>
      </c>
      <c r="B65">
        <f t="shared" si="0"/>
        <v>2010</v>
      </c>
      <c r="C65">
        <v>11.978276901844</v>
      </c>
      <c r="D65">
        <f t="shared" si="1"/>
        <v>159257.37797013068</v>
      </c>
      <c r="E65">
        <v>44086292</v>
      </c>
      <c r="F65">
        <f t="shared" si="2"/>
        <v>36124.012872330175</v>
      </c>
      <c r="G65">
        <f t="shared" si="3"/>
        <v>10.494713099707969</v>
      </c>
      <c r="H65">
        <v>10.876618527072992</v>
      </c>
    </row>
    <row r="66" spans="1:8" x14ac:dyDescent="0.3">
      <c r="A66" s="1">
        <v>40299</v>
      </c>
      <c r="B66">
        <f t="shared" si="0"/>
        <v>2010</v>
      </c>
      <c r="C66">
        <v>11.9763121730237</v>
      </c>
      <c r="D66">
        <f t="shared" si="1"/>
        <v>158944.78758800786</v>
      </c>
      <c r="E66">
        <v>44086292</v>
      </c>
      <c r="F66">
        <f t="shared" si="2"/>
        <v>36053.108659718506</v>
      </c>
      <c r="G66">
        <f t="shared" si="3"/>
        <v>10.49274837088767</v>
      </c>
      <c r="H66">
        <v>10.877461236046104</v>
      </c>
    </row>
    <row r="67" spans="1:8" x14ac:dyDescent="0.3">
      <c r="A67" s="1">
        <v>40330</v>
      </c>
      <c r="B67">
        <f t="shared" ref="B67:B130" si="4">YEAR(A67)</f>
        <v>2010</v>
      </c>
      <c r="C67">
        <v>11.9800061251324</v>
      </c>
      <c r="D67">
        <f t="shared" ref="D67:D130" si="5">EXP(C67)</f>
        <v>159533.00778102753</v>
      </c>
      <c r="E67">
        <v>44086292</v>
      </c>
      <c r="F67">
        <f t="shared" ref="F67:F130" si="6">D67*10000000/E67</f>
        <v>36186.533397054016</v>
      </c>
      <c r="G67">
        <f t="shared" ref="G67:G130" si="7">LN(F67)</f>
        <v>10.496442322996369</v>
      </c>
      <c r="H67">
        <v>10.878114822387875</v>
      </c>
    </row>
    <row r="68" spans="1:8" x14ac:dyDescent="0.3">
      <c r="A68" s="1">
        <v>40360</v>
      </c>
      <c r="B68">
        <f t="shared" si="4"/>
        <v>2010</v>
      </c>
      <c r="C68">
        <v>11.9812516705648</v>
      </c>
      <c r="D68">
        <f t="shared" si="5"/>
        <v>159731.83719001233</v>
      </c>
      <c r="E68">
        <v>44086292</v>
      </c>
      <c r="F68">
        <f t="shared" si="6"/>
        <v>36231.633449692781</v>
      </c>
      <c r="G68">
        <f t="shared" si="7"/>
        <v>10.49768786842877</v>
      </c>
      <c r="H68">
        <v>10.879100072900387</v>
      </c>
    </row>
    <row r="69" spans="1:8" x14ac:dyDescent="0.3">
      <c r="A69" s="1">
        <v>40391</v>
      </c>
      <c r="B69">
        <f t="shared" si="4"/>
        <v>2010</v>
      </c>
      <c r="C69">
        <v>11.981282524825</v>
      </c>
      <c r="D69">
        <f t="shared" si="5"/>
        <v>159736.76567371108</v>
      </c>
      <c r="E69">
        <v>44086292</v>
      </c>
      <c r="F69">
        <f t="shared" si="6"/>
        <v>36232.751367184857</v>
      </c>
      <c r="G69">
        <f t="shared" si="7"/>
        <v>10.497718722688969</v>
      </c>
      <c r="H69">
        <v>10.887938912177946</v>
      </c>
    </row>
    <row r="70" spans="1:8" x14ac:dyDescent="0.3">
      <c r="A70" s="1">
        <v>40422</v>
      </c>
      <c r="B70">
        <f t="shared" si="4"/>
        <v>2010</v>
      </c>
      <c r="C70">
        <v>11.9942037646102</v>
      </c>
      <c r="D70">
        <f t="shared" si="5"/>
        <v>161814.15504553381</v>
      </c>
      <c r="E70">
        <v>44086292</v>
      </c>
      <c r="F70">
        <f t="shared" si="6"/>
        <v>36703.961187194836</v>
      </c>
      <c r="G70">
        <f t="shared" si="7"/>
        <v>10.510639962474169</v>
      </c>
      <c r="H70">
        <v>10.893440745274395</v>
      </c>
    </row>
    <row r="71" spans="1:8" x14ac:dyDescent="0.3">
      <c r="A71" s="1">
        <v>40452</v>
      </c>
      <c r="B71">
        <f t="shared" si="4"/>
        <v>2010</v>
      </c>
      <c r="C71">
        <v>12.000111715083399</v>
      </c>
      <c r="D71">
        <f t="shared" si="5"/>
        <v>162772.97459974978</v>
      </c>
      <c r="E71">
        <v>44086292</v>
      </c>
      <c r="F71">
        <f t="shared" si="6"/>
        <v>36921.448190686977</v>
      </c>
      <c r="G71">
        <f t="shared" si="7"/>
        <v>10.516547912947368</v>
      </c>
      <c r="H71">
        <v>10.906388962479243</v>
      </c>
    </row>
    <row r="72" spans="1:8" x14ac:dyDescent="0.3">
      <c r="A72" s="1">
        <v>40483</v>
      </c>
      <c r="B72">
        <f t="shared" si="4"/>
        <v>2010</v>
      </c>
      <c r="C72">
        <v>11.999855466803901</v>
      </c>
      <c r="D72">
        <f t="shared" si="5"/>
        <v>162731.26964869892</v>
      </c>
      <c r="E72">
        <v>44086292</v>
      </c>
      <c r="F72">
        <f t="shared" si="6"/>
        <v>36911.988345197853</v>
      </c>
      <c r="G72">
        <f t="shared" si="7"/>
        <v>10.51629166466787</v>
      </c>
      <c r="H72">
        <v>10.902345496187481</v>
      </c>
    </row>
    <row r="73" spans="1:8" x14ac:dyDescent="0.3">
      <c r="A73" s="1">
        <v>40513</v>
      </c>
      <c r="B73">
        <f t="shared" si="4"/>
        <v>2010</v>
      </c>
      <c r="C73">
        <v>12.0191386181127</v>
      </c>
      <c r="D73">
        <f t="shared" si="5"/>
        <v>165899.6917471643</v>
      </c>
      <c r="E73">
        <v>44086292</v>
      </c>
      <c r="F73">
        <f t="shared" si="6"/>
        <v>37630.674801855486</v>
      </c>
      <c r="G73">
        <f t="shared" si="7"/>
        <v>10.53557481597667</v>
      </c>
      <c r="H73">
        <v>10.914190320847265</v>
      </c>
    </row>
    <row r="74" spans="1:8" x14ac:dyDescent="0.3">
      <c r="A74" s="1">
        <v>40544</v>
      </c>
      <c r="B74">
        <f t="shared" si="4"/>
        <v>2011</v>
      </c>
      <c r="C74">
        <v>12.022644205465999</v>
      </c>
      <c r="D74">
        <f t="shared" si="5"/>
        <v>166482.28818318434</v>
      </c>
      <c r="E74">
        <v>44553416</v>
      </c>
      <c r="F74">
        <f t="shared" si="6"/>
        <v>37366.896442504956</v>
      </c>
      <c r="G74">
        <f t="shared" si="7"/>
        <v>10.528540469592814</v>
      </c>
      <c r="H74">
        <v>10.924858690307637</v>
      </c>
    </row>
    <row r="75" spans="1:8" x14ac:dyDescent="0.3">
      <c r="A75" s="1">
        <v>40575</v>
      </c>
      <c r="B75">
        <f t="shared" si="4"/>
        <v>2011</v>
      </c>
      <c r="C75">
        <v>12.0241109211644</v>
      </c>
      <c r="D75">
        <f t="shared" si="5"/>
        <v>166726.64952927252</v>
      </c>
      <c r="E75">
        <v>44553416</v>
      </c>
      <c r="F75">
        <f t="shared" si="6"/>
        <v>37421.743268635677</v>
      </c>
      <c r="G75">
        <f t="shared" si="7"/>
        <v>10.530007185291215</v>
      </c>
      <c r="H75">
        <v>10.921351431837401</v>
      </c>
    </row>
    <row r="76" spans="1:8" x14ac:dyDescent="0.3">
      <c r="A76" s="1">
        <v>40603</v>
      </c>
      <c r="B76">
        <f t="shared" si="4"/>
        <v>2011</v>
      </c>
      <c r="C76">
        <v>12.034496693369601</v>
      </c>
      <c r="D76">
        <f t="shared" si="5"/>
        <v>168467.25766586588</v>
      </c>
      <c r="E76">
        <v>44553416</v>
      </c>
      <c r="F76">
        <f t="shared" si="6"/>
        <v>37812.422209301723</v>
      </c>
      <c r="G76">
        <f t="shared" si="7"/>
        <v>10.540392957496415</v>
      </c>
      <c r="H76">
        <v>10.93315772847955</v>
      </c>
    </row>
    <row r="77" spans="1:8" x14ac:dyDescent="0.3">
      <c r="A77" s="1">
        <v>40634</v>
      </c>
      <c r="B77">
        <f t="shared" si="4"/>
        <v>2011</v>
      </c>
      <c r="C77">
        <v>12.037839325607299</v>
      </c>
      <c r="D77">
        <f t="shared" si="5"/>
        <v>169031.32396022478</v>
      </c>
      <c r="E77">
        <v>44553416</v>
      </c>
      <c r="F77">
        <f t="shared" si="6"/>
        <v>37939.02670902379</v>
      </c>
      <c r="G77">
        <f t="shared" si="7"/>
        <v>10.543735589734114</v>
      </c>
      <c r="H77">
        <v>10.937749639142789</v>
      </c>
    </row>
    <row r="78" spans="1:8" x14ac:dyDescent="0.3">
      <c r="A78" s="1">
        <v>40664</v>
      </c>
      <c r="B78">
        <f t="shared" si="4"/>
        <v>2011</v>
      </c>
      <c r="C78">
        <v>12.0428251091826</v>
      </c>
      <c r="D78">
        <f t="shared" si="5"/>
        <v>169876.18194835199</v>
      </c>
      <c r="E78">
        <v>44553416</v>
      </c>
      <c r="F78">
        <f t="shared" si="6"/>
        <v>38128.654814785019</v>
      </c>
      <c r="G78">
        <f t="shared" si="7"/>
        <v>10.548721373309414</v>
      </c>
      <c r="H78">
        <v>10.944651145596785</v>
      </c>
    </row>
    <row r="79" spans="1:8" x14ac:dyDescent="0.3">
      <c r="A79" s="1">
        <v>40695</v>
      </c>
      <c r="B79">
        <f t="shared" si="4"/>
        <v>2011</v>
      </c>
      <c r="C79">
        <v>12.0466472552101</v>
      </c>
      <c r="D79">
        <f t="shared" si="5"/>
        <v>170526.7159483649</v>
      </c>
      <c r="E79">
        <v>44553416</v>
      </c>
      <c r="F79">
        <f t="shared" si="6"/>
        <v>38274.666963441116</v>
      </c>
      <c r="G79">
        <f t="shared" si="7"/>
        <v>10.552543519336915</v>
      </c>
      <c r="H79">
        <v>10.951195878047892</v>
      </c>
    </row>
    <row r="80" spans="1:8" x14ac:dyDescent="0.3">
      <c r="A80" s="1">
        <v>40725</v>
      </c>
      <c r="B80">
        <f t="shared" si="4"/>
        <v>2011</v>
      </c>
      <c r="C80">
        <v>12.0519177112636</v>
      </c>
      <c r="D80">
        <f t="shared" si="5"/>
        <v>171427.84209766888</v>
      </c>
      <c r="E80">
        <v>44553416</v>
      </c>
      <c r="F80">
        <f t="shared" si="6"/>
        <v>38476.924440017996</v>
      </c>
      <c r="G80">
        <f t="shared" si="7"/>
        <v>10.557813975390415</v>
      </c>
      <c r="H80">
        <v>10.959292057535347</v>
      </c>
    </row>
    <row r="81" spans="1:8" x14ac:dyDescent="0.3">
      <c r="A81" s="1">
        <v>40756</v>
      </c>
      <c r="B81">
        <f t="shared" si="4"/>
        <v>2011</v>
      </c>
      <c r="C81">
        <v>12.070945095202999</v>
      </c>
      <c r="D81">
        <f t="shared" si="5"/>
        <v>174720.89520892373</v>
      </c>
      <c r="E81">
        <v>44553416</v>
      </c>
      <c r="F81">
        <f t="shared" si="6"/>
        <v>39216.049159715098</v>
      </c>
      <c r="G81">
        <f t="shared" si="7"/>
        <v>10.576841359329814</v>
      </c>
      <c r="H81">
        <v>10.967610004566355</v>
      </c>
    </row>
    <row r="82" spans="1:8" x14ac:dyDescent="0.3">
      <c r="A82" s="1">
        <v>40787</v>
      </c>
      <c r="B82">
        <f t="shared" si="4"/>
        <v>2011</v>
      </c>
      <c r="C82">
        <v>12.064699143533501</v>
      </c>
      <c r="D82">
        <f t="shared" si="5"/>
        <v>173632.99795537451</v>
      </c>
      <c r="E82">
        <v>44553416</v>
      </c>
      <c r="F82">
        <f t="shared" si="6"/>
        <v>38971.870968406671</v>
      </c>
      <c r="G82">
        <f t="shared" si="7"/>
        <v>10.570595407660317</v>
      </c>
      <c r="H82">
        <v>10.962387303142336</v>
      </c>
    </row>
    <row r="83" spans="1:8" x14ac:dyDescent="0.3">
      <c r="A83" s="1">
        <v>40817</v>
      </c>
      <c r="B83">
        <f t="shared" si="4"/>
        <v>2011</v>
      </c>
      <c r="C83">
        <v>12.066076873061</v>
      </c>
      <c r="D83">
        <f t="shared" si="5"/>
        <v>173872.38212906275</v>
      </c>
      <c r="E83">
        <v>44553416</v>
      </c>
      <c r="F83">
        <f t="shared" si="6"/>
        <v>39025.600669780906</v>
      </c>
      <c r="G83">
        <f t="shared" si="7"/>
        <v>10.571973137187815</v>
      </c>
      <c r="H83">
        <v>10.972701800164629</v>
      </c>
    </row>
    <row r="84" spans="1:8" x14ac:dyDescent="0.3">
      <c r="A84" s="1">
        <v>40848</v>
      </c>
      <c r="B84">
        <f t="shared" si="4"/>
        <v>2011</v>
      </c>
      <c r="C84">
        <v>12.069411590487601</v>
      </c>
      <c r="D84">
        <f t="shared" si="5"/>
        <v>174453.16522730378</v>
      </c>
      <c r="E84">
        <v>44553416</v>
      </c>
      <c r="F84">
        <f t="shared" si="6"/>
        <v>39155.957250798412</v>
      </c>
      <c r="G84">
        <f t="shared" si="7"/>
        <v>10.575307854614417</v>
      </c>
      <c r="H84">
        <v>10.975277589897884</v>
      </c>
    </row>
    <row r="85" spans="1:8" x14ac:dyDescent="0.3">
      <c r="A85" s="1">
        <v>40878</v>
      </c>
      <c r="B85">
        <f t="shared" si="4"/>
        <v>2011</v>
      </c>
      <c r="C85">
        <v>12.070790636451401</v>
      </c>
      <c r="D85">
        <f t="shared" si="5"/>
        <v>174693.91012166665</v>
      </c>
      <c r="E85">
        <v>44553416</v>
      </c>
      <c r="F85">
        <f t="shared" si="6"/>
        <v>39209.992365493737</v>
      </c>
      <c r="G85">
        <f t="shared" si="7"/>
        <v>10.576686900578215</v>
      </c>
      <c r="H85">
        <v>10.968494742083706</v>
      </c>
    </row>
    <row r="86" spans="1:8" x14ac:dyDescent="0.3">
      <c r="A86" s="1">
        <v>40909</v>
      </c>
      <c r="B86">
        <f t="shared" si="4"/>
        <v>2012</v>
      </c>
      <c r="C86">
        <v>12.0805621748151</v>
      </c>
      <c r="D86">
        <f t="shared" si="5"/>
        <v>176409.3057441593</v>
      </c>
      <c r="E86">
        <v>45001571</v>
      </c>
      <c r="F86">
        <f t="shared" si="6"/>
        <v>39200.699403174011</v>
      </c>
      <c r="G86">
        <f t="shared" si="7"/>
        <v>10.576449867537093</v>
      </c>
      <c r="H86">
        <v>10.979552210191965</v>
      </c>
    </row>
    <row r="87" spans="1:8" x14ac:dyDescent="0.3">
      <c r="A87" s="1">
        <v>40940</v>
      </c>
      <c r="B87">
        <f t="shared" si="4"/>
        <v>2012</v>
      </c>
      <c r="C87">
        <v>12.083905016990601</v>
      </c>
      <c r="D87">
        <f t="shared" si="5"/>
        <v>177000.00096193029</v>
      </c>
      <c r="E87">
        <v>45001571</v>
      </c>
      <c r="F87">
        <f t="shared" si="6"/>
        <v>39331.960424655015</v>
      </c>
      <c r="G87">
        <f t="shared" si="7"/>
        <v>10.579792709712594</v>
      </c>
      <c r="H87">
        <v>10.973910801712357</v>
      </c>
    </row>
    <row r="88" spans="1:8" x14ac:dyDescent="0.3">
      <c r="A88" s="1">
        <v>40969</v>
      </c>
      <c r="B88">
        <f t="shared" si="4"/>
        <v>2012</v>
      </c>
      <c r="C88">
        <v>12.0917861181943</v>
      </c>
      <c r="D88">
        <f t="shared" si="5"/>
        <v>178400.4672420315</v>
      </c>
      <c r="E88">
        <v>45001571</v>
      </c>
      <c r="F88">
        <f t="shared" si="6"/>
        <v>39643.164289093707</v>
      </c>
      <c r="G88">
        <f t="shared" si="7"/>
        <v>10.587673810916293</v>
      </c>
      <c r="H88">
        <v>10.988345695387277</v>
      </c>
    </row>
    <row r="89" spans="1:8" x14ac:dyDescent="0.3">
      <c r="A89" s="1">
        <v>41000</v>
      </c>
      <c r="B89">
        <f t="shared" si="4"/>
        <v>2012</v>
      </c>
      <c r="C89">
        <v>12.083084929165199</v>
      </c>
      <c r="D89">
        <f t="shared" si="5"/>
        <v>176854.90491992614</v>
      </c>
      <c r="E89">
        <v>45001571</v>
      </c>
      <c r="F89">
        <f t="shared" si="6"/>
        <v>39299.717985384588</v>
      </c>
      <c r="G89">
        <f t="shared" si="7"/>
        <v>10.578972621887193</v>
      </c>
      <c r="H89">
        <v>10.984533862934741</v>
      </c>
    </row>
    <row r="90" spans="1:8" x14ac:dyDescent="0.3">
      <c r="A90" s="1">
        <v>41030</v>
      </c>
      <c r="B90">
        <f t="shared" si="4"/>
        <v>2012</v>
      </c>
      <c r="C90">
        <v>12.0913796021372</v>
      </c>
      <c r="D90">
        <f t="shared" si="5"/>
        <v>178327.95932631815</v>
      </c>
      <c r="E90">
        <v>45001571</v>
      </c>
      <c r="F90">
        <f t="shared" si="6"/>
        <v>39627.051981433746</v>
      </c>
      <c r="G90">
        <f t="shared" si="7"/>
        <v>10.587267294859194</v>
      </c>
      <c r="H90">
        <v>10.989823326276612</v>
      </c>
    </row>
    <row r="91" spans="1:8" x14ac:dyDescent="0.3">
      <c r="A91" s="1">
        <v>41061</v>
      </c>
      <c r="B91">
        <f t="shared" si="4"/>
        <v>2012</v>
      </c>
      <c r="C91">
        <v>12.0920521686977</v>
      </c>
      <c r="D91">
        <f t="shared" si="5"/>
        <v>178447.93709055666</v>
      </c>
      <c r="E91">
        <v>45001571</v>
      </c>
      <c r="F91">
        <f t="shared" si="6"/>
        <v>39653.712776062122</v>
      </c>
      <c r="G91">
        <f t="shared" si="7"/>
        <v>10.587939861419693</v>
      </c>
      <c r="H91">
        <v>10.997517205452656</v>
      </c>
    </row>
    <row r="92" spans="1:8" x14ac:dyDescent="0.3">
      <c r="A92" s="1">
        <v>41091</v>
      </c>
      <c r="B92">
        <f t="shared" si="4"/>
        <v>2012</v>
      </c>
      <c r="C92">
        <v>12.086502209891499</v>
      </c>
      <c r="D92">
        <f t="shared" si="5"/>
        <v>177460.30159391143</v>
      </c>
      <c r="E92">
        <v>45001571</v>
      </c>
      <c r="F92">
        <f t="shared" si="6"/>
        <v>39434.245883085154</v>
      </c>
      <c r="G92">
        <f t="shared" si="7"/>
        <v>10.582389902613492</v>
      </c>
      <c r="H92">
        <v>10.994454823859426</v>
      </c>
    </row>
    <row r="93" spans="1:8" x14ac:dyDescent="0.3">
      <c r="A93" s="1">
        <v>41122</v>
      </c>
      <c r="B93">
        <f t="shared" si="4"/>
        <v>2012</v>
      </c>
      <c r="C93">
        <v>12.0722965068805</v>
      </c>
      <c r="D93">
        <f t="shared" si="5"/>
        <v>174957.17468647496</v>
      </c>
      <c r="E93">
        <v>45001571</v>
      </c>
      <c r="F93">
        <f t="shared" si="6"/>
        <v>38878.014877852809</v>
      </c>
      <c r="G93">
        <f t="shared" si="7"/>
        <v>10.568184199602493</v>
      </c>
      <c r="H93">
        <v>10.974860948251314</v>
      </c>
    </row>
    <row r="94" spans="1:8" x14ac:dyDescent="0.3">
      <c r="A94" s="1">
        <v>41153</v>
      </c>
      <c r="B94">
        <f t="shared" si="4"/>
        <v>2012</v>
      </c>
      <c r="C94">
        <v>12.093247543227999</v>
      </c>
      <c r="D94">
        <f t="shared" si="5"/>
        <v>178661.37675429237</v>
      </c>
      <c r="E94">
        <v>45001571</v>
      </c>
      <c r="F94">
        <f t="shared" si="6"/>
        <v>39701.142156635462</v>
      </c>
      <c r="G94">
        <f t="shared" si="7"/>
        <v>10.589135235949993</v>
      </c>
      <c r="H94">
        <v>10.999405773833885</v>
      </c>
    </row>
    <row r="95" spans="1:8" x14ac:dyDescent="0.3">
      <c r="A95" s="1">
        <v>41183</v>
      </c>
      <c r="B95">
        <f t="shared" si="4"/>
        <v>2012</v>
      </c>
      <c r="C95">
        <v>12.094175801594</v>
      </c>
      <c r="D95">
        <f t="shared" si="5"/>
        <v>178827.29766877022</v>
      </c>
      <c r="E95">
        <v>45001571</v>
      </c>
      <c r="F95">
        <f t="shared" si="6"/>
        <v>39738.012183790255</v>
      </c>
      <c r="G95">
        <f t="shared" si="7"/>
        <v>10.590063494315993</v>
      </c>
      <c r="H95">
        <v>10.993417009428375</v>
      </c>
    </row>
    <row r="96" spans="1:8" x14ac:dyDescent="0.3">
      <c r="A96" s="1">
        <v>41214</v>
      </c>
      <c r="B96">
        <f t="shared" si="4"/>
        <v>2012</v>
      </c>
      <c r="C96">
        <v>12.100270209066</v>
      </c>
      <c r="D96">
        <f t="shared" si="5"/>
        <v>179920.47182872857</v>
      </c>
      <c r="E96">
        <v>45001571</v>
      </c>
      <c r="F96">
        <f t="shared" si="6"/>
        <v>39980.931294316048</v>
      </c>
      <c r="G96">
        <f t="shared" si="7"/>
        <v>10.596157901787993</v>
      </c>
      <c r="H96">
        <v>11.002252604382271</v>
      </c>
    </row>
    <row r="97" spans="1:8" x14ac:dyDescent="0.3">
      <c r="A97" s="1">
        <v>41244</v>
      </c>
      <c r="B97">
        <f t="shared" si="4"/>
        <v>2012</v>
      </c>
      <c r="C97">
        <v>12.095198379339999</v>
      </c>
      <c r="D97">
        <f t="shared" si="5"/>
        <v>179010.25601236604</v>
      </c>
      <c r="E97">
        <v>45001571</v>
      </c>
      <c r="F97">
        <f t="shared" si="6"/>
        <v>39778.668174132421</v>
      </c>
      <c r="G97">
        <f t="shared" si="7"/>
        <v>10.591086072061993</v>
      </c>
      <c r="H97">
        <v>11.002623382476669</v>
      </c>
    </row>
    <row r="98" spans="1:8" x14ac:dyDescent="0.3">
      <c r="A98" s="1">
        <v>41275</v>
      </c>
      <c r="B98">
        <f t="shared" si="4"/>
        <v>2013</v>
      </c>
      <c r="C98">
        <v>12.1144117148117</v>
      </c>
      <c r="D98">
        <f t="shared" si="5"/>
        <v>182482.89376403837</v>
      </c>
      <c r="E98">
        <v>45434942</v>
      </c>
      <c r="F98">
        <f t="shared" si="6"/>
        <v>40163.558206817645</v>
      </c>
      <c r="G98">
        <f t="shared" si="7"/>
        <v>10.600715351208166</v>
      </c>
      <c r="H98">
        <v>11.019389859393355</v>
      </c>
    </row>
    <row r="99" spans="1:8" x14ac:dyDescent="0.3">
      <c r="A99" s="1">
        <v>41306</v>
      </c>
      <c r="B99">
        <f t="shared" si="4"/>
        <v>2013</v>
      </c>
      <c r="C99">
        <v>12.106376720343</v>
      </c>
      <c r="D99">
        <f t="shared" si="5"/>
        <v>181022.51962800729</v>
      </c>
      <c r="E99">
        <v>45434942</v>
      </c>
      <c r="F99">
        <f t="shared" si="6"/>
        <v>39842.137275757341</v>
      </c>
      <c r="G99">
        <f t="shared" si="7"/>
        <v>10.592680356739466</v>
      </c>
      <c r="H99">
        <v>11.01166521977866</v>
      </c>
    </row>
    <row r="100" spans="1:8" x14ac:dyDescent="0.3">
      <c r="A100" s="1">
        <v>41334</v>
      </c>
      <c r="B100">
        <f t="shared" si="4"/>
        <v>2013</v>
      </c>
      <c r="C100">
        <v>12.1057793548453</v>
      </c>
      <c r="D100">
        <f t="shared" si="5"/>
        <v>180914.4153125835</v>
      </c>
      <c r="E100">
        <v>45434942</v>
      </c>
      <c r="F100">
        <f t="shared" si="6"/>
        <v>39818.344064923316</v>
      </c>
      <c r="G100">
        <f t="shared" si="7"/>
        <v>10.592082991241766</v>
      </c>
      <c r="H100">
        <v>11.016248958229484</v>
      </c>
    </row>
    <row r="101" spans="1:8" x14ac:dyDescent="0.3">
      <c r="A101" s="1">
        <v>41365</v>
      </c>
      <c r="B101">
        <f t="shared" si="4"/>
        <v>2013</v>
      </c>
      <c r="C101">
        <v>12.1371962610078</v>
      </c>
      <c r="D101">
        <f t="shared" si="5"/>
        <v>186688.4121665635</v>
      </c>
      <c r="E101">
        <v>45434942</v>
      </c>
      <c r="F101">
        <f t="shared" si="6"/>
        <v>41089.171450150308</v>
      </c>
      <c r="G101">
        <f t="shared" si="7"/>
        <v>10.623499897404265</v>
      </c>
      <c r="H101">
        <v>11.031004997206857</v>
      </c>
    </row>
    <row r="102" spans="1:8" x14ac:dyDescent="0.3">
      <c r="A102" s="1">
        <v>41395</v>
      </c>
      <c r="B102">
        <f t="shared" si="4"/>
        <v>2013</v>
      </c>
      <c r="C102">
        <v>12.148124096433699</v>
      </c>
      <c r="D102">
        <f t="shared" si="5"/>
        <v>188739.7000656481</v>
      </c>
      <c r="E102">
        <v>45434942</v>
      </c>
      <c r="F102">
        <f t="shared" si="6"/>
        <v>41540.649499596169</v>
      </c>
      <c r="G102">
        <f t="shared" si="7"/>
        <v>10.634427732830165</v>
      </c>
      <c r="H102">
        <v>11.040203066299023</v>
      </c>
    </row>
    <row r="103" spans="1:8" x14ac:dyDescent="0.3">
      <c r="A103" s="1">
        <v>41426</v>
      </c>
      <c r="B103">
        <f t="shared" si="4"/>
        <v>2013</v>
      </c>
      <c r="C103">
        <v>12.1405027625585</v>
      </c>
      <c r="D103">
        <f t="shared" si="5"/>
        <v>187306.71934438427</v>
      </c>
      <c r="E103">
        <v>45434942</v>
      </c>
      <c r="F103">
        <f t="shared" si="6"/>
        <v>41225.257720012996</v>
      </c>
      <c r="G103">
        <f t="shared" si="7"/>
        <v>10.626806398954965</v>
      </c>
      <c r="H103">
        <v>11.045268674075816</v>
      </c>
    </row>
    <row r="104" spans="1:8" x14ac:dyDescent="0.3">
      <c r="A104" s="1">
        <v>41456</v>
      </c>
      <c r="B104">
        <f t="shared" si="4"/>
        <v>2013</v>
      </c>
      <c r="C104">
        <v>12.1531871263585</v>
      </c>
      <c r="D104">
        <f t="shared" si="5"/>
        <v>189697.71800531997</v>
      </c>
      <c r="E104">
        <v>45434942</v>
      </c>
      <c r="F104">
        <f t="shared" si="6"/>
        <v>41751.504382974665</v>
      </c>
      <c r="G104">
        <f t="shared" si="7"/>
        <v>10.639490762754965</v>
      </c>
      <c r="H104">
        <v>11.05054020597824</v>
      </c>
    </row>
    <row r="105" spans="1:8" x14ac:dyDescent="0.3">
      <c r="A105" s="1">
        <v>41487</v>
      </c>
      <c r="B105">
        <f t="shared" si="4"/>
        <v>2013</v>
      </c>
      <c r="C105">
        <v>12.1333130197819</v>
      </c>
      <c r="D105">
        <f t="shared" si="5"/>
        <v>185964.86179758646</v>
      </c>
      <c r="E105">
        <v>45434942</v>
      </c>
      <c r="F105">
        <f t="shared" si="6"/>
        <v>40929.921688375092</v>
      </c>
      <c r="G105">
        <f t="shared" si="7"/>
        <v>10.619616656178366</v>
      </c>
      <c r="H105">
        <v>11.037048989846921</v>
      </c>
    </row>
    <row r="106" spans="1:8" x14ac:dyDescent="0.3">
      <c r="A106" s="1">
        <v>41518</v>
      </c>
      <c r="B106">
        <f t="shared" si="4"/>
        <v>2013</v>
      </c>
      <c r="C106">
        <v>12.1474729238595</v>
      </c>
      <c r="D106">
        <f t="shared" si="5"/>
        <v>188616.8379558622</v>
      </c>
      <c r="E106">
        <v>45434942</v>
      </c>
      <c r="F106">
        <f t="shared" si="6"/>
        <v>41513.608173168177</v>
      </c>
      <c r="G106">
        <f t="shared" si="7"/>
        <v>10.633776560255965</v>
      </c>
      <c r="H106">
        <v>11.052330062593208</v>
      </c>
    </row>
    <row r="107" spans="1:8" x14ac:dyDescent="0.3">
      <c r="A107" s="1">
        <v>41548</v>
      </c>
      <c r="B107">
        <f t="shared" si="4"/>
        <v>2013</v>
      </c>
      <c r="C107">
        <v>12.1534946299497</v>
      </c>
      <c r="D107">
        <f t="shared" si="5"/>
        <v>189756.05970453037</v>
      </c>
      <c r="E107">
        <v>45434942</v>
      </c>
      <c r="F107">
        <f t="shared" si="6"/>
        <v>41764.345094691736</v>
      </c>
      <c r="G107">
        <f t="shared" si="7"/>
        <v>10.639798266346165</v>
      </c>
      <c r="H107">
        <v>11.051950768359012</v>
      </c>
    </row>
    <row r="108" spans="1:8" x14ac:dyDescent="0.3">
      <c r="A108" s="1">
        <v>41579</v>
      </c>
      <c r="B108">
        <f t="shared" si="4"/>
        <v>2013</v>
      </c>
      <c r="C108">
        <v>12.158307354659801</v>
      </c>
      <c r="D108">
        <f t="shared" si="5"/>
        <v>190671.50450688761</v>
      </c>
      <c r="E108">
        <v>45434942</v>
      </c>
      <c r="F108">
        <f t="shared" si="6"/>
        <v>41965.82984674826</v>
      </c>
      <c r="G108">
        <f t="shared" si="7"/>
        <v>10.644610991056267</v>
      </c>
      <c r="H108">
        <v>11.060414666299168</v>
      </c>
    </row>
    <row r="109" spans="1:8" x14ac:dyDescent="0.3">
      <c r="A109" s="1">
        <v>41609</v>
      </c>
      <c r="B109">
        <f t="shared" si="4"/>
        <v>2013</v>
      </c>
      <c r="C109">
        <v>12.1652076753905</v>
      </c>
      <c r="D109">
        <f t="shared" si="5"/>
        <v>191991.74885837178</v>
      </c>
      <c r="E109">
        <v>45434942</v>
      </c>
      <c r="F109">
        <f t="shared" si="6"/>
        <v>42256.408923856834</v>
      </c>
      <c r="G109">
        <f t="shared" si="7"/>
        <v>10.651511311786965</v>
      </c>
      <c r="H109">
        <v>11.064316661288125</v>
      </c>
    </row>
    <row r="110" spans="1:8" x14ac:dyDescent="0.3">
      <c r="A110" s="1">
        <v>41640</v>
      </c>
      <c r="B110">
        <f t="shared" si="4"/>
        <v>2014</v>
      </c>
      <c r="C110">
        <v>12.1668585396924</v>
      </c>
      <c r="D110">
        <f t="shared" si="5"/>
        <v>192308.96294948776</v>
      </c>
      <c r="E110">
        <v>45866010</v>
      </c>
      <c r="F110">
        <f t="shared" si="6"/>
        <v>41928.426507884113</v>
      </c>
      <c r="G110">
        <f t="shared" si="7"/>
        <v>10.643719312818265</v>
      </c>
      <c r="H110">
        <v>11.063337771525445</v>
      </c>
    </row>
    <row r="111" spans="1:8" x14ac:dyDescent="0.3">
      <c r="A111" s="1">
        <v>41671</v>
      </c>
      <c r="B111">
        <f t="shared" si="4"/>
        <v>2014</v>
      </c>
      <c r="C111">
        <v>12.181788535792901</v>
      </c>
      <c r="D111">
        <f t="shared" si="5"/>
        <v>195201.67537595154</v>
      </c>
      <c r="E111">
        <v>45866010</v>
      </c>
      <c r="F111">
        <f t="shared" si="6"/>
        <v>42559.114118701742</v>
      </c>
      <c r="G111">
        <f t="shared" si="7"/>
        <v>10.658649308918765</v>
      </c>
      <c r="H111">
        <v>11.07783545993599</v>
      </c>
    </row>
    <row r="112" spans="1:8" x14ac:dyDescent="0.3">
      <c r="A112" s="1">
        <v>41699</v>
      </c>
      <c r="B112">
        <f t="shared" si="4"/>
        <v>2014</v>
      </c>
      <c r="C112">
        <v>12.1712717945147</v>
      </c>
      <c r="D112">
        <f t="shared" si="5"/>
        <v>193159.5469490095</v>
      </c>
      <c r="E112">
        <v>45866010</v>
      </c>
      <c r="F112">
        <f t="shared" si="6"/>
        <v>42113.876255861258</v>
      </c>
      <c r="G112">
        <f t="shared" si="7"/>
        <v>10.648132567640564</v>
      </c>
      <c r="H112">
        <v>11.074631423616927</v>
      </c>
    </row>
    <row r="113" spans="1:8" x14ac:dyDescent="0.3">
      <c r="A113" s="1">
        <v>41730</v>
      </c>
      <c r="B113">
        <f t="shared" si="4"/>
        <v>2014</v>
      </c>
      <c r="C113">
        <v>12.177886917720899</v>
      </c>
      <c r="D113">
        <f t="shared" si="5"/>
        <v>194441.55680205181</v>
      </c>
      <c r="E113">
        <v>45866010</v>
      </c>
      <c r="F113">
        <f t="shared" si="6"/>
        <v>42393.388219740897</v>
      </c>
      <c r="G113">
        <f t="shared" si="7"/>
        <v>10.654747690846763</v>
      </c>
      <c r="H113">
        <v>11.075323820440696</v>
      </c>
    </row>
    <row r="114" spans="1:8" x14ac:dyDescent="0.3">
      <c r="A114" s="1">
        <v>41760</v>
      </c>
      <c r="B114">
        <f t="shared" si="4"/>
        <v>2014</v>
      </c>
      <c r="C114">
        <v>12.177080389049999</v>
      </c>
      <c r="D114">
        <f t="shared" si="5"/>
        <v>194284.79733567612</v>
      </c>
      <c r="E114">
        <v>45866010</v>
      </c>
      <c r="F114">
        <f t="shared" si="6"/>
        <v>42359.210521184672</v>
      </c>
      <c r="G114">
        <f t="shared" si="7"/>
        <v>10.653941162175864</v>
      </c>
      <c r="H114">
        <v>11.077151113506034</v>
      </c>
    </row>
    <row r="115" spans="1:8" x14ac:dyDescent="0.3">
      <c r="A115" s="1">
        <v>41791</v>
      </c>
      <c r="B115">
        <f t="shared" si="4"/>
        <v>2014</v>
      </c>
      <c r="C115">
        <v>12.172424923229</v>
      </c>
      <c r="D115">
        <f t="shared" si="5"/>
        <v>193382.41324110248</v>
      </c>
      <c r="E115">
        <v>45866010</v>
      </c>
      <c r="F115">
        <f t="shared" si="6"/>
        <v>42162.466986141255</v>
      </c>
      <c r="G115">
        <f t="shared" si="7"/>
        <v>10.649285696354864</v>
      </c>
      <c r="H115">
        <v>11.084533792399172</v>
      </c>
    </row>
    <row r="116" spans="1:8" x14ac:dyDescent="0.3">
      <c r="A116" s="1">
        <v>41821</v>
      </c>
      <c r="B116">
        <f t="shared" si="4"/>
        <v>2014</v>
      </c>
      <c r="C116">
        <v>12.1844093099582</v>
      </c>
      <c r="D116">
        <f t="shared" si="5"/>
        <v>195713.92583698969</v>
      </c>
      <c r="E116">
        <v>45866010</v>
      </c>
      <c r="F116">
        <f t="shared" si="6"/>
        <v>42670.798230975335</v>
      </c>
      <c r="G116">
        <f t="shared" si="7"/>
        <v>10.661270083084064</v>
      </c>
      <c r="H116">
        <v>11.079152552671365</v>
      </c>
    </row>
    <row r="117" spans="1:8" x14ac:dyDescent="0.3">
      <c r="A117" s="1">
        <v>41852</v>
      </c>
      <c r="B117">
        <f t="shared" si="4"/>
        <v>2014</v>
      </c>
      <c r="C117">
        <v>12.1776140526023</v>
      </c>
      <c r="D117">
        <f t="shared" si="5"/>
        <v>194388.50772154529</v>
      </c>
      <c r="E117">
        <v>45866010</v>
      </c>
      <c r="F117">
        <f t="shared" si="6"/>
        <v>42381.822120900702</v>
      </c>
      <c r="G117">
        <f t="shared" si="7"/>
        <v>10.654474825728164</v>
      </c>
      <c r="H117">
        <v>11.088302441378708</v>
      </c>
    </row>
    <row r="118" spans="1:8" x14ac:dyDescent="0.3">
      <c r="A118" s="1">
        <v>41883</v>
      </c>
      <c r="B118">
        <f t="shared" si="4"/>
        <v>2014</v>
      </c>
      <c r="C118">
        <v>12.195552437439501</v>
      </c>
      <c r="D118">
        <f t="shared" si="5"/>
        <v>197906.98715082908</v>
      </c>
      <c r="E118">
        <v>45866010</v>
      </c>
      <c r="F118">
        <f t="shared" si="6"/>
        <v>43148.943444356526</v>
      </c>
      <c r="G118">
        <f t="shared" si="7"/>
        <v>10.672413210565365</v>
      </c>
      <c r="H118">
        <v>11.094596029882236</v>
      </c>
    </row>
    <row r="119" spans="1:8" x14ac:dyDescent="0.3">
      <c r="A119" s="1">
        <v>41913</v>
      </c>
      <c r="B119">
        <f t="shared" si="4"/>
        <v>2014</v>
      </c>
      <c r="C119">
        <v>12.199619285067801</v>
      </c>
      <c r="D119">
        <f t="shared" si="5"/>
        <v>198713.48354956048</v>
      </c>
      <c r="E119">
        <v>45866010</v>
      </c>
      <c r="F119">
        <f t="shared" si="6"/>
        <v>43324.780932450951</v>
      </c>
      <c r="G119">
        <f t="shared" si="7"/>
        <v>10.676480058193665</v>
      </c>
      <c r="H119">
        <v>11.096499428232512</v>
      </c>
    </row>
    <row r="120" spans="1:8" x14ac:dyDescent="0.3">
      <c r="A120" s="1">
        <v>41944</v>
      </c>
      <c r="B120">
        <f t="shared" si="4"/>
        <v>2014</v>
      </c>
      <c r="C120">
        <v>12.187563746689801</v>
      </c>
      <c r="D120">
        <f t="shared" si="5"/>
        <v>196332.26778107349</v>
      </c>
      <c r="E120">
        <v>45866010</v>
      </c>
      <c r="F120">
        <f t="shared" si="6"/>
        <v>42805.613084956261</v>
      </c>
      <c r="G120">
        <f t="shared" si="7"/>
        <v>10.664424519815665</v>
      </c>
      <c r="H120">
        <v>11.095717053636424</v>
      </c>
    </row>
    <row r="121" spans="1:8" x14ac:dyDescent="0.3">
      <c r="A121" s="1">
        <v>41974</v>
      </c>
      <c r="B121">
        <f t="shared" si="4"/>
        <v>2014</v>
      </c>
      <c r="C121">
        <v>12.200923258242399</v>
      </c>
      <c r="D121">
        <f t="shared" si="5"/>
        <v>198972.76961583801</v>
      </c>
      <c r="E121">
        <v>45866010</v>
      </c>
      <c r="F121">
        <f t="shared" si="6"/>
        <v>43381.312134157299</v>
      </c>
      <c r="G121">
        <f t="shared" si="7"/>
        <v>10.677784031368263</v>
      </c>
      <c r="H121">
        <v>11.102321825985925</v>
      </c>
    </row>
    <row r="122" spans="1:8" x14ac:dyDescent="0.3">
      <c r="A122" s="1">
        <v>42005</v>
      </c>
      <c r="B122">
        <f t="shared" si="4"/>
        <v>2015</v>
      </c>
      <c r="C122">
        <v>12.1999165700772</v>
      </c>
      <c r="D122">
        <f t="shared" si="5"/>
        <v>198772.56687124301</v>
      </c>
      <c r="E122">
        <v>46313898</v>
      </c>
      <c r="F122">
        <f t="shared" si="6"/>
        <v>42918.556946176934</v>
      </c>
      <c r="G122">
        <f t="shared" si="7"/>
        <v>10.667059574235717</v>
      </c>
      <c r="H122">
        <v>11.105052379495454</v>
      </c>
    </row>
    <row r="123" spans="1:8" x14ac:dyDescent="0.3">
      <c r="A123" s="1">
        <v>42036</v>
      </c>
      <c r="B123">
        <f t="shared" si="4"/>
        <v>2015</v>
      </c>
      <c r="C123">
        <v>12.2053833640103</v>
      </c>
      <c r="D123">
        <f t="shared" si="5"/>
        <v>199862.19119601246</v>
      </c>
      <c r="E123">
        <v>46313898</v>
      </c>
      <c r="F123">
        <f t="shared" si="6"/>
        <v>43153.826351652038</v>
      </c>
      <c r="G123">
        <f t="shared" si="7"/>
        <v>10.672526368168818</v>
      </c>
      <c r="H123">
        <v>11.107782920554685</v>
      </c>
    </row>
    <row r="124" spans="1:8" x14ac:dyDescent="0.3">
      <c r="A124" s="1">
        <v>42064</v>
      </c>
      <c r="B124">
        <f t="shared" si="4"/>
        <v>2015</v>
      </c>
      <c r="C124">
        <v>12.200514095912499</v>
      </c>
      <c r="D124">
        <f t="shared" si="5"/>
        <v>198891.37410695892</v>
      </c>
      <c r="E124">
        <v>46313898</v>
      </c>
      <c r="F124">
        <f t="shared" si="6"/>
        <v>42944.209556051384</v>
      </c>
      <c r="G124">
        <f t="shared" si="7"/>
        <v>10.667657100071017</v>
      </c>
      <c r="H124">
        <v>11.103408467828537</v>
      </c>
    </row>
    <row r="125" spans="1:8" x14ac:dyDescent="0.3">
      <c r="A125" s="1">
        <v>42095</v>
      </c>
      <c r="B125">
        <f t="shared" si="4"/>
        <v>2015</v>
      </c>
      <c r="C125">
        <v>12.2114495926362</v>
      </c>
      <c r="D125">
        <f t="shared" si="5"/>
        <v>201078.28576606076</v>
      </c>
      <c r="E125">
        <v>46313898</v>
      </c>
      <c r="F125">
        <f t="shared" si="6"/>
        <v>43416.402948000788</v>
      </c>
      <c r="G125">
        <f t="shared" si="7"/>
        <v>10.678592596794717</v>
      </c>
      <c r="H125">
        <v>11.109796792084504</v>
      </c>
    </row>
    <row r="126" spans="1:8" x14ac:dyDescent="0.3">
      <c r="A126" s="1">
        <v>42125</v>
      </c>
      <c r="B126">
        <f t="shared" si="4"/>
        <v>2015</v>
      </c>
      <c r="C126">
        <v>12.2098406593971</v>
      </c>
      <c r="D126">
        <f t="shared" si="5"/>
        <v>200755.02435118295</v>
      </c>
      <c r="E126">
        <v>46313898</v>
      </c>
      <c r="F126">
        <f t="shared" si="6"/>
        <v>43346.605019336297</v>
      </c>
      <c r="G126">
        <f t="shared" si="7"/>
        <v>10.676983663555617</v>
      </c>
      <c r="H126">
        <v>11.110735578519938</v>
      </c>
    </row>
    <row r="127" spans="1:8" x14ac:dyDescent="0.3">
      <c r="A127" s="1">
        <v>42156</v>
      </c>
      <c r="B127">
        <f t="shared" si="4"/>
        <v>2015</v>
      </c>
      <c r="C127">
        <v>12.2076343079667</v>
      </c>
      <c r="D127">
        <f t="shared" si="5"/>
        <v>200312.57649326356</v>
      </c>
      <c r="E127">
        <v>46313898</v>
      </c>
      <c r="F127">
        <f t="shared" si="6"/>
        <v>43251.072603144647</v>
      </c>
      <c r="G127">
        <f t="shared" si="7"/>
        <v>10.674777312125217</v>
      </c>
      <c r="H127">
        <v>11.108600657101643</v>
      </c>
    </row>
    <row r="128" spans="1:8" x14ac:dyDescent="0.3">
      <c r="A128" s="1">
        <v>42186</v>
      </c>
      <c r="B128">
        <f t="shared" si="4"/>
        <v>2015</v>
      </c>
      <c r="C128">
        <v>12.2255276382815</v>
      </c>
      <c r="D128">
        <f t="shared" si="5"/>
        <v>203929.0948780989</v>
      </c>
      <c r="E128">
        <v>46313898</v>
      </c>
      <c r="F128">
        <f t="shared" si="6"/>
        <v>44031.943689580803</v>
      </c>
      <c r="G128">
        <f t="shared" si="7"/>
        <v>10.692670642440017</v>
      </c>
      <c r="H128">
        <v>11.12152694385682</v>
      </c>
    </row>
    <row r="129" spans="1:8" x14ac:dyDescent="0.3">
      <c r="A129" s="1">
        <v>42217</v>
      </c>
      <c r="B129">
        <f t="shared" si="4"/>
        <v>2015</v>
      </c>
      <c r="C129">
        <v>12.2109949093936</v>
      </c>
      <c r="D129">
        <f t="shared" si="5"/>
        <v>200986.87962106819</v>
      </c>
      <c r="E129">
        <v>46313898</v>
      </c>
      <c r="F129">
        <f t="shared" si="6"/>
        <v>43396.666724331473</v>
      </c>
      <c r="G129">
        <f t="shared" si="7"/>
        <v>10.678137913552117</v>
      </c>
      <c r="H129">
        <v>11.122736849857557</v>
      </c>
    </row>
    <row r="130" spans="1:8" x14ac:dyDescent="0.3">
      <c r="A130" s="1">
        <v>42248</v>
      </c>
      <c r="B130">
        <f t="shared" si="4"/>
        <v>2015</v>
      </c>
      <c r="C130">
        <v>12.2222073423249</v>
      </c>
      <c r="D130">
        <f t="shared" si="5"/>
        <v>203253.11278027776</v>
      </c>
      <c r="E130">
        <v>46313898</v>
      </c>
      <c r="F130">
        <f t="shared" si="6"/>
        <v>43885.987048699237</v>
      </c>
      <c r="G130">
        <f t="shared" si="7"/>
        <v>10.689350346483417</v>
      </c>
      <c r="H130">
        <v>11.122044224868148</v>
      </c>
    </row>
    <row r="131" spans="1:8" x14ac:dyDescent="0.3">
      <c r="A131" s="1">
        <v>42278</v>
      </c>
      <c r="B131">
        <f t="shared" ref="B131:B194" si="8">YEAR(A131)</f>
        <v>2015</v>
      </c>
      <c r="C131">
        <v>12.2222956818854</v>
      </c>
      <c r="D131">
        <f t="shared" ref="D131:D194" si="9">EXP(C131)</f>
        <v>203271.06886403571</v>
      </c>
      <c r="E131">
        <v>46313898</v>
      </c>
      <c r="F131">
        <f t="shared" ref="F131:F194" si="10">D131*10000000/E131</f>
        <v>43889.864088752736</v>
      </c>
      <c r="G131">
        <f t="shared" ref="G131:G194" si="11">LN(F131)</f>
        <v>10.689438686043918</v>
      </c>
      <c r="H131">
        <v>11.119438933366174</v>
      </c>
    </row>
    <row r="132" spans="1:8" x14ac:dyDescent="0.3">
      <c r="A132" s="1">
        <v>42309</v>
      </c>
      <c r="B132">
        <f t="shared" si="8"/>
        <v>2015</v>
      </c>
      <c r="C132">
        <v>12.2102539171165</v>
      </c>
      <c r="D132">
        <f t="shared" si="9"/>
        <v>200838.00505973253</v>
      </c>
      <c r="E132">
        <v>46313898</v>
      </c>
      <c r="F132">
        <f t="shared" si="10"/>
        <v>43364.52204038894</v>
      </c>
      <c r="G132">
        <f t="shared" si="11"/>
        <v>10.677396921275017</v>
      </c>
      <c r="H132">
        <v>11.11436590589374</v>
      </c>
    </row>
    <row r="133" spans="1:8" x14ac:dyDescent="0.3">
      <c r="A133" s="1">
        <v>42339</v>
      </c>
      <c r="B133">
        <f t="shared" si="8"/>
        <v>2015</v>
      </c>
      <c r="C133">
        <v>12.2167525509981</v>
      </c>
      <c r="D133">
        <f t="shared" si="9"/>
        <v>202147.42784544855</v>
      </c>
      <c r="E133">
        <v>46313898</v>
      </c>
      <c r="F133">
        <f t="shared" si="10"/>
        <v>43647.24986988755</v>
      </c>
      <c r="G133">
        <f t="shared" si="11"/>
        <v>10.683895555156617</v>
      </c>
      <c r="H133">
        <v>11.113954127832017</v>
      </c>
    </row>
    <row r="134" spans="1:8" x14ac:dyDescent="0.3">
      <c r="A134" s="1">
        <v>42370</v>
      </c>
      <c r="B134">
        <f t="shared" si="8"/>
        <v>2016</v>
      </c>
      <c r="C134">
        <v>12.2178815330343</v>
      </c>
      <c r="D134">
        <f t="shared" si="9"/>
        <v>202375.77753724545</v>
      </c>
      <c r="E134">
        <v>46830116</v>
      </c>
      <c r="F134">
        <f t="shared" si="10"/>
        <v>43214.878548933222</v>
      </c>
      <c r="G134">
        <f t="shared" si="11"/>
        <v>10.673940125791333</v>
      </c>
      <c r="H134">
        <v>11.122558951759261</v>
      </c>
    </row>
    <row r="135" spans="1:8" x14ac:dyDescent="0.3">
      <c r="A135" s="1">
        <v>42401</v>
      </c>
      <c r="B135">
        <f t="shared" si="8"/>
        <v>2016</v>
      </c>
      <c r="C135">
        <v>12.2348447584908</v>
      </c>
      <c r="D135">
        <f t="shared" si="9"/>
        <v>205838.00573606091</v>
      </c>
      <c r="E135">
        <v>46830116</v>
      </c>
      <c r="F135">
        <f t="shared" si="10"/>
        <v>43954.19514571796</v>
      </c>
      <c r="G135">
        <f t="shared" si="11"/>
        <v>10.690903351247833</v>
      </c>
      <c r="H135">
        <v>11.126803667748604</v>
      </c>
    </row>
    <row r="136" spans="1:8" x14ac:dyDescent="0.3">
      <c r="A136" s="1">
        <v>42430</v>
      </c>
      <c r="B136">
        <f t="shared" si="8"/>
        <v>2016</v>
      </c>
      <c r="C136">
        <v>12.227269488474899</v>
      </c>
      <c r="D136">
        <f t="shared" si="9"/>
        <v>204284.61835588186</v>
      </c>
      <c r="E136">
        <v>46830116</v>
      </c>
      <c r="F136">
        <f t="shared" si="10"/>
        <v>43622.488220161969</v>
      </c>
      <c r="G136">
        <f t="shared" si="11"/>
        <v>10.683328081231933</v>
      </c>
      <c r="H136">
        <v>11.128483078893526</v>
      </c>
    </row>
    <row r="137" spans="1:8" x14ac:dyDescent="0.3">
      <c r="A137" s="1">
        <v>42461</v>
      </c>
      <c r="B137">
        <f t="shared" si="8"/>
        <v>2016</v>
      </c>
      <c r="C137">
        <v>12.2273384956539</v>
      </c>
      <c r="D137">
        <f t="shared" si="9"/>
        <v>204298.7159475197</v>
      </c>
      <c r="E137">
        <v>46830116</v>
      </c>
      <c r="F137">
        <f t="shared" si="10"/>
        <v>43625.498588882358</v>
      </c>
      <c r="G137">
        <f t="shared" si="11"/>
        <v>10.683397088410933</v>
      </c>
      <c r="H137">
        <v>11.12326766424288</v>
      </c>
    </row>
    <row r="138" spans="1:8" x14ac:dyDescent="0.3">
      <c r="A138" s="1">
        <v>42491</v>
      </c>
      <c r="B138">
        <f t="shared" si="8"/>
        <v>2016</v>
      </c>
      <c r="C138">
        <v>12.2321922056187</v>
      </c>
      <c r="D138">
        <f t="shared" si="9"/>
        <v>205292.73304479331</v>
      </c>
      <c r="E138">
        <v>46830116</v>
      </c>
      <c r="F138">
        <f t="shared" si="10"/>
        <v>43837.758814177039</v>
      </c>
      <c r="G138">
        <f t="shared" si="11"/>
        <v>10.688250798375734</v>
      </c>
      <c r="H138">
        <v>11.133602366006153</v>
      </c>
    </row>
    <row r="139" spans="1:8" x14ac:dyDescent="0.3">
      <c r="A139" s="1">
        <v>42522</v>
      </c>
      <c r="B139">
        <f t="shared" si="8"/>
        <v>2016</v>
      </c>
      <c r="C139">
        <v>12.232391908727401</v>
      </c>
      <c r="D139">
        <f t="shared" si="9"/>
        <v>205333.73473572228</v>
      </c>
      <c r="E139">
        <v>46830116</v>
      </c>
      <c r="F139">
        <f t="shared" si="10"/>
        <v>43846.514225102983</v>
      </c>
      <c r="G139">
        <f t="shared" si="11"/>
        <v>10.688450501484434</v>
      </c>
      <c r="H139">
        <v>11.136869480529329</v>
      </c>
    </row>
    <row r="140" spans="1:8" x14ac:dyDescent="0.3">
      <c r="A140" s="1">
        <v>42552</v>
      </c>
      <c r="B140">
        <f t="shared" si="8"/>
        <v>2016</v>
      </c>
      <c r="C140">
        <v>12.209241492168699</v>
      </c>
      <c r="D140">
        <f t="shared" si="9"/>
        <v>200634.77454812292</v>
      </c>
      <c r="E140">
        <v>46830116</v>
      </c>
      <c r="F140">
        <f t="shared" si="10"/>
        <v>42843.108598774968</v>
      </c>
      <c r="G140">
        <f t="shared" si="11"/>
        <v>10.665300084925732</v>
      </c>
      <c r="H140">
        <v>11.117038566943004</v>
      </c>
    </row>
    <row r="141" spans="1:8" x14ac:dyDescent="0.3">
      <c r="A141" s="1">
        <v>42583</v>
      </c>
      <c r="B141">
        <f t="shared" si="8"/>
        <v>2016</v>
      </c>
      <c r="C141">
        <v>12.2439639232347</v>
      </c>
      <c r="D141">
        <f t="shared" si="9"/>
        <v>207723.66115468749</v>
      </c>
      <c r="E141">
        <v>46830116</v>
      </c>
      <c r="F141">
        <f t="shared" si="10"/>
        <v>44356.853857608956</v>
      </c>
      <c r="G141">
        <f t="shared" si="11"/>
        <v>10.700022515991733</v>
      </c>
      <c r="H141">
        <v>11.146208835066556</v>
      </c>
    </row>
    <row r="142" spans="1:8" x14ac:dyDescent="0.3">
      <c r="A142" s="1">
        <v>42614</v>
      </c>
      <c r="B142">
        <f t="shared" si="8"/>
        <v>2016</v>
      </c>
      <c r="C142">
        <v>12.246679074596599</v>
      </c>
      <c r="D142">
        <f t="shared" si="9"/>
        <v>208288.42870390284</v>
      </c>
      <c r="E142">
        <v>46830116</v>
      </c>
      <c r="F142">
        <f t="shared" si="10"/>
        <v>44477.45307825051</v>
      </c>
      <c r="G142">
        <f t="shared" si="11"/>
        <v>10.702737667353633</v>
      </c>
      <c r="H142">
        <v>11.14737872559831</v>
      </c>
    </row>
    <row r="143" spans="1:8" x14ac:dyDescent="0.3">
      <c r="A143" s="1">
        <v>42644</v>
      </c>
      <c r="B143">
        <f t="shared" si="8"/>
        <v>2016</v>
      </c>
      <c r="C143">
        <v>12.233410532107399</v>
      </c>
      <c r="D143">
        <f t="shared" si="9"/>
        <v>205542.99904128932</v>
      </c>
      <c r="E143">
        <v>46830116</v>
      </c>
      <c r="F143">
        <f t="shared" si="10"/>
        <v>43891.200064780816</v>
      </c>
      <c r="G143">
        <f t="shared" si="11"/>
        <v>10.689469124864432</v>
      </c>
      <c r="H143">
        <v>11.140953225789751</v>
      </c>
    </row>
    <row r="144" spans="1:8" x14ac:dyDescent="0.3">
      <c r="A144" s="1">
        <v>42675</v>
      </c>
      <c r="B144">
        <f t="shared" si="8"/>
        <v>2016</v>
      </c>
      <c r="C144">
        <v>12.2389871784866</v>
      </c>
      <c r="D144">
        <f t="shared" si="9"/>
        <v>206692.44170141383</v>
      </c>
      <c r="E144">
        <v>46830116</v>
      </c>
      <c r="F144">
        <f t="shared" si="10"/>
        <v>44136.649523015025</v>
      </c>
      <c r="G144">
        <f t="shared" si="11"/>
        <v>10.695045771243633</v>
      </c>
      <c r="H144">
        <v>11.141937516978262</v>
      </c>
    </row>
    <row r="145" spans="1:8" x14ac:dyDescent="0.3">
      <c r="A145" s="1">
        <v>42705</v>
      </c>
      <c r="B145">
        <f t="shared" si="8"/>
        <v>2016</v>
      </c>
      <c r="C145">
        <v>12.246618589405999</v>
      </c>
      <c r="D145">
        <f t="shared" si="9"/>
        <v>208275.83071959246</v>
      </c>
      <c r="E145">
        <v>46830116</v>
      </c>
      <c r="F145">
        <f t="shared" si="10"/>
        <v>44474.762932381476</v>
      </c>
      <c r="G145">
        <f t="shared" si="11"/>
        <v>10.702677182163033</v>
      </c>
      <c r="H145">
        <v>11.141941042970751</v>
      </c>
    </row>
    <row r="146" spans="1:8" x14ac:dyDescent="0.3">
      <c r="A146" s="1">
        <v>42736</v>
      </c>
      <c r="B146">
        <f t="shared" si="8"/>
        <v>2017</v>
      </c>
      <c r="C146">
        <v>12.234709388976</v>
      </c>
      <c r="D146">
        <f t="shared" si="9"/>
        <v>205810.14343099305</v>
      </c>
      <c r="E146">
        <v>47419200</v>
      </c>
      <c r="F146">
        <f t="shared" si="10"/>
        <v>43402.280812622957</v>
      </c>
      <c r="G146">
        <f t="shared" si="11"/>
        <v>10.678267271993864</v>
      </c>
      <c r="H146">
        <v>11.138104266683857</v>
      </c>
    </row>
    <row r="147" spans="1:8" x14ac:dyDescent="0.3">
      <c r="A147" s="1">
        <v>42767</v>
      </c>
      <c r="B147">
        <f t="shared" si="8"/>
        <v>2017</v>
      </c>
      <c r="C147">
        <v>12.244466444394099</v>
      </c>
      <c r="D147">
        <f t="shared" si="9"/>
        <v>207828.07292208954</v>
      </c>
      <c r="E147">
        <v>47419200</v>
      </c>
      <c r="F147">
        <f t="shared" si="10"/>
        <v>43827.831958803516</v>
      </c>
      <c r="G147">
        <f t="shared" si="11"/>
        <v>10.688024327411963</v>
      </c>
      <c r="H147">
        <v>11.143415298977336</v>
      </c>
    </row>
    <row r="148" spans="1:8" x14ac:dyDescent="0.3">
      <c r="A148" s="1">
        <v>42795</v>
      </c>
      <c r="B148">
        <f t="shared" si="8"/>
        <v>2017</v>
      </c>
      <c r="C148">
        <v>12.235959756630001</v>
      </c>
      <c r="D148">
        <f t="shared" si="9"/>
        <v>206067.64272805204</v>
      </c>
      <c r="E148">
        <v>47419200</v>
      </c>
      <c r="F148">
        <f t="shared" si="10"/>
        <v>43456.583562787237</v>
      </c>
      <c r="G148">
        <f t="shared" si="11"/>
        <v>10.679517639647864</v>
      </c>
      <c r="H148">
        <v>11.135214596479107</v>
      </c>
    </row>
    <row r="149" spans="1:8" x14ac:dyDescent="0.3">
      <c r="A149" s="1">
        <v>42826</v>
      </c>
      <c r="B149">
        <f t="shared" si="8"/>
        <v>2017</v>
      </c>
      <c r="C149">
        <v>12.2350367434116</v>
      </c>
      <c r="D149">
        <f t="shared" si="9"/>
        <v>205877.52732294277</v>
      </c>
      <c r="E149">
        <v>47419200</v>
      </c>
      <c r="F149">
        <f t="shared" si="10"/>
        <v>43416.491067530194</v>
      </c>
      <c r="G149">
        <f t="shared" si="11"/>
        <v>10.678594626429463</v>
      </c>
      <c r="H149">
        <v>11.141083995322287</v>
      </c>
    </row>
    <row r="150" spans="1:8" x14ac:dyDescent="0.3">
      <c r="A150" s="1">
        <v>42856</v>
      </c>
      <c r="B150">
        <f t="shared" si="8"/>
        <v>2017</v>
      </c>
      <c r="C150">
        <v>12.2404116498685</v>
      </c>
      <c r="D150">
        <f t="shared" si="9"/>
        <v>206987.07897083068</v>
      </c>
      <c r="E150">
        <v>47419200</v>
      </c>
      <c r="F150">
        <f t="shared" si="10"/>
        <v>43650.478913779792</v>
      </c>
      <c r="G150">
        <f t="shared" si="11"/>
        <v>10.683969532886364</v>
      </c>
      <c r="H150">
        <v>11.141031822633783</v>
      </c>
    </row>
    <row r="151" spans="1:8" x14ac:dyDescent="0.3">
      <c r="A151" s="1">
        <v>42887</v>
      </c>
      <c r="B151">
        <f t="shared" si="8"/>
        <v>2017</v>
      </c>
      <c r="C151">
        <v>12.2536460167199</v>
      </c>
      <c r="D151">
        <f t="shared" si="9"/>
        <v>209744.6288726675</v>
      </c>
      <c r="E151">
        <v>47419200</v>
      </c>
      <c r="F151">
        <f t="shared" si="10"/>
        <v>44232.00494159908</v>
      </c>
      <c r="G151">
        <f t="shared" si="11"/>
        <v>10.697203899737763</v>
      </c>
      <c r="H151">
        <v>11.157301061466677</v>
      </c>
    </row>
    <row r="152" spans="1:8" x14ac:dyDescent="0.3">
      <c r="A152" s="1">
        <v>42917</v>
      </c>
      <c r="B152">
        <f t="shared" si="8"/>
        <v>2017</v>
      </c>
      <c r="C152">
        <v>12.241236230583601</v>
      </c>
      <c r="D152">
        <f t="shared" si="9"/>
        <v>207157.82691248017</v>
      </c>
      <c r="E152">
        <v>47419200</v>
      </c>
      <c r="F152">
        <f t="shared" si="10"/>
        <v>43686.487100684993</v>
      </c>
      <c r="G152">
        <f t="shared" si="11"/>
        <v>10.684794113601464</v>
      </c>
      <c r="H152">
        <v>11.147389021362017</v>
      </c>
    </row>
    <row r="153" spans="1:8" x14ac:dyDescent="0.3">
      <c r="A153" s="1">
        <v>42948</v>
      </c>
      <c r="B153">
        <f t="shared" si="8"/>
        <v>2017</v>
      </c>
      <c r="C153">
        <v>12.2526420393196</v>
      </c>
      <c r="D153">
        <f t="shared" si="9"/>
        <v>209534.15567828948</v>
      </c>
      <c r="E153">
        <v>47419200</v>
      </c>
      <c r="F153">
        <f t="shared" si="10"/>
        <v>44187.619293090029</v>
      </c>
      <c r="G153">
        <f t="shared" si="11"/>
        <v>10.696199922337463</v>
      </c>
      <c r="H153">
        <v>11.152704082174399</v>
      </c>
    </row>
    <row r="154" spans="1:8" x14ac:dyDescent="0.3">
      <c r="A154" s="1">
        <v>42979</v>
      </c>
      <c r="B154">
        <f t="shared" si="8"/>
        <v>2017</v>
      </c>
      <c r="C154">
        <v>12.253454130096801</v>
      </c>
      <c r="D154">
        <f t="shared" si="9"/>
        <v>209704.38554532145</v>
      </c>
      <c r="E154">
        <v>47419200</v>
      </c>
      <c r="F154">
        <f t="shared" si="10"/>
        <v>44223.518225807573</v>
      </c>
      <c r="G154">
        <f t="shared" si="11"/>
        <v>10.697012013114664</v>
      </c>
      <c r="H154">
        <v>11.14966695682512</v>
      </c>
    </row>
    <row r="155" spans="1:8" x14ac:dyDescent="0.3">
      <c r="A155" s="1">
        <v>43009</v>
      </c>
      <c r="B155">
        <f t="shared" si="8"/>
        <v>2017</v>
      </c>
      <c r="C155">
        <v>12.247483837316899</v>
      </c>
      <c r="D155">
        <f t="shared" si="9"/>
        <v>208456.11893276565</v>
      </c>
      <c r="E155">
        <v>47419200</v>
      </c>
      <c r="F155">
        <f t="shared" si="10"/>
        <v>43960.27746836</v>
      </c>
      <c r="G155">
        <f t="shared" si="11"/>
        <v>10.691041720334763</v>
      </c>
      <c r="H155">
        <v>11.147408614533658</v>
      </c>
    </row>
    <row r="156" spans="1:8" x14ac:dyDescent="0.3">
      <c r="A156" s="1">
        <v>43040</v>
      </c>
      <c r="B156">
        <f t="shared" si="8"/>
        <v>2017</v>
      </c>
      <c r="C156">
        <v>12.250814140977299</v>
      </c>
      <c r="D156">
        <f t="shared" si="9"/>
        <v>209151.49837833687</v>
      </c>
      <c r="E156">
        <v>47419200</v>
      </c>
      <c r="F156">
        <f t="shared" si="10"/>
        <v>44106.922592185627</v>
      </c>
      <c r="G156">
        <f t="shared" si="11"/>
        <v>10.694372023995163</v>
      </c>
      <c r="H156">
        <v>11.147446034305824</v>
      </c>
    </row>
    <row r="157" spans="1:8" x14ac:dyDescent="0.3">
      <c r="A157" s="1">
        <v>43070</v>
      </c>
      <c r="B157">
        <f t="shared" si="8"/>
        <v>2017</v>
      </c>
      <c r="C157">
        <v>12.262913111705799</v>
      </c>
      <c r="D157">
        <f t="shared" si="9"/>
        <v>211697.3864913203</v>
      </c>
      <c r="E157">
        <v>47419200</v>
      </c>
      <c r="F157">
        <f t="shared" si="10"/>
        <v>44643.812314699593</v>
      </c>
      <c r="G157">
        <f t="shared" si="11"/>
        <v>10.706470994723663</v>
      </c>
      <c r="H157">
        <v>11.168411705682324</v>
      </c>
    </row>
    <row r="158" spans="1:8" x14ac:dyDescent="0.3">
      <c r="A158" s="1">
        <v>43101</v>
      </c>
      <c r="B158">
        <f t="shared" si="8"/>
        <v>2018</v>
      </c>
      <c r="C158">
        <v>12.247079883613001</v>
      </c>
      <c r="D158">
        <f t="shared" si="9"/>
        <v>208371.92931692087</v>
      </c>
      <c r="E158">
        <v>48258494</v>
      </c>
      <c r="F158">
        <f t="shared" si="10"/>
        <v>43178.290917433289</v>
      </c>
      <c r="G158">
        <f t="shared" si="11"/>
        <v>10.673093122864753</v>
      </c>
      <c r="H158">
        <v>11.154061619903645</v>
      </c>
    </row>
    <row r="159" spans="1:8" x14ac:dyDescent="0.3">
      <c r="A159" s="1">
        <v>43132</v>
      </c>
      <c r="B159">
        <f t="shared" si="8"/>
        <v>2018</v>
      </c>
      <c r="C159">
        <v>12.2557071842147</v>
      </c>
      <c r="D159">
        <f t="shared" si="9"/>
        <v>210177.39353091837</v>
      </c>
      <c r="E159">
        <v>48258494</v>
      </c>
      <c r="F159">
        <f t="shared" si="10"/>
        <v>43552.414530573289</v>
      </c>
      <c r="G159">
        <f t="shared" si="11"/>
        <v>10.681720423466452</v>
      </c>
      <c r="H159">
        <v>11.155412949428232</v>
      </c>
    </row>
    <row r="160" spans="1:8" x14ac:dyDescent="0.3">
      <c r="A160" s="1">
        <v>43160</v>
      </c>
      <c r="B160">
        <f t="shared" si="8"/>
        <v>2018</v>
      </c>
      <c r="C160">
        <v>12.2651988621723</v>
      </c>
      <c r="D160">
        <f t="shared" si="9"/>
        <v>212181.82733577312</v>
      </c>
      <c r="E160">
        <v>48258494</v>
      </c>
      <c r="F160">
        <f t="shared" si="10"/>
        <v>43967.76810643389</v>
      </c>
      <c r="G160">
        <f t="shared" si="11"/>
        <v>10.691212101424052</v>
      </c>
      <c r="H160">
        <v>11.174061013689279</v>
      </c>
    </row>
    <row r="161" spans="1:8" x14ac:dyDescent="0.3">
      <c r="A161" s="1">
        <v>43191</v>
      </c>
      <c r="B161">
        <f t="shared" si="8"/>
        <v>2018</v>
      </c>
      <c r="C161">
        <v>12.262869965572801</v>
      </c>
      <c r="D161">
        <f t="shared" si="9"/>
        <v>211688.25276477117</v>
      </c>
      <c r="E161">
        <v>48258494</v>
      </c>
      <c r="F161">
        <f t="shared" si="10"/>
        <v>43865.490863592051</v>
      </c>
      <c r="G161">
        <f t="shared" si="11"/>
        <v>10.688883204824553</v>
      </c>
      <c r="H161">
        <v>11.161625373486585</v>
      </c>
    </row>
    <row r="162" spans="1:8" x14ac:dyDescent="0.3">
      <c r="A162" s="1">
        <v>43221</v>
      </c>
      <c r="B162">
        <f t="shared" si="8"/>
        <v>2018</v>
      </c>
      <c r="C162">
        <v>12.270289463036301</v>
      </c>
      <c r="D162">
        <f t="shared" si="9"/>
        <v>213264.71426338574</v>
      </c>
      <c r="E162">
        <v>48258494</v>
      </c>
      <c r="F162">
        <f t="shared" si="10"/>
        <v>44192.161127818399</v>
      </c>
      <c r="G162">
        <f t="shared" si="11"/>
        <v>10.696302702288053</v>
      </c>
      <c r="H162">
        <v>11.165543861291615</v>
      </c>
    </row>
    <row r="163" spans="1:8" x14ac:dyDescent="0.3">
      <c r="A163" s="1">
        <v>43252</v>
      </c>
      <c r="B163">
        <f t="shared" si="8"/>
        <v>2018</v>
      </c>
      <c r="C163">
        <v>12.275907271390899</v>
      </c>
      <c r="D163">
        <f t="shared" si="9"/>
        <v>214466.16616037401</v>
      </c>
      <c r="E163">
        <v>48258494</v>
      </c>
      <c r="F163">
        <f t="shared" si="10"/>
        <v>44441.122874736619</v>
      </c>
      <c r="G163">
        <f t="shared" si="11"/>
        <v>10.701920510642651</v>
      </c>
      <c r="H163">
        <v>11.175719663844509</v>
      </c>
    </row>
    <row r="164" spans="1:8" x14ac:dyDescent="0.3">
      <c r="A164" s="1">
        <v>43282</v>
      </c>
      <c r="B164">
        <f t="shared" si="8"/>
        <v>2018</v>
      </c>
      <c r="C164">
        <v>12.2698481286429</v>
      </c>
      <c r="D164">
        <f t="shared" si="9"/>
        <v>213170.61397645649</v>
      </c>
      <c r="E164">
        <v>48258494</v>
      </c>
      <c r="F164">
        <f t="shared" si="10"/>
        <v>44172.661910348157</v>
      </c>
      <c r="G164">
        <f t="shared" si="11"/>
        <v>10.695861367894652</v>
      </c>
      <c r="H164">
        <v>11.17397713379491</v>
      </c>
    </row>
    <row r="165" spans="1:8" x14ac:dyDescent="0.3">
      <c r="A165" s="1">
        <v>43313</v>
      </c>
      <c r="B165">
        <f t="shared" si="8"/>
        <v>2018</v>
      </c>
      <c r="C165">
        <v>12.282553982941501</v>
      </c>
      <c r="D165">
        <f t="shared" si="9"/>
        <v>215896.40884396111</v>
      </c>
      <c r="E165">
        <v>48258494</v>
      </c>
      <c r="F165">
        <f t="shared" si="10"/>
        <v>44737.494055235358</v>
      </c>
      <c r="G165">
        <f t="shared" si="11"/>
        <v>10.708567222193253</v>
      </c>
      <c r="H165">
        <v>11.177497208969454</v>
      </c>
    </row>
    <row r="166" spans="1:8" x14ac:dyDescent="0.3">
      <c r="A166" s="1">
        <v>43344</v>
      </c>
      <c r="B166">
        <f t="shared" si="8"/>
        <v>2018</v>
      </c>
      <c r="C166">
        <v>12.2783054184156</v>
      </c>
      <c r="D166">
        <f t="shared" si="9"/>
        <v>214981.10476109822</v>
      </c>
      <c r="E166">
        <v>48258494</v>
      </c>
      <c r="F166">
        <f t="shared" si="10"/>
        <v>44547.827116423941</v>
      </c>
      <c r="G166">
        <f t="shared" si="11"/>
        <v>10.704318657667352</v>
      </c>
      <c r="H166">
        <v>11.181812899817777</v>
      </c>
    </row>
    <row r="167" spans="1:8" x14ac:dyDescent="0.3">
      <c r="A167" s="1">
        <v>43374</v>
      </c>
      <c r="B167">
        <f t="shared" si="8"/>
        <v>2018</v>
      </c>
      <c r="C167">
        <v>12.2810094533359</v>
      </c>
      <c r="D167">
        <f t="shared" si="9"/>
        <v>215563.20783441013</v>
      </c>
      <c r="E167">
        <v>48258494</v>
      </c>
      <c r="F167">
        <f t="shared" si="10"/>
        <v>44668.449005973984</v>
      </c>
      <c r="G167">
        <f t="shared" si="11"/>
        <v>10.707022692587651</v>
      </c>
      <c r="H167">
        <v>11.18014521110385</v>
      </c>
    </row>
    <row r="168" spans="1:8" x14ac:dyDescent="0.3">
      <c r="A168" s="1">
        <v>43405</v>
      </c>
      <c r="B168">
        <f t="shared" si="8"/>
        <v>2018</v>
      </c>
      <c r="C168">
        <v>12.284869934377999</v>
      </c>
      <c r="D168">
        <f t="shared" si="9"/>
        <v>216396.99388373308</v>
      </c>
      <c r="E168">
        <v>48258494</v>
      </c>
      <c r="F168">
        <f t="shared" si="10"/>
        <v>44841.223989238679</v>
      </c>
      <c r="G168">
        <f t="shared" si="11"/>
        <v>10.710883173629751</v>
      </c>
      <c r="H168">
        <v>11.184865420843131</v>
      </c>
    </row>
    <row r="169" spans="1:8" x14ac:dyDescent="0.3">
      <c r="A169" s="1">
        <v>43435</v>
      </c>
      <c r="B169">
        <f t="shared" si="8"/>
        <v>2018</v>
      </c>
      <c r="C169">
        <v>12.2825778222862</v>
      </c>
      <c r="D169">
        <f t="shared" si="9"/>
        <v>215901.55573421984</v>
      </c>
      <c r="E169">
        <v>48258494</v>
      </c>
      <c r="F169">
        <f t="shared" si="10"/>
        <v>44738.560580489699</v>
      </c>
      <c r="G169">
        <f t="shared" si="11"/>
        <v>10.708591061537952</v>
      </c>
      <c r="H169">
        <v>11.188060018270987</v>
      </c>
    </row>
    <row r="170" spans="1:8" x14ac:dyDescent="0.3">
      <c r="A170" s="1">
        <v>43466</v>
      </c>
      <c r="B170">
        <f t="shared" si="8"/>
        <v>2019</v>
      </c>
      <c r="C170">
        <v>12.289363818783899</v>
      </c>
      <c r="D170">
        <f t="shared" si="9"/>
        <v>217371.64530518645</v>
      </c>
      <c r="E170">
        <v>49395678</v>
      </c>
      <c r="F170">
        <f t="shared" si="10"/>
        <v>44006.207446972679</v>
      </c>
      <c r="G170">
        <f t="shared" si="11"/>
        <v>10.692085981290074</v>
      </c>
      <c r="H170">
        <v>11.191648759693285</v>
      </c>
    </row>
    <row r="171" spans="1:8" x14ac:dyDescent="0.3">
      <c r="A171" s="1">
        <v>43497</v>
      </c>
      <c r="B171">
        <f t="shared" si="8"/>
        <v>2019</v>
      </c>
      <c r="C171">
        <v>12.298190475278499</v>
      </c>
      <c r="D171">
        <f t="shared" si="9"/>
        <v>219298.80281661134</v>
      </c>
      <c r="E171">
        <v>49395678</v>
      </c>
      <c r="F171">
        <f t="shared" si="10"/>
        <v>44396.354437449227</v>
      </c>
      <c r="G171">
        <f t="shared" si="11"/>
        <v>10.700912637784674</v>
      </c>
      <c r="H171">
        <v>11.190758574223915</v>
      </c>
    </row>
    <row r="172" spans="1:8" x14ac:dyDescent="0.3">
      <c r="A172" s="1">
        <v>43525</v>
      </c>
      <c r="B172">
        <f t="shared" si="8"/>
        <v>2019</v>
      </c>
      <c r="C172">
        <v>12.284642305937499</v>
      </c>
      <c r="D172">
        <f t="shared" si="9"/>
        <v>216347.74137933442</v>
      </c>
      <c r="E172">
        <v>49395678</v>
      </c>
      <c r="F172">
        <f t="shared" si="10"/>
        <v>43798.921310349142</v>
      </c>
      <c r="G172">
        <f t="shared" si="11"/>
        <v>10.687364468443674</v>
      </c>
      <c r="H172">
        <v>11.189419060633849</v>
      </c>
    </row>
    <row r="173" spans="1:8" x14ac:dyDescent="0.3">
      <c r="A173" s="1">
        <v>43556</v>
      </c>
      <c r="B173">
        <f t="shared" si="8"/>
        <v>2019</v>
      </c>
      <c r="C173">
        <v>12.2969852070947</v>
      </c>
      <c r="D173">
        <f t="shared" si="9"/>
        <v>219034.64816740583</v>
      </c>
      <c r="E173">
        <v>49395678</v>
      </c>
      <c r="F173">
        <f t="shared" si="10"/>
        <v>44342.877157674775</v>
      </c>
      <c r="G173">
        <f t="shared" si="11"/>
        <v>10.699707369600874</v>
      </c>
      <c r="H173">
        <v>11.200222838687612</v>
      </c>
    </row>
    <row r="174" spans="1:8" x14ac:dyDescent="0.3">
      <c r="A174" s="1">
        <v>43586</v>
      </c>
      <c r="B174">
        <f t="shared" si="8"/>
        <v>2019</v>
      </c>
      <c r="C174">
        <v>12.306350815479901</v>
      </c>
      <c r="D174">
        <f t="shared" si="9"/>
        <v>221095.67723531576</v>
      </c>
      <c r="E174">
        <v>49395678</v>
      </c>
      <c r="F174">
        <f t="shared" si="10"/>
        <v>44760.126024652556</v>
      </c>
      <c r="G174">
        <f t="shared" si="11"/>
        <v>10.709072977986075</v>
      </c>
      <c r="H174">
        <v>11.203581884341308</v>
      </c>
    </row>
    <row r="175" spans="1:8" x14ac:dyDescent="0.3">
      <c r="A175" s="1">
        <v>43617</v>
      </c>
      <c r="B175">
        <f t="shared" si="8"/>
        <v>2019</v>
      </c>
      <c r="C175">
        <v>12.295062397425401</v>
      </c>
      <c r="D175">
        <f t="shared" si="9"/>
        <v>218613.89087572767</v>
      </c>
      <c r="E175">
        <v>49395678</v>
      </c>
      <c r="F175">
        <f t="shared" si="10"/>
        <v>44257.696164374473</v>
      </c>
      <c r="G175">
        <f t="shared" si="11"/>
        <v>10.697784559931575</v>
      </c>
      <c r="H175">
        <v>11.202337520008705</v>
      </c>
    </row>
    <row r="176" spans="1:8" x14ac:dyDescent="0.3">
      <c r="A176" s="1">
        <v>43647</v>
      </c>
      <c r="B176">
        <f t="shared" si="8"/>
        <v>2019</v>
      </c>
      <c r="C176">
        <v>12.310054056593801</v>
      </c>
      <c r="D176">
        <f t="shared" si="9"/>
        <v>221915.9657630072</v>
      </c>
      <c r="E176">
        <v>49395678</v>
      </c>
      <c r="F176">
        <f t="shared" si="10"/>
        <v>44926.190862894364</v>
      </c>
      <c r="G176">
        <f t="shared" si="11"/>
        <v>10.712776219099975</v>
      </c>
      <c r="H176">
        <v>11.211138536571827</v>
      </c>
    </row>
    <row r="177" spans="1:8" x14ac:dyDescent="0.3">
      <c r="A177" s="1">
        <v>43678</v>
      </c>
      <c r="B177">
        <f t="shared" si="8"/>
        <v>2019</v>
      </c>
      <c r="C177">
        <v>12.309872255452699</v>
      </c>
      <c r="D177">
        <f t="shared" si="9"/>
        <v>221875.62485432558</v>
      </c>
      <c r="E177">
        <v>49395678</v>
      </c>
      <c r="F177">
        <f t="shared" si="10"/>
        <v>44918.023972527633</v>
      </c>
      <c r="G177">
        <f t="shared" si="11"/>
        <v>10.712594417958874</v>
      </c>
      <c r="H177">
        <v>11.208470423126608</v>
      </c>
    </row>
    <row r="178" spans="1:8" x14ac:dyDescent="0.3">
      <c r="A178" s="1">
        <v>43709</v>
      </c>
      <c r="B178">
        <f t="shared" si="8"/>
        <v>2019</v>
      </c>
      <c r="C178">
        <v>12.3020655479536</v>
      </c>
      <c r="D178">
        <f t="shared" si="9"/>
        <v>220150.25025999165</v>
      </c>
      <c r="E178">
        <v>49395678</v>
      </c>
      <c r="F178">
        <f t="shared" si="10"/>
        <v>44568.727300390863</v>
      </c>
      <c r="G178">
        <f t="shared" si="11"/>
        <v>10.704787710459774</v>
      </c>
      <c r="H178">
        <v>11.207950944406583</v>
      </c>
    </row>
    <row r="179" spans="1:8" x14ac:dyDescent="0.3">
      <c r="A179" s="1">
        <v>43739</v>
      </c>
      <c r="B179">
        <f t="shared" si="8"/>
        <v>2019</v>
      </c>
      <c r="C179">
        <v>12.3136749219391</v>
      </c>
      <c r="D179">
        <f t="shared" si="9"/>
        <v>222720.95008343188</v>
      </c>
      <c r="E179">
        <v>49395678</v>
      </c>
      <c r="F179">
        <f t="shared" si="10"/>
        <v>45089.157412401932</v>
      </c>
      <c r="G179">
        <f t="shared" si="11"/>
        <v>10.716397084445275</v>
      </c>
      <c r="H179">
        <v>11.215747704038442</v>
      </c>
    </row>
    <row r="180" spans="1:8" x14ac:dyDescent="0.3">
      <c r="A180" s="1">
        <v>43770</v>
      </c>
      <c r="B180">
        <f t="shared" si="8"/>
        <v>2019</v>
      </c>
      <c r="C180">
        <v>12.310862434889801</v>
      </c>
      <c r="D180">
        <f t="shared" si="9"/>
        <v>222095.43034112785</v>
      </c>
      <c r="E180">
        <v>49395678</v>
      </c>
      <c r="F180">
        <f t="shared" si="10"/>
        <v>44962.522903547921</v>
      </c>
      <c r="G180">
        <f t="shared" si="11"/>
        <v>10.713584597395975</v>
      </c>
      <c r="H180">
        <v>11.217962125350629</v>
      </c>
    </row>
    <row r="181" spans="1:8" x14ac:dyDescent="0.3">
      <c r="A181" s="1">
        <v>43800</v>
      </c>
      <c r="B181">
        <f t="shared" si="8"/>
        <v>2019</v>
      </c>
      <c r="C181">
        <v>12.315714243171101</v>
      </c>
      <c r="D181">
        <f t="shared" si="9"/>
        <v>223175.61309013772</v>
      </c>
      <c r="E181">
        <v>49395678</v>
      </c>
      <c r="F181">
        <f t="shared" si="10"/>
        <v>45181.202511308315</v>
      </c>
      <c r="G181">
        <f t="shared" si="11"/>
        <v>10.718436405677275</v>
      </c>
      <c r="H181">
        <v>11.221017508458294</v>
      </c>
    </row>
    <row r="182" spans="1:8" x14ac:dyDescent="0.3">
      <c r="A182" s="1">
        <v>43831</v>
      </c>
      <c r="B182">
        <f t="shared" si="8"/>
        <v>2020</v>
      </c>
      <c r="C182">
        <v>12.328180299956999</v>
      </c>
      <c r="D182">
        <f t="shared" si="9"/>
        <v>225975.1462714927</v>
      </c>
      <c r="E182">
        <v>50407647</v>
      </c>
      <c r="F182">
        <f t="shared" si="10"/>
        <v>44829.536731102075</v>
      </c>
      <c r="G182">
        <f t="shared" si="11"/>
        <v>10.7106225031925</v>
      </c>
    </row>
    <row r="183" spans="1:8" x14ac:dyDescent="0.3">
      <c r="A183" s="1">
        <v>43862</v>
      </c>
      <c r="B183">
        <f t="shared" si="8"/>
        <v>2020</v>
      </c>
      <c r="C183">
        <v>12.330729262738901</v>
      </c>
      <c r="D183">
        <f t="shared" si="9"/>
        <v>226551.88323723862</v>
      </c>
      <c r="E183">
        <v>50407647</v>
      </c>
      <c r="F183">
        <f t="shared" si="10"/>
        <v>44943.951309062024</v>
      </c>
      <c r="G183">
        <f t="shared" si="11"/>
        <v>10.713171465974401</v>
      </c>
    </row>
    <row r="184" spans="1:8" x14ac:dyDescent="0.3">
      <c r="A184" s="1">
        <v>43891</v>
      </c>
      <c r="B184">
        <f t="shared" si="8"/>
        <v>2020</v>
      </c>
      <c r="C184">
        <v>12.223272447304099</v>
      </c>
      <c r="D184">
        <f t="shared" si="9"/>
        <v>203469.71401378702</v>
      </c>
      <c r="E184">
        <v>50407647</v>
      </c>
      <c r="F184">
        <f t="shared" si="10"/>
        <v>40364.850597725184</v>
      </c>
      <c r="G184">
        <f t="shared" si="11"/>
        <v>10.6057146505396</v>
      </c>
    </row>
    <row r="185" spans="1:8" x14ac:dyDescent="0.3">
      <c r="A185" s="1">
        <v>43922</v>
      </c>
      <c r="B185">
        <f t="shared" si="8"/>
        <v>2020</v>
      </c>
      <c r="C185">
        <v>12.0695971766998</v>
      </c>
      <c r="D185">
        <f t="shared" si="9"/>
        <v>174485.54433390935</v>
      </c>
      <c r="E185">
        <v>50407647</v>
      </c>
      <c r="F185">
        <f t="shared" si="10"/>
        <v>34614.895699041328</v>
      </c>
      <c r="G185">
        <f t="shared" si="11"/>
        <v>10.4520393799353</v>
      </c>
    </row>
    <row r="186" spans="1:8" x14ac:dyDescent="0.3">
      <c r="A186" s="1">
        <v>43952</v>
      </c>
      <c r="B186">
        <f t="shared" si="8"/>
        <v>2020</v>
      </c>
      <c r="C186">
        <v>12.1150542139716</v>
      </c>
      <c r="D186">
        <f t="shared" si="9"/>
        <v>182600.1765429868</v>
      </c>
      <c r="E186">
        <v>50407647</v>
      </c>
      <c r="F186">
        <f t="shared" si="10"/>
        <v>36224.697523172785</v>
      </c>
      <c r="G186">
        <f t="shared" si="11"/>
        <v>10.497496417207101</v>
      </c>
    </row>
    <row r="187" spans="1:8" x14ac:dyDescent="0.3">
      <c r="A187" s="1">
        <v>43983</v>
      </c>
      <c r="B187">
        <f t="shared" si="8"/>
        <v>2020</v>
      </c>
      <c r="C187">
        <v>12.1642787293287</v>
      </c>
      <c r="D187">
        <f t="shared" si="9"/>
        <v>191813.48169248214</v>
      </c>
      <c r="E187">
        <v>50407647</v>
      </c>
      <c r="F187">
        <f t="shared" si="10"/>
        <v>38052.456940210308</v>
      </c>
      <c r="G187">
        <f t="shared" si="11"/>
        <v>10.546720932564201</v>
      </c>
    </row>
    <row r="188" spans="1:8" x14ac:dyDescent="0.3">
      <c r="A188" s="1">
        <v>44013</v>
      </c>
      <c r="B188">
        <f t="shared" si="8"/>
        <v>2020</v>
      </c>
      <c r="C188">
        <v>12.1972851320792</v>
      </c>
      <c r="D188">
        <f t="shared" si="9"/>
        <v>198250.19677950008</v>
      </c>
      <c r="E188">
        <v>50407647</v>
      </c>
      <c r="F188">
        <f t="shared" si="10"/>
        <v>39329.389205471161</v>
      </c>
      <c r="G188">
        <f t="shared" si="11"/>
        <v>10.579727335314701</v>
      </c>
    </row>
    <row r="189" spans="1:8" x14ac:dyDescent="0.3">
      <c r="A189" s="1">
        <v>44044</v>
      </c>
      <c r="B189">
        <f t="shared" si="8"/>
        <v>2020</v>
      </c>
      <c r="C189">
        <v>12.2011505260141</v>
      </c>
      <c r="D189">
        <f t="shared" si="9"/>
        <v>199017.99485274244</v>
      </c>
      <c r="E189">
        <v>50407647</v>
      </c>
      <c r="F189">
        <f t="shared" si="10"/>
        <v>39481.706982423209</v>
      </c>
      <c r="G189">
        <f t="shared" si="11"/>
        <v>10.583592729249601</v>
      </c>
    </row>
    <row r="190" spans="1:8" x14ac:dyDescent="0.3">
      <c r="A190" s="1">
        <v>44075</v>
      </c>
      <c r="B190">
        <f t="shared" si="8"/>
        <v>2020</v>
      </c>
      <c r="C190">
        <v>12.2385706919067</v>
      </c>
      <c r="D190">
        <f t="shared" si="9"/>
        <v>206606.37499733624</v>
      </c>
      <c r="E190">
        <v>50407647</v>
      </c>
      <c r="F190">
        <f t="shared" si="10"/>
        <v>40987.109554496019</v>
      </c>
      <c r="G190">
        <f t="shared" si="11"/>
        <v>10.621012895142201</v>
      </c>
    </row>
    <row r="191" spans="1:8" x14ac:dyDescent="0.3">
      <c r="A191" s="1">
        <v>44105</v>
      </c>
      <c r="B191">
        <f t="shared" si="8"/>
        <v>2020</v>
      </c>
      <c r="C191">
        <v>12.268169679137699</v>
      </c>
      <c r="D191">
        <f t="shared" si="9"/>
        <v>212813.11796833118</v>
      </c>
      <c r="E191">
        <v>50407647</v>
      </c>
      <c r="F191">
        <f t="shared" si="10"/>
        <v>42218.419353780031</v>
      </c>
      <c r="G191">
        <f t="shared" si="11"/>
        <v>10.6506118823732</v>
      </c>
    </row>
    <row r="192" spans="1:8" x14ac:dyDescent="0.3">
      <c r="A192" s="1">
        <v>44136</v>
      </c>
      <c r="B192">
        <f t="shared" si="8"/>
        <v>2020</v>
      </c>
      <c r="C192">
        <v>12.277085532695599</v>
      </c>
      <c r="D192">
        <f t="shared" si="9"/>
        <v>214719.01227527257</v>
      </c>
      <c r="E192">
        <v>50407647</v>
      </c>
      <c r="F192">
        <f t="shared" si="10"/>
        <v>42596.515619003716</v>
      </c>
      <c r="G192">
        <f t="shared" si="11"/>
        <v>10.6595277359311</v>
      </c>
    </row>
    <row r="193" spans="1:7" x14ac:dyDescent="0.3">
      <c r="A193" s="1">
        <v>44166</v>
      </c>
      <c r="B193">
        <f t="shared" si="8"/>
        <v>2020</v>
      </c>
      <c r="C193">
        <v>12.295763678166599</v>
      </c>
      <c r="D193">
        <f t="shared" si="9"/>
        <v>218767.25435629967</v>
      </c>
      <c r="E193">
        <v>50407647</v>
      </c>
      <c r="F193">
        <f t="shared" si="10"/>
        <v>43399.616402705658</v>
      </c>
      <c r="G193">
        <f t="shared" si="11"/>
        <v>10.6782058814021</v>
      </c>
    </row>
    <row r="194" spans="1:7" x14ac:dyDescent="0.3">
      <c r="A194" s="1">
        <v>44197</v>
      </c>
      <c r="B194">
        <f t="shared" si="8"/>
        <v>2021</v>
      </c>
      <c r="C194">
        <v>12.289995311509699</v>
      </c>
      <c r="D194">
        <f t="shared" si="9"/>
        <v>217508.95726918193</v>
      </c>
      <c r="E194">
        <v>51117378</v>
      </c>
      <c r="F194">
        <f t="shared" si="10"/>
        <v>42550.883042002257</v>
      </c>
      <c r="G194">
        <f t="shared" si="11"/>
        <v>10.65845588682971</v>
      </c>
    </row>
    <row r="195" spans="1:7" x14ac:dyDescent="0.3">
      <c r="A195" s="1">
        <v>44228</v>
      </c>
      <c r="B195">
        <f t="shared" ref="B195:B253" si="12">YEAR(A195)</f>
        <v>2021</v>
      </c>
      <c r="C195">
        <v>12.3100789513769</v>
      </c>
      <c r="D195">
        <f t="shared" ref="D195:D253" si="13">EXP(C195)</f>
        <v>221921.49038160787</v>
      </c>
      <c r="E195">
        <v>51117378</v>
      </c>
      <c r="F195">
        <f t="shared" ref="F195:F253" si="14">D195*10000000/E195</f>
        <v>43414.098896388597</v>
      </c>
      <c r="G195">
        <f t="shared" ref="G195:G253" si="15">LN(F195)</f>
        <v>10.678539526696911</v>
      </c>
    </row>
    <row r="196" spans="1:7" x14ac:dyDescent="0.3">
      <c r="A196" s="1">
        <v>44256</v>
      </c>
      <c r="B196">
        <f t="shared" si="12"/>
        <v>2021</v>
      </c>
      <c r="C196">
        <v>12.3285723171134</v>
      </c>
      <c r="D196">
        <f t="shared" si="13"/>
        <v>226063.74977166264</v>
      </c>
      <c r="E196">
        <v>51117378</v>
      </c>
      <c r="F196">
        <f t="shared" si="14"/>
        <v>44224.441592380317</v>
      </c>
      <c r="G196">
        <f t="shared" si="15"/>
        <v>10.697032892433411</v>
      </c>
    </row>
    <row r="197" spans="1:7" x14ac:dyDescent="0.3">
      <c r="A197" s="1">
        <v>44287</v>
      </c>
      <c r="B197">
        <f t="shared" si="12"/>
        <v>2021</v>
      </c>
      <c r="C197">
        <v>12.300043241728501</v>
      </c>
      <c r="D197">
        <f t="shared" si="13"/>
        <v>219705.48891183452</v>
      </c>
      <c r="E197">
        <v>51117378</v>
      </c>
      <c r="F197">
        <f t="shared" si="14"/>
        <v>42980.586545701641</v>
      </c>
      <c r="G197">
        <f t="shared" si="15"/>
        <v>10.668503817048512</v>
      </c>
    </row>
    <row r="198" spans="1:7" x14ac:dyDescent="0.3">
      <c r="A198" s="1">
        <v>44317</v>
      </c>
      <c r="B198">
        <f t="shared" si="12"/>
        <v>2021</v>
      </c>
      <c r="C198">
        <v>12.2429630306635</v>
      </c>
      <c r="D198">
        <f t="shared" si="13"/>
        <v>207515.85609799196</v>
      </c>
      <c r="E198">
        <v>51117378</v>
      </c>
      <c r="F198">
        <f t="shared" si="14"/>
        <v>40595.950773921148</v>
      </c>
      <c r="G198">
        <f t="shared" si="15"/>
        <v>10.611423605983511</v>
      </c>
    </row>
    <row r="199" spans="1:7" x14ac:dyDescent="0.3">
      <c r="A199" s="1">
        <v>44348</v>
      </c>
      <c r="B199">
        <f t="shared" si="12"/>
        <v>2021</v>
      </c>
      <c r="C199">
        <v>12.316355577608</v>
      </c>
      <c r="D199">
        <f t="shared" si="13"/>
        <v>223318.78920326702</v>
      </c>
      <c r="E199">
        <v>51117378</v>
      </c>
      <c r="F199">
        <f t="shared" si="14"/>
        <v>43687.449932049924</v>
      </c>
      <c r="G199">
        <f t="shared" si="15"/>
        <v>10.684816152928011</v>
      </c>
    </row>
    <row r="200" spans="1:7" x14ac:dyDescent="0.3">
      <c r="A200" s="1">
        <v>44378</v>
      </c>
      <c r="B200">
        <f t="shared" si="12"/>
        <v>2021</v>
      </c>
      <c r="C200">
        <v>12.326659994811999</v>
      </c>
      <c r="D200">
        <f t="shared" si="13"/>
        <v>225631.85611299242</v>
      </c>
      <c r="E200">
        <v>51117378</v>
      </c>
      <c r="F200">
        <f t="shared" si="14"/>
        <v>44139.951018808599</v>
      </c>
      <c r="G200">
        <f t="shared" si="15"/>
        <v>10.69512057013201</v>
      </c>
    </row>
    <row r="201" spans="1:7" x14ac:dyDescent="0.3">
      <c r="A201" s="1">
        <v>44409</v>
      </c>
      <c r="B201">
        <f t="shared" si="12"/>
        <v>2021</v>
      </c>
      <c r="C201">
        <v>12.317680859773599</v>
      </c>
      <c r="D201">
        <f t="shared" si="13"/>
        <v>223614.9458140317</v>
      </c>
      <c r="E201">
        <v>51117378</v>
      </c>
      <c r="F201">
        <f t="shared" si="14"/>
        <v>43745.386512984231</v>
      </c>
      <c r="G201">
        <f t="shared" si="15"/>
        <v>10.68614143509361</v>
      </c>
    </row>
    <row r="202" spans="1:7" x14ac:dyDescent="0.3">
      <c r="A202" s="1">
        <v>44440</v>
      </c>
      <c r="B202">
        <f t="shared" si="12"/>
        <v>2021</v>
      </c>
      <c r="C202">
        <v>12.372393615414399</v>
      </c>
      <c r="D202">
        <f t="shared" si="13"/>
        <v>236190.41819077337</v>
      </c>
      <c r="E202">
        <v>51117378</v>
      </c>
      <c r="F202">
        <f t="shared" si="14"/>
        <v>46205.503379060909</v>
      </c>
      <c r="G202">
        <f t="shared" si="15"/>
        <v>10.74085419073441</v>
      </c>
    </row>
    <row r="203" spans="1:7" x14ac:dyDescent="0.3">
      <c r="A203" s="1">
        <v>44470</v>
      </c>
      <c r="B203">
        <f t="shared" si="12"/>
        <v>2021</v>
      </c>
      <c r="C203">
        <v>12.370416846255599</v>
      </c>
      <c r="D203">
        <f t="shared" si="13"/>
        <v>235723.98542333118</v>
      </c>
      <c r="E203">
        <v>51117378</v>
      </c>
      <c r="F203">
        <f t="shared" si="14"/>
        <v>46114.255982247603</v>
      </c>
      <c r="G203">
        <f t="shared" si="15"/>
        <v>10.73887742157561</v>
      </c>
    </row>
    <row r="204" spans="1:7" x14ac:dyDescent="0.3">
      <c r="A204" s="1">
        <v>44501</v>
      </c>
      <c r="B204">
        <f t="shared" si="12"/>
        <v>2021</v>
      </c>
      <c r="C204">
        <v>12.385078142225</v>
      </c>
      <c r="D204">
        <f t="shared" si="13"/>
        <v>239205.46366939761</v>
      </c>
      <c r="E204">
        <v>51117378</v>
      </c>
      <c r="F204">
        <f t="shared" si="14"/>
        <v>46795.331260808722</v>
      </c>
      <c r="G204">
        <f t="shared" si="15"/>
        <v>10.753538717545011</v>
      </c>
    </row>
    <row r="205" spans="1:7" x14ac:dyDescent="0.3">
      <c r="A205" s="1">
        <v>44531</v>
      </c>
      <c r="B205">
        <f t="shared" si="12"/>
        <v>2021</v>
      </c>
      <c r="C205">
        <v>12.400747911519399</v>
      </c>
      <c r="D205">
        <f t="shared" si="13"/>
        <v>242983.27955008188</v>
      </c>
      <c r="E205">
        <v>51117378</v>
      </c>
      <c r="F205">
        <f t="shared" si="14"/>
        <v>47534.378533672418</v>
      </c>
      <c r="G205">
        <f t="shared" si="15"/>
        <v>10.76920848683941</v>
      </c>
    </row>
    <row r="206" spans="1:7" x14ac:dyDescent="0.3">
      <c r="A206" s="1">
        <v>44562</v>
      </c>
      <c r="B206">
        <f t="shared" si="12"/>
        <v>2022</v>
      </c>
      <c r="C206">
        <v>12.372533143548701</v>
      </c>
      <c r="D206">
        <f t="shared" si="13"/>
        <v>236223.37569835974</v>
      </c>
      <c r="E206">
        <v>51682692</v>
      </c>
      <c r="F206">
        <f t="shared" si="14"/>
        <v>45706.476686307236</v>
      </c>
      <c r="G206">
        <f t="shared" si="15"/>
        <v>10.729995288641744</v>
      </c>
    </row>
    <row r="207" spans="1:7" x14ac:dyDescent="0.3">
      <c r="A207" s="1">
        <v>44593</v>
      </c>
      <c r="B207">
        <f t="shared" si="12"/>
        <v>2022</v>
      </c>
      <c r="C207">
        <v>12.3849253175546</v>
      </c>
      <c r="D207">
        <f t="shared" si="13"/>
        <v>239168.90996647952</v>
      </c>
      <c r="E207">
        <v>51682692</v>
      </c>
      <c r="F207">
        <f t="shared" si="14"/>
        <v>46276.403320183003</v>
      </c>
      <c r="G207">
        <f t="shared" si="15"/>
        <v>10.742387462647644</v>
      </c>
    </row>
    <row r="208" spans="1:7" x14ac:dyDescent="0.3">
      <c r="A208" s="1">
        <v>44621</v>
      </c>
      <c r="B208">
        <f t="shared" si="12"/>
        <v>2022</v>
      </c>
      <c r="C208">
        <v>12.402095088896701</v>
      </c>
      <c r="D208">
        <f t="shared" si="13"/>
        <v>243310.84171998603</v>
      </c>
      <c r="E208">
        <v>51682692</v>
      </c>
      <c r="F208">
        <f t="shared" si="14"/>
        <v>47077.818957260592</v>
      </c>
      <c r="G208">
        <f t="shared" si="15"/>
        <v>10.759557233989744</v>
      </c>
    </row>
    <row r="209" spans="1:7" x14ac:dyDescent="0.3">
      <c r="A209" s="1">
        <v>44652</v>
      </c>
      <c r="B209">
        <f t="shared" si="12"/>
        <v>2022</v>
      </c>
      <c r="C209">
        <v>12.4031243340802</v>
      </c>
      <c r="D209">
        <f t="shared" si="13"/>
        <v>243561.39715128616</v>
      </c>
      <c r="E209">
        <v>51682692</v>
      </c>
      <c r="F209">
        <f t="shared" si="14"/>
        <v>47126.298520070544</v>
      </c>
      <c r="G209">
        <f t="shared" si="15"/>
        <v>10.760586479173243</v>
      </c>
    </row>
    <row r="210" spans="1:7" x14ac:dyDescent="0.3">
      <c r="A210" s="1">
        <v>44682</v>
      </c>
      <c r="B210">
        <f t="shared" si="12"/>
        <v>2022</v>
      </c>
      <c r="C210">
        <v>12.4042473509679</v>
      </c>
      <c r="D210">
        <f t="shared" si="13"/>
        <v>243835.07435677788</v>
      </c>
      <c r="E210">
        <v>51682692</v>
      </c>
      <c r="F210">
        <f t="shared" si="14"/>
        <v>47179.25187735536</v>
      </c>
      <c r="G210">
        <f t="shared" si="15"/>
        <v>10.761709496060943</v>
      </c>
    </row>
    <row r="211" spans="1:7" x14ac:dyDescent="0.3">
      <c r="A211" s="1">
        <v>44713</v>
      </c>
      <c r="B211">
        <f t="shared" si="12"/>
        <v>2022</v>
      </c>
      <c r="C211">
        <v>12.4004588549519</v>
      </c>
      <c r="D211">
        <f t="shared" si="13"/>
        <v>242913.05378743328</v>
      </c>
      <c r="E211">
        <v>51682692</v>
      </c>
      <c r="F211">
        <f t="shared" si="14"/>
        <v>47000.851617294487</v>
      </c>
      <c r="G211">
        <f t="shared" si="15"/>
        <v>10.757921000044943</v>
      </c>
    </row>
    <row r="212" spans="1:7" x14ac:dyDescent="0.3">
      <c r="A212" s="1">
        <v>44743</v>
      </c>
      <c r="B212">
        <f t="shared" si="12"/>
        <v>2022</v>
      </c>
      <c r="C212">
        <v>12.393419036326399</v>
      </c>
      <c r="D212">
        <f t="shared" si="13"/>
        <v>241208.99511660927</v>
      </c>
      <c r="E212">
        <v>51682692</v>
      </c>
      <c r="F212">
        <f t="shared" si="14"/>
        <v>46671.136077162788</v>
      </c>
      <c r="G212">
        <f t="shared" si="15"/>
        <v>10.750881181419443</v>
      </c>
    </row>
    <row r="213" spans="1:7" x14ac:dyDescent="0.3">
      <c r="A213" s="1">
        <v>44774</v>
      </c>
      <c r="B213">
        <f t="shared" si="12"/>
        <v>2022</v>
      </c>
      <c r="C213">
        <v>12.411079478168</v>
      </c>
      <c r="D213">
        <f t="shared" si="13"/>
        <v>245506.69044520461</v>
      </c>
      <c r="E213">
        <v>51682692</v>
      </c>
      <c r="F213">
        <f t="shared" si="14"/>
        <v>47502.690154995144</v>
      </c>
      <c r="G213">
        <f t="shared" si="15"/>
        <v>10.768541623261044</v>
      </c>
    </row>
    <row r="214" spans="1:7" x14ac:dyDescent="0.3">
      <c r="A214" s="1">
        <v>44805</v>
      </c>
      <c r="B214">
        <f t="shared" si="12"/>
        <v>2022</v>
      </c>
      <c r="C214">
        <v>12.4247790255056</v>
      </c>
      <c r="D214">
        <f t="shared" si="13"/>
        <v>248893.16459047468</v>
      </c>
      <c r="E214">
        <v>51682692</v>
      </c>
      <c r="F214">
        <f t="shared" si="14"/>
        <v>48157.933528399546</v>
      </c>
      <c r="G214">
        <f t="shared" si="15"/>
        <v>10.782241170598644</v>
      </c>
    </row>
    <row r="215" spans="1:7" x14ac:dyDescent="0.3">
      <c r="A215" s="1">
        <v>44835</v>
      </c>
      <c r="B215">
        <f t="shared" si="12"/>
        <v>2022</v>
      </c>
      <c r="C215">
        <v>12.4185661071963</v>
      </c>
      <c r="D215">
        <f t="shared" si="13"/>
        <v>247351.60544038925</v>
      </c>
      <c r="E215">
        <v>51682692</v>
      </c>
      <c r="F215">
        <f t="shared" si="14"/>
        <v>47859.659756188637</v>
      </c>
      <c r="G215">
        <f t="shared" si="15"/>
        <v>10.776028252289343</v>
      </c>
    </row>
    <row r="216" spans="1:7" x14ac:dyDescent="0.3">
      <c r="A216" s="1">
        <v>44866</v>
      </c>
      <c r="B216">
        <f t="shared" si="12"/>
        <v>2022</v>
      </c>
      <c r="C216">
        <v>12.393145301567699</v>
      </c>
      <c r="D216">
        <f t="shared" si="13"/>
        <v>241142.97686669181</v>
      </c>
      <c r="E216">
        <v>51682692</v>
      </c>
      <c r="F216">
        <f t="shared" si="14"/>
        <v>46658.362313381782</v>
      </c>
      <c r="G216">
        <f t="shared" si="15"/>
        <v>10.750607446660743</v>
      </c>
    </row>
    <row r="217" spans="1:7" x14ac:dyDescent="0.3">
      <c r="A217" s="1">
        <v>44896</v>
      </c>
      <c r="B217">
        <f t="shared" si="12"/>
        <v>2022</v>
      </c>
      <c r="C217">
        <v>12.4090278012361</v>
      </c>
      <c r="D217">
        <f t="shared" si="13"/>
        <v>245003.50639385392</v>
      </c>
      <c r="E217">
        <v>51682692</v>
      </c>
      <c r="F217">
        <f t="shared" si="14"/>
        <v>47405.329891456488</v>
      </c>
      <c r="G217">
        <f t="shared" si="15"/>
        <v>10.766489946329143</v>
      </c>
    </row>
    <row r="218" spans="1:7" x14ac:dyDescent="0.3">
      <c r="A218" s="1">
        <v>44927</v>
      </c>
      <c r="B218">
        <f t="shared" si="12"/>
        <v>2023</v>
      </c>
      <c r="C218">
        <v>12.4144143886303</v>
      </c>
      <c r="D218">
        <f t="shared" si="13"/>
        <v>246326.80001164234</v>
      </c>
      <c r="E218">
        <v>52215503</v>
      </c>
      <c r="F218">
        <f t="shared" si="14"/>
        <v>47175.031524955783</v>
      </c>
      <c r="G218">
        <f t="shared" si="15"/>
        <v>10.761620038492083</v>
      </c>
    </row>
    <row r="219" spans="1:7" x14ac:dyDescent="0.3">
      <c r="A219" s="1">
        <v>44958</v>
      </c>
      <c r="B219">
        <f t="shared" si="12"/>
        <v>2023</v>
      </c>
      <c r="C219">
        <v>12.411143763511101</v>
      </c>
      <c r="D219">
        <f t="shared" si="13"/>
        <v>245522.47343433532</v>
      </c>
      <c r="E219">
        <v>52215503</v>
      </c>
      <c r="F219">
        <f t="shared" si="14"/>
        <v>47020.99172238852</v>
      </c>
      <c r="G219">
        <f t="shared" si="15"/>
        <v>10.758349413372882</v>
      </c>
    </row>
    <row r="220" spans="1:7" x14ac:dyDescent="0.3">
      <c r="A220" s="1">
        <v>44986</v>
      </c>
      <c r="B220">
        <f t="shared" si="12"/>
        <v>2023</v>
      </c>
      <c r="C220">
        <v>12.413918457858699</v>
      </c>
      <c r="D220">
        <f t="shared" si="13"/>
        <v>246204.66925834905</v>
      </c>
      <c r="E220">
        <v>52215503</v>
      </c>
      <c r="F220">
        <f t="shared" si="14"/>
        <v>47151.641775498952</v>
      </c>
      <c r="G220">
        <f t="shared" si="15"/>
        <v>10.761124107720482</v>
      </c>
    </row>
    <row r="221" spans="1:7" x14ac:dyDescent="0.3">
      <c r="A221" s="1">
        <v>45017</v>
      </c>
      <c r="B221">
        <f t="shared" si="12"/>
        <v>2023</v>
      </c>
      <c r="C221">
        <v>12.391702835682301</v>
      </c>
      <c r="D221">
        <f t="shared" si="13"/>
        <v>240795.38710251602</v>
      </c>
      <c r="E221">
        <v>52215503</v>
      </c>
      <c r="F221">
        <f t="shared" si="14"/>
        <v>46115.68849629123</v>
      </c>
      <c r="G221">
        <f t="shared" si="15"/>
        <v>10.738908485544084</v>
      </c>
    </row>
    <row r="222" spans="1:7" x14ac:dyDescent="0.3">
      <c r="A222" s="1">
        <v>45047</v>
      </c>
      <c r="B222">
        <f t="shared" si="12"/>
        <v>2023</v>
      </c>
      <c r="C222">
        <v>12.4041225366362</v>
      </c>
      <c r="D222">
        <f t="shared" si="13"/>
        <v>243804.64214415458</v>
      </c>
      <c r="E222">
        <v>52215503</v>
      </c>
      <c r="F222">
        <f t="shared" si="14"/>
        <v>46692.00297546776</v>
      </c>
      <c r="G222">
        <f t="shared" si="15"/>
        <v>10.751328186497981</v>
      </c>
    </row>
    <row r="223" spans="1:7" x14ac:dyDescent="0.3">
      <c r="A223" s="1">
        <v>45078</v>
      </c>
      <c r="B223">
        <f t="shared" si="12"/>
        <v>2023</v>
      </c>
      <c r="C223">
        <v>12.4247043776815</v>
      </c>
      <c r="D223">
        <f t="shared" si="13"/>
        <v>248874.58595074082</v>
      </c>
      <c r="E223">
        <v>52215503</v>
      </c>
      <c r="F223">
        <f t="shared" si="14"/>
        <v>47662.96820902804</v>
      </c>
      <c r="G223">
        <f t="shared" si="15"/>
        <v>10.771910027543283</v>
      </c>
    </row>
    <row r="224" spans="1:7" x14ac:dyDescent="0.3">
      <c r="A224" s="1">
        <v>45108</v>
      </c>
      <c r="B224">
        <f t="shared" si="12"/>
        <v>2023</v>
      </c>
      <c r="C224">
        <v>12.3938880396166</v>
      </c>
      <c r="D224">
        <f t="shared" si="13"/>
        <v>241322.14946175093</v>
      </c>
      <c r="E224">
        <v>52215503</v>
      </c>
      <c r="F224">
        <f t="shared" si="14"/>
        <v>46216.570864356305</v>
      </c>
      <c r="G224">
        <f t="shared" si="15"/>
        <v>10.741093689478383</v>
      </c>
    </row>
    <row r="225" spans="1:7" x14ac:dyDescent="0.3">
      <c r="A225" s="1">
        <v>45139</v>
      </c>
      <c r="B225">
        <f t="shared" si="12"/>
        <v>2023</v>
      </c>
      <c r="C225">
        <v>12.410099121858201</v>
      </c>
      <c r="D225">
        <f t="shared" si="13"/>
        <v>245266.12435163982</v>
      </c>
      <c r="E225">
        <v>52215503</v>
      </c>
      <c r="F225">
        <f t="shared" si="14"/>
        <v>46971.897283387239</v>
      </c>
      <c r="G225">
        <f t="shared" si="15"/>
        <v>10.757304771719983</v>
      </c>
    </row>
    <row r="226" spans="1:7" x14ac:dyDescent="0.3">
      <c r="A226" s="1">
        <v>45170</v>
      </c>
      <c r="B226">
        <f t="shared" si="12"/>
        <v>2023</v>
      </c>
      <c r="C226">
        <v>12.4129784085252</v>
      </c>
      <c r="D226">
        <f t="shared" si="13"/>
        <v>245973.33347366931</v>
      </c>
      <c r="E226">
        <v>52215503</v>
      </c>
      <c r="F226">
        <f t="shared" si="14"/>
        <v>47107.337733329754</v>
      </c>
      <c r="G226">
        <f t="shared" si="15"/>
        <v>10.760184058386983</v>
      </c>
    </row>
    <row r="227" spans="1:7" x14ac:dyDescent="0.3">
      <c r="A227" s="1">
        <v>45200</v>
      </c>
      <c r="B227">
        <f t="shared" si="12"/>
        <v>2023</v>
      </c>
      <c r="C227">
        <v>12.4031160298897</v>
      </c>
      <c r="D227">
        <f t="shared" si="13"/>
        <v>243559.37457944377</v>
      </c>
      <c r="E227">
        <v>52215503</v>
      </c>
      <c r="F227">
        <f t="shared" si="14"/>
        <v>46645.030802335423</v>
      </c>
      <c r="G227">
        <f t="shared" si="15"/>
        <v>10.750321679751483</v>
      </c>
    </row>
    <row r="228" spans="1:7" x14ac:dyDescent="0.3">
      <c r="A228" s="1">
        <v>45231</v>
      </c>
      <c r="B228">
        <f t="shared" si="12"/>
        <v>2023</v>
      </c>
      <c r="C228">
        <v>12.425297765075801</v>
      </c>
      <c r="D228">
        <f t="shared" si="13"/>
        <v>249022.30881691439</v>
      </c>
      <c r="E228">
        <v>52215503</v>
      </c>
      <c r="F228">
        <f t="shared" si="14"/>
        <v>47691.259206468698</v>
      </c>
      <c r="G228">
        <f t="shared" si="15"/>
        <v>10.772503414937583</v>
      </c>
    </row>
    <row r="229" spans="1:7" x14ac:dyDescent="0.3">
      <c r="A229" s="1">
        <v>45261</v>
      </c>
      <c r="B229">
        <f t="shared" si="12"/>
        <v>2023</v>
      </c>
      <c r="C229">
        <v>12.4130142850344</v>
      </c>
      <c r="D229">
        <f t="shared" si="13"/>
        <v>245982.15829653159</v>
      </c>
      <c r="E229">
        <v>52215503</v>
      </c>
      <c r="F229">
        <f t="shared" si="14"/>
        <v>47109.027810482185</v>
      </c>
      <c r="G229">
        <f t="shared" si="15"/>
        <v>10.760219934896183</v>
      </c>
    </row>
    <row r="230" spans="1:7" x14ac:dyDescent="0.3">
      <c r="A230" s="1">
        <v>45292</v>
      </c>
      <c r="B230">
        <f t="shared" si="12"/>
        <v>2024</v>
      </c>
      <c r="C230">
        <v>12.422183626795899</v>
      </c>
      <c r="D230">
        <f t="shared" si="13"/>
        <v>248248.02515142027</v>
      </c>
      <c r="E230">
        <v>52695952</v>
      </c>
      <c r="F230">
        <f t="shared" si="14"/>
        <v>47109.50570765289</v>
      </c>
      <c r="G230">
        <f t="shared" si="15"/>
        <v>10.760230079337045</v>
      </c>
    </row>
    <row r="231" spans="1:7" x14ac:dyDescent="0.3">
      <c r="A231" s="1">
        <v>45323</v>
      </c>
      <c r="B231">
        <f t="shared" si="12"/>
        <v>2024</v>
      </c>
      <c r="C231">
        <v>12.4187966545544</v>
      </c>
      <c r="D231">
        <f t="shared" si="13"/>
        <v>247408.63827367732</v>
      </c>
      <c r="E231">
        <v>52695952</v>
      </c>
      <c r="F231">
        <f t="shared" si="14"/>
        <v>46950.217024958074</v>
      </c>
      <c r="G231">
        <f t="shared" si="15"/>
        <v>10.756843107095547</v>
      </c>
    </row>
    <row r="232" spans="1:7" x14ac:dyDescent="0.3">
      <c r="A232" s="1">
        <v>45352</v>
      </c>
      <c r="B232">
        <f t="shared" si="12"/>
        <v>2024</v>
      </c>
      <c r="C232">
        <v>12.4070713486496</v>
      </c>
      <c r="D232">
        <f t="shared" si="13"/>
        <v>244524.63724520797</v>
      </c>
      <c r="E232">
        <v>52695952</v>
      </c>
      <c r="F232">
        <f t="shared" si="14"/>
        <v>46402.92621437183</v>
      </c>
      <c r="G232">
        <f t="shared" si="15"/>
        <v>10.745117801190746</v>
      </c>
    </row>
    <row r="233" spans="1:7" x14ac:dyDescent="0.3">
      <c r="A233" s="1">
        <v>45383</v>
      </c>
      <c r="B233">
        <f t="shared" si="12"/>
        <v>2024</v>
      </c>
      <c r="C233">
        <v>12.4332130436394</v>
      </c>
      <c r="D233">
        <f t="shared" si="13"/>
        <v>251001.21120981759</v>
      </c>
      <c r="E233">
        <v>52695952</v>
      </c>
      <c r="F233">
        <f t="shared" si="14"/>
        <v>47631.972036451218</v>
      </c>
      <c r="G233">
        <f t="shared" si="15"/>
        <v>10.771259496180544</v>
      </c>
    </row>
    <row r="234" spans="1:7" x14ac:dyDescent="0.3">
      <c r="A234" s="1">
        <v>45413</v>
      </c>
      <c r="B234">
        <f t="shared" si="12"/>
        <v>2024</v>
      </c>
      <c r="C234">
        <v>12.4295168788198</v>
      </c>
      <c r="D234">
        <f t="shared" si="13"/>
        <v>250075.18179619333</v>
      </c>
      <c r="E234">
        <v>52695952</v>
      </c>
      <c r="F234">
        <f t="shared" si="14"/>
        <v>47456.241381917403</v>
      </c>
      <c r="G234">
        <f t="shared" si="15"/>
        <v>10.767563331360947</v>
      </c>
    </row>
    <row r="235" spans="1:7" x14ac:dyDescent="0.3">
      <c r="A235" s="1">
        <v>45444</v>
      </c>
      <c r="B235">
        <f t="shared" si="12"/>
        <v>2024</v>
      </c>
      <c r="C235">
        <v>12.4082863475408</v>
      </c>
      <c r="D235">
        <f t="shared" si="13"/>
        <v>244821.91496781298</v>
      </c>
      <c r="E235">
        <v>52695952</v>
      </c>
      <c r="F235">
        <f t="shared" si="14"/>
        <v>46459.339982663754</v>
      </c>
      <c r="G235">
        <f t="shared" si="15"/>
        <v>10.746332800081946</v>
      </c>
    </row>
    <row r="236" spans="1:7" x14ac:dyDescent="0.3">
      <c r="A236" s="1">
        <v>45474</v>
      </c>
      <c r="B236">
        <f t="shared" si="12"/>
        <v>2024</v>
      </c>
      <c r="C236">
        <v>12.4251055033768</v>
      </c>
      <c r="D236">
        <f t="shared" si="13"/>
        <v>248974.43596693745</v>
      </c>
      <c r="E236">
        <v>52695952</v>
      </c>
      <c r="F236">
        <f t="shared" si="14"/>
        <v>47247.355160589461</v>
      </c>
      <c r="G236">
        <f t="shared" si="15"/>
        <v>10.763151955917946</v>
      </c>
    </row>
    <row r="237" spans="1:7" x14ac:dyDescent="0.3">
      <c r="A237" s="1">
        <v>45505</v>
      </c>
      <c r="B237">
        <f t="shared" si="12"/>
        <v>2024</v>
      </c>
      <c r="C237">
        <v>12.4218795881332</v>
      </c>
      <c r="D237">
        <f t="shared" si="13"/>
        <v>248172.55962663537</v>
      </c>
      <c r="E237">
        <v>52695952</v>
      </c>
      <c r="F237">
        <f t="shared" si="14"/>
        <v>47095.184773706213</v>
      </c>
      <c r="G237">
        <f t="shared" si="15"/>
        <v>10.759926040674344</v>
      </c>
    </row>
    <row r="238" spans="1:7" x14ac:dyDescent="0.3">
      <c r="A238" s="1">
        <v>45536</v>
      </c>
      <c r="B238">
        <f t="shared" si="12"/>
        <v>2024</v>
      </c>
      <c r="C238">
        <v>12.4194369184899</v>
      </c>
      <c r="D238">
        <f t="shared" si="13"/>
        <v>247567.09582400933</v>
      </c>
      <c r="E238">
        <v>52695952</v>
      </c>
      <c r="F238">
        <f t="shared" si="14"/>
        <v>46980.287181074047</v>
      </c>
      <c r="G238">
        <f t="shared" si="15"/>
        <v>10.757483371031046</v>
      </c>
    </row>
    <row r="239" spans="1:7" x14ac:dyDescent="0.3">
      <c r="A239" s="1">
        <v>45566</v>
      </c>
      <c r="B239">
        <f t="shared" si="12"/>
        <v>2024</v>
      </c>
      <c r="C239">
        <v>12.437678073554199</v>
      </c>
      <c r="D239">
        <f t="shared" si="13"/>
        <v>252124.44489641525</v>
      </c>
      <c r="E239">
        <v>52695952</v>
      </c>
      <c r="F239">
        <f t="shared" si="14"/>
        <v>47845.125731178596</v>
      </c>
      <c r="G239">
        <f t="shared" si="15"/>
        <v>10.775724526095345</v>
      </c>
    </row>
    <row r="240" spans="1:7" x14ac:dyDescent="0.3">
      <c r="A240" s="1">
        <v>45597</v>
      </c>
      <c r="B240">
        <f t="shared" si="12"/>
        <v>2024</v>
      </c>
      <c r="C240">
        <v>12.4274168238447</v>
      </c>
      <c r="D240">
        <f t="shared" si="13"/>
        <v>249550.56122534114</v>
      </c>
      <c r="E240">
        <v>52695952</v>
      </c>
      <c r="F240">
        <f t="shared" si="14"/>
        <v>47356.685239378763</v>
      </c>
      <c r="G240">
        <f t="shared" si="15"/>
        <v>10.765463276385846</v>
      </c>
    </row>
    <row r="241" spans="1:7" x14ac:dyDescent="0.3">
      <c r="A241" s="1">
        <v>45627</v>
      </c>
      <c r="B241">
        <f t="shared" si="12"/>
        <v>2024</v>
      </c>
      <c r="C241">
        <v>12.4454210826012</v>
      </c>
      <c r="D241">
        <f t="shared" si="13"/>
        <v>254084.22425747427</v>
      </c>
      <c r="E241">
        <v>52695952</v>
      </c>
      <c r="F241">
        <f t="shared" si="14"/>
        <v>48217.028939428645</v>
      </c>
      <c r="G241">
        <f t="shared" si="15"/>
        <v>10.783467535142346</v>
      </c>
    </row>
    <row r="242" spans="1:7" x14ac:dyDescent="0.3">
      <c r="A242" s="1">
        <v>45658</v>
      </c>
      <c r="B242">
        <f t="shared" si="12"/>
        <v>2025</v>
      </c>
      <c r="C242">
        <v>12.443815459046</v>
      </c>
      <c r="D242">
        <f t="shared" si="13"/>
        <v>253676.58798477723</v>
      </c>
      <c r="E242">
        <v>53057212</v>
      </c>
      <c r="F242">
        <f t="shared" si="14"/>
        <v>47811.895578828611</v>
      </c>
      <c r="G242">
        <f t="shared" si="15"/>
        <v>10.775029749000435</v>
      </c>
    </row>
    <row r="243" spans="1:7" x14ac:dyDescent="0.3">
      <c r="A243" s="1">
        <v>45689</v>
      </c>
      <c r="B243">
        <f t="shared" si="12"/>
        <v>2025</v>
      </c>
      <c r="C243">
        <v>12.4447750871495</v>
      </c>
      <c r="D243">
        <f t="shared" si="13"/>
        <v>253920.14000880052</v>
      </c>
      <c r="E243">
        <v>53057212</v>
      </c>
      <c r="F243">
        <f t="shared" si="14"/>
        <v>47857.799239206259</v>
      </c>
      <c r="G243">
        <f t="shared" si="15"/>
        <v>10.775989377103935</v>
      </c>
    </row>
    <row r="244" spans="1:7" x14ac:dyDescent="0.3">
      <c r="A244" s="1">
        <v>45717</v>
      </c>
      <c r="B244">
        <f t="shared" si="12"/>
        <v>2025</v>
      </c>
      <c r="C244">
        <v>12.4359037838045</v>
      </c>
      <c r="D244">
        <f t="shared" si="13"/>
        <v>251677.4997005793</v>
      </c>
      <c r="E244">
        <v>53057212</v>
      </c>
      <c r="F244">
        <f t="shared" si="14"/>
        <v>47435.115833183867</v>
      </c>
      <c r="G244">
        <f t="shared" si="15"/>
        <v>10.767118073758935</v>
      </c>
    </row>
    <row r="245" spans="1:7" x14ac:dyDescent="0.3">
      <c r="A245" s="1">
        <v>45748</v>
      </c>
      <c r="B245">
        <f t="shared" si="12"/>
        <v>2025</v>
      </c>
      <c r="C245">
        <v>12.4455290020829</v>
      </c>
      <c r="D245">
        <f t="shared" si="13"/>
        <v>254111.64637492789</v>
      </c>
      <c r="E245">
        <v>53057212</v>
      </c>
      <c r="F245">
        <f t="shared" si="14"/>
        <v>47893.89355304381</v>
      </c>
      <c r="G245">
        <f t="shared" si="15"/>
        <v>10.776743292037334</v>
      </c>
    </row>
    <row r="246" spans="1:7" x14ac:dyDescent="0.3">
      <c r="A246" s="1">
        <v>45778</v>
      </c>
      <c r="B246">
        <f t="shared" si="12"/>
        <v>2025</v>
      </c>
      <c r="C246">
        <v>12.449046326406</v>
      </c>
      <c r="D246">
        <f t="shared" si="13"/>
        <v>255007.01317412505</v>
      </c>
      <c r="E246">
        <v>53057212</v>
      </c>
      <c r="F246">
        <f t="shared" si="14"/>
        <v>48062.648518758404</v>
      </c>
      <c r="G246">
        <f t="shared" si="15"/>
        <v>10.780260616360435</v>
      </c>
    </row>
    <row r="247" spans="1:7" x14ac:dyDescent="0.3">
      <c r="A247" s="1">
        <v>45809</v>
      </c>
      <c r="B247">
        <f t="shared" si="12"/>
        <v>2025</v>
      </c>
      <c r="C247">
        <v>12.440578391511099</v>
      </c>
      <c r="D247">
        <f t="shared" si="13"/>
        <v>252856.74739302776</v>
      </c>
      <c r="E247">
        <v>53057212</v>
      </c>
      <c r="F247">
        <f t="shared" si="14"/>
        <v>47657.375474804023</v>
      </c>
      <c r="G247">
        <f t="shared" si="15"/>
        <v>10.771792681465534</v>
      </c>
    </row>
    <row r="248" spans="1:7" x14ac:dyDescent="0.3">
      <c r="A248" s="1">
        <v>45839</v>
      </c>
      <c r="B248">
        <f t="shared" si="12"/>
        <v>2025</v>
      </c>
      <c r="C248">
        <v>12.4691537946462</v>
      </c>
      <c r="D248">
        <f t="shared" si="13"/>
        <v>260186.45683465493</v>
      </c>
      <c r="E248">
        <v>53057212</v>
      </c>
      <c r="F248">
        <f t="shared" si="14"/>
        <v>49038.848259621132</v>
      </c>
      <c r="G248">
        <f t="shared" si="15"/>
        <v>10.800368084600635</v>
      </c>
    </row>
    <row r="249" spans="1:7" x14ac:dyDescent="0.3">
      <c r="A249" s="1">
        <v>45870</v>
      </c>
      <c r="B249">
        <f t="shared" si="12"/>
        <v>2025</v>
      </c>
      <c r="C249">
        <v>12.4457382427084</v>
      </c>
      <c r="D249">
        <f t="shared" si="13"/>
        <v>254164.82241786242</v>
      </c>
      <c r="E249">
        <v>53057212</v>
      </c>
      <c r="F249">
        <f t="shared" si="14"/>
        <v>47903.915949798189</v>
      </c>
      <c r="G249">
        <f t="shared" si="15"/>
        <v>10.776952532662834</v>
      </c>
    </row>
    <row r="250" spans="1:7" x14ac:dyDescent="0.3">
      <c r="A250" s="1">
        <v>45901</v>
      </c>
      <c r="B250">
        <f t="shared" si="12"/>
        <v>2025</v>
      </c>
      <c r="C250">
        <v>12.4579478926454</v>
      </c>
      <c r="D250">
        <f t="shared" si="13"/>
        <v>257287.10814581267</v>
      </c>
      <c r="E250">
        <v>53057212</v>
      </c>
      <c r="F250">
        <f t="shared" si="14"/>
        <v>48492.391222104299</v>
      </c>
      <c r="G250">
        <f t="shared" si="15"/>
        <v>10.789162182599835</v>
      </c>
    </row>
    <row r="251" spans="1:7" x14ac:dyDescent="0.3">
      <c r="A251" s="1">
        <v>45931</v>
      </c>
      <c r="B251">
        <f t="shared" si="12"/>
        <v>2025</v>
      </c>
      <c r="C251">
        <v>12.4630690329417</v>
      </c>
      <c r="D251">
        <f t="shared" si="13"/>
        <v>258608.09110557404</v>
      </c>
      <c r="E251">
        <v>53057212</v>
      </c>
      <c r="F251">
        <f t="shared" si="14"/>
        <v>48741.364530343963</v>
      </c>
      <c r="G251">
        <f t="shared" si="15"/>
        <v>10.794283322896135</v>
      </c>
    </row>
    <row r="252" spans="1:7" x14ac:dyDescent="0.3">
      <c r="A252" s="1">
        <v>45962</v>
      </c>
      <c r="B252">
        <f t="shared" si="12"/>
        <v>2025</v>
      </c>
      <c r="C252">
        <v>12.4522435483729</v>
      </c>
      <c r="D252">
        <f t="shared" si="13"/>
        <v>255823.63195847839</v>
      </c>
      <c r="E252">
        <v>53057212</v>
      </c>
      <c r="F252">
        <f t="shared" si="14"/>
        <v>48216.561390085546</v>
      </c>
      <c r="G252">
        <f t="shared" si="15"/>
        <v>10.783457838327335</v>
      </c>
    </row>
    <row r="253" spans="1:7" x14ac:dyDescent="0.3">
      <c r="A253" s="1">
        <v>45992</v>
      </c>
      <c r="B253">
        <f t="shared" si="12"/>
        <v>2025</v>
      </c>
      <c r="C253">
        <v>12.461131398685399</v>
      </c>
      <c r="D253">
        <f t="shared" si="13"/>
        <v>258107.48835843022</v>
      </c>
      <c r="E253">
        <v>53057212</v>
      </c>
      <c r="F253">
        <f t="shared" si="14"/>
        <v>48647.013031598835</v>
      </c>
      <c r="G253">
        <f t="shared" si="15"/>
        <v>10.792345688639834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Mensual_Values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Jaulín Méndez Oscar Fernando</dc:creator>
  <cp:lastModifiedBy>Oscar Fernando Jaulin Mendez</cp:lastModifiedBy>
  <dcterms:created xsi:type="dcterms:W3CDTF">2026-02-25T14:35:07Z</dcterms:created>
  <dcterms:modified xsi:type="dcterms:W3CDTF">2026-05-21T00:23:52Z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faaadc-1a6d-4614-bb5b-a314f37e002a_Enabled">
    <vt:lpwstr>true</vt:lpwstr>
  </property>
  <property fmtid="{D5CDD505-2E9C-101B-9397-08002B2CF9AE}" pid="3" name="MSIP_Label_d7faaadc-1a6d-4614-bb5b-a314f37e002a_SetDate">
    <vt:lpwstr>2026-02-25T14:50:23Z</vt:lpwstr>
  </property>
  <property fmtid="{D5CDD505-2E9C-101B-9397-08002B2CF9AE}" pid="4" name="MSIP_Label_d7faaadc-1a6d-4614-bb5b-a314f37e002a_Method">
    <vt:lpwstr>Standard</vt:lpwstr>
  </property>
  <property fmtid="{D5CDD505-2E9C-101B-9397-08002B2CF9AE}" pid="5" name="MSIP_Label_d7faaadc-1a6d-4614-bb5b-a314f37e002a_Name">
    <vt:lpwstr>Documento en construcción</vt:lpwstr>
  </property>
  <property fmtid="{D5CDD505-2E9C-101B-9397-08002B2CF9AE}" pid="6" name="MSIP_Label_d7faaadc-1a6d-4614-bb5b-a314f37e002a_SiteId">
    <vt:lpwstr>2ff255e1-ae00-44bc-9787-fa8f8061bf68</vt:lpwstr>
  </property>
  <property fmtid="{D5CDD505-2E9C-101B-9397-08002B2CF9AE}" pid="7" name="MSIP_Label_d7faaadc-1a6d-4614-bb5b-a314f37e002a_ActionId">
    <vt:lpwstr>dd48d061-119a-4b03-81bc-7c0890fdf640</vt:lpwstr>
  </property>
  <property fmtid="{D5CDD505-2E9C-101B-9397-08002B2CF9AE}" pid="8" name="MSIP_Label_d7faaadc-1a6d-4614-bb5b-a314f37e002a_ContentBits">
    <vt:lpwstr>0</vt:lpwstr>
  </property>
  <property fmtid="{D5CDD505-2E9C-101B-9397-08002B2CF9AE}" pid="9" name="MSIP_Label_d7faaadc-1a6d-4614-bb5b-a314f37e002a_Tag">
    <vt:lpwstr>10, 3, 0, 1</vt:lpwstr>
  </property>
</Properties>
</file>