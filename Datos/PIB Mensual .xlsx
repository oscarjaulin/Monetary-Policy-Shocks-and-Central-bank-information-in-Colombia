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Datos/"/>
    </mc:Choice>
  </mc:AlternateContent>
  <xr:revisionPtr revIDLastSave="10" documentId="8_{2C33EAD5-29AD-494F-8E58-3B5E9AACF303}" xr6:coauthVersionLast="47" xr6:coauthVersionMax="47" xr10:uidLastSave="{60A1F817-0E43-4505-AB94-B040E2C6B883}"/>
  <bookViews>
    <workbookView xWindow="-28920" yWindow="-120" windowWidth="29040" windowHeight="15720" activeTab="2" xr2:uid="{D66C152D-4435-4D82-9C29-573A21E4DBB1}"/>
  </bookViews>
  <sheets>
    <sheet name="PIB Oferta Constantes Desesta" sheetId="1" r:id="rId1"/>
    <sheet name="ISE Desestacionalizada" sheetId="2" r:id="rId2"/>
    <sheet name="PIB Mensual" sheetId="3" r:id="rId3"/>
  </sheets>
  <definedNames>
    <definedName name="_xlnm._FilterDatabase" localSheetId="0" hidden="1">'PIB Oferta Constantes Desesta'!#REF!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2" i="1"/>
  <c r="D21" i="1"/>
  <c r="D61" i="2"/>
  <c r="D60" i="2" s="1"/>
  <c r="D59" i="2" s="1"/>
  <c r="D58" i="2" s="1"/>
  <c r="D57" i="2" s="1"/>
  <c r="D56" i="2" s="1"/>
  <c r="D55" i="2" s="1"/>
  <c r="D54" i="2" s="1"/>
  <c r="D53" i="2" s="1"/>
  <c r="D52" i="2" s="1"/>
  <c r="D51" i="2" s="1"/>
  <c r="D50" i="2" s="1"/>
  <c r="D49" i="2" s="1"/>
  <c r="D48" i="2" s="1"/>
  <c r="D47" i="2" s="1"/>
  <c r="D46" i="2" s="1"/>
  <c r="D45" i="2" s="1"/>
  <c r="D44" i="2" s="1"/>
  <c r="D43" i="2" s="1"/>
  <c r="D42" i="2" s="1"/>
  <c r="D41" i="2" s="1"/>
  <c r="D40" i="2" s="1"/>
  <c r="D39" i="2" s="1"/>
  <c r="D38" i="2" s="1"/>
  <c r="D37" i="2" s="1"/>
  <c r="D36" i="2" s="1"/>
  <c r="D35" i="2" s="1"/>
  <c r="D34" i="2" s="1"/>
  <c r="D33" i="2" s="1"/>
  <c r="D32" i="2" s="1"/>
  <c r="D31" i="2" s="1"/>
  <c r="D30" i="2" s="1"/>
  <c r="D29" i="2" s="1"/>
  <c r="D28" i="2" s="1"/>
  <c r="D27" i="2" s="1"/>
  <c r="D26" i="2" s="1"/>
  <c r="D25" i="2" s="1"/>
  <c r="D24" i="2" s="1"/>
  <c r="D23" i="2" s="1"/>
  <c r="D22" i="2" s="1"/>
  <c r="D21" i="2" s="1"/>
  <c r="D20" i="2" s="1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D6" i="2" s="1"/>
  <c r="D5" i="2" s="1"/>
  <c r="D4" i="2" s="1"/>
  <c r="D3" i="2" s="1"/>
  <c r="D2" i="2" s="1"/>
  <c r="D20" i="1"/>
  <c r="D19" i="1" l="1"/>
  <c r="D18" i="1" l="1"/>
  <c r="D17" i="1" l="1"/>
  <c r="D16" i="1" l="1"/>
  <c r="D15" i="1" l="1"/>
  <c r="D14" i="1" l="1"/>
  <c r="D13" i="1" l="1"/>
  <c r="D12" i="1" l="1"/>
  <c r="D11" i="1" l="1"/>
  <c r="D10" i="1" l="1"/>
  <c r="D9" i="1" l="1"/>
  <c r="D8" i="1" l="1"/>
  <c r="D7" i="1" l="1"/>
  <c r="D6" i="1" l="1"/>
  <c r="D5" i="1" l="1"/>
  <c r="D4" i="1" l="1"/>
  <c r="D3" i="1" l="1"/>
  <c r="D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Jaulín Méndez Oscar Fernando</author>
  </authors>
  <commentList>
    <comment ref="B1" authorId="0" shapeId="0" xr:uid="{BC8FF058-8DE9-42A6-A86E-6741E9773036}">
      <text>
        <r>
          <rPr>
            <b/>
            <sz val="9"/>
            <color indexed="81"/>
            <rFont val="Tahoma"/>
            <charset val="1"/>
          </rPr>
          <t>Jaulín Méndez Oscar Fernando:</t>
        </r>
        <r>
          <rPr>
            <sz val="9"/>
            <color indexed="81"/>
            <rFont val="Tahoma"/>
            <charset val="1"/>
          </rPr>
          <t xml:space="preserve">
Procedimiento en Sax and Steiner (2013) usando el ISE como variable de referencia.</t>
        </r>
      </text>
    </comment>
  </commentList>
</comments>
</file>

<file path=xl/sharedStrings.xml><?xml version="1.0" encoding="utf-8"?>
<sst xmlns="http://schemas.openxmlformats.org/spreadsheetml/2006/main" count="13" uniqueCount="12">
  <si>
    <t>Fecha</t>
  </si>
  <si>
    <t>PIB Base 2005</t>
  </si>
  <si>
    <t>PIB Base 2015</t>
  </si>
  <si>
    <t xml:space="preserve">PIB Empalme Base 2015 </t>
  </si>
  <si>
    <t>ISE Base 2005</t>
  </si>
  <si>
    <t>ISE Base 2015 (9)</t>
  </si>
  <si>
    <t>ISE Empalme Base 2015</t>
  </si>
  <si>
    <t>ln PIB</t>
  </si>
  <si>
    <t>ln ISE</t>
  </si>
  <si>
    <t>PIB Mensual</t>
  </si>
  <si>
    <t xml:space="preserve"> </t>
  </si>
  <si>
    <t>lnPIB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</si>
</sst>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-* #,##0.00\ _€_-;\-* #,##0.00\ _€_-;_-* &quot;-&quot;??\ _€_-;_-@_-"/>
    <numFmt numFmtId="167" formatCode="_ * #,##0.00_ ;_ * \-#,##0.00_ ;_ * &quot;-&quot;??_ ;_ @_ 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</font>
    <font>
      <sz val="10"/>
      <name val="Times New Roman"/>
      <family val="1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11"/>
      <color theme="10"/>
      <name val="Calibri"/>
      <family val="2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3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5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16" borderId="1" applyNumberFormat="0" applyAlignment="0" applyProtection="0"/>
    <xf numFmtId="0" fontId="12" fillId="16" borderId="1" applyNumberFormat="0" applyAlignment="0" applyProtection="0"/>
    <xf numFmtId="0" fontId="12" fillId="16" borderId="1" applyNumberFormat="0" applyAlignment="0" applyProtection="0"/>
    <xf numFmtId="0" fontId="12" fillId="16" borderId="1" applyNumberFormat="0" applyAlignment="0" applyProtection="0"/>
    <xf numFmtId="0" fontId="13" fillId="17" borderId="2" applyNumberFormat="0" applyAlignment="0" applyProtection="0"/>
    <xf numFmtId="0" fontId="13" fillId="17" borderId="2" applyNumberFormat="0" applyAlignment="0" applyProtection="0"/>
    <xf numFmtId="0" fontId="13" fillId="17" borderId="2" applyNumberFormat="0" applyAlignment="0" applyProtection="0"/>
    <xf numFmtId="0" fontId="13" fillId="17" borderId="2" applyNumberFormat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6" fillId="7" borderId="1" applyNumberFormat="0" applyAlignment="0" applyProtection="0"/>
    <xf numFmtId="0" fontId="16" fillId="7" borderId="1" applyNumberFormat="0" applyAlignment="0" applyProtection="0"/>
    <xf numFmtId="0" fontId="16" fillId="7" borderId="1" applyNumberFormat="0" applyAlignment="0" applyProtection="0"/>
    <xf numFmtId="0" fontId="16" fillId="7" borderId="1" applyNumberFormat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8" fillId="22" borderId="0" applyNumberFormat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4" fillId="0" borderId="0"/>
    <xf numFmtId="0" fontId="2" fillId="23" borderId="4" applyNumberFormat="0" applyFont="0" applyAlignment="0" applyProtection="0"/>
    <xf numFmtId="0" fontId="2" fillId="23" borderId="4" applyNumberFormat="0" applyFont="0" applyAlignment="0" applyProtection="0"/>
    <xf numFmtId="0" fontId="2" fillId="23" borderId="4" applyNumberFormat="0" applyFont="0" applyAlignment="0" applyProtection="0"/>
    <xf numFmtId="0" fontId="2" fillId="23" borderId="4" applyNumberFormat="0" applyFont="0" applyAlignment="0" applyProtection="0"/>
    <xf numFmtId="0" fontId="2" fillId="23" borderId="4" applyNumberFormat="0" applyFont="0" applyAlignment="0" applyProtection="0"/>
    <xf numFmtId="0" fontId="19" fillId="16" borderId="5" applyNumberFormat="0" applyAlignment="0" applyProtection="0"/>
    <xf numFmtId="0" fontId="19" fillId="16" borderId="5" applyNumberFormat="0" applyAlignment="0" applyProtection="0"/>
    <xf numFmtId="0" fontId="19" fillId="16" borderId="5" applyNumberFormat="0" applyAlignment="0" applyProtection="0"/>
    <xf numFmtId="0" fontId="19" fillId="16" borderId="5" applyNumberFormat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9" applyNumberFormat="0" applyFill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230">
    <cellStyle name="20% - Énfasis1 2" xfId="6" xr:uid="{BC84E406-4C1D-46E7-A675-063D6414D139}"/>
    <cellStyle name="20% - Énfasis1 2 2" xfId="7" xr:uid="{835533BF-9617-45B8-A0FC-E61C04278056}"/>
    <cellStyle name="20% - Énfasis1 3" xfId="8" xr:uid="{2886B2F1-CD25-4632-83DB-48CDE533402F}"/>
    <cellStyle name="20% - Énfasis1 4" xfId="9" xr:uid="{AA34069C-11FE-403C-B58E-984EEBB16C74}"/>
    <cellStyle name="20% - Énfasis1 5" xfId="10" xr:uid="{5AFF1038-95B5-4284-A9C2-23F84E3155E1}"/>
    <cellStyle name="20% - Énfasis2 2" xfId="11" xr:uid="{0528288B-8E49-41D9-9824-9954CB677A26}"/>
    <cellStyle name="20% - Énfasis2 2 2" xfId="12" xr:uid="{6BFB5F50-2E81-4C29-B47E-E6D10A59A5CF}"/>
    <cellStyle name="20% - Énfasis2 3" xfId="13" xr:uid="{DDCF0AC1-97A8-46DB-8026-ACC0EE289FDE}"/>
    <cellStyle name="20% - Énfasis2 4" xfId="14" xr:uid="{0C0B2822-E8F5-4D12-A1BE-2D345D722014}"/>
    <cellStyle name="20% - Énfasis2 5" xfId="15" xr:uid="{05B1AFAA-9CE7-44A7-B3F2-B28D82B0516B}"/>
    <cellStyle name="20% - Énfasis3 2" xfId="16" xr:uid="{011A5F24-B1B9-403F-8D74-EE461678C6F3}"/>
    <cellStyle name="20% - Énfasis3 2 2" xfId="17" xr:uid="{7D6DB3AB-4C7E-494B-ACEC-5CA94BA9B1F3}"/>
    <cellStyle name="20% - Énfasis3 3" xfId="18" xr:uid="{34B91E62-C263-4CF1-9FC3-68DA04A05241}"/>
    <cellStyle name="20% - Énfasis3 4" xfId="19" xr:uid="{03348888-4FD8-4550-A434-BBBE11F4C5C7}"/>
    <cellStyle name="20% - Énfasis3 5" xfId="20" xr:uid="{69618527-3620-4517-919B-22BB51EB53BA}"/>
    <cellStyle name="20% - Énfasis4 2" xfId="21" xr:uid="{C596245C-0934-40AA-BBCE-393F138D9E39}"/>
    <cellStyle name="20% - Énfasis4 2 2" xfId="22" xr:uid="{9E1876D7-C5AF-4EA5-AB89-31BEC63C36CE}"/>
    <cellStyle name="20% - Énfasis4 3" xfId="23" xr:uid="{CEC73B6B-F183-4F42-BEE9-BF191665F826}"/>
    <cellStyle name="20% - Énfasis4 4" xfId="24" xr:uid="{4808E67C-DB98-4ACE-A2BC-F7D2CF12EF1E}"/>
    <cellStyle name="20% - Énfasis4 5" xfId="25" xr:uid="{85EA318D-34A2-4B86-85CF-68F95C7F27F8}"/>
    <cellStyle name="20% - Énfasis5 2" xfId="26" xr:uid="{BC9068EC-8DFB-4A08-841C-BD603B0F4B0F}"/>
    <cellStyle name="20% - Énfasis5 2 2" xfId="27" xr:uid="{54B4F30C-100B-420D-9867-0596801850BD}"/>
    <cellStyle name="20% - Énfasis5 3" xfId="28" xr:uid="{3FC2B847-B40C-43A2-8C93-8536C41FC8B1}"/>
    <cellStyle name="20% - Énfasis5 4" xfId="29" xr:uid="{93CDA979-A7DA-4B87-A0FB-E79C8F2FEA81}"/>
    <cellStyle name="20% - Énfasis5 5" xfId="30" xr:uid="{1522BF12-AD57-445F-91C0-B4C2454FDF20}"/>
    <cellStyle name="20% - Énfasis6 2" xfId="31" xr:uid="{6259C084-CE81-4B3C-864F-15817433877A}"/>
    <cellStyle name="20% - Énfasis6 2 2" xfId="32" xr:uid="{EAC8B8FC-B441-4E98-8481-C9650C1192C0}"/>
    <cellStyle name="20% - Énfasis6 3" xfId="33" xr:uid="{F1F599B3-6A64-45C9-9097-C29677386F3F}"/>
    <cellStyle name="20% - Énfasis6 4" xfId="34" xr:uid="{3EEE308C-2DF5-4F58-89F5-C48E4A0AA0D3}"/>
    <cellStyle name="20% - Énfasis6 5" xfId="35" xr:uid="{E0640436-D59E-42AD-80C9-F6E68AA5AFFD}"/>
    <cellStyle name="40% - Énfasis1 2" xfId="36" xr:uid="{95F00994-BB1C-4F0F-AE2F-6BE51280970B}"/>
    <cellStyle name="40% - Énfasis1 2 2" xfId="37" xr:uid="{1A89D0FA-8C04-433D-8A00-1C6AFBF0E2BE}"/>
    <cellStyle name="40% - Énfasis1 3" xfId="38" xr:uid="{DA021EAA-406F-4867-99F5-320DE789C872}"/>
    <cellStyle name="40% - Énfasis1 4" xfId="39" xr:uid="{0F6F99DF-7AB5-4D21-AD97-4E9142E8C8B8}"/>
    <cellStyle name="40% - Énfasis1 5" xfId="40" xr:uid="{1186BA90-C2AD-4830-AE0B-856E88C05EB4}"/>
    <cellStyle name="40% - Énfasis2 2" xfId="41" xr:uid="{218C488E-28C8-4114-AA5F-7159DD41F37F}"/>
    <cellStyle name="40% - Énfasis2 2 2" xfId="42" xr:uid="{82E6188E-45D2-4FF5-89E9-75EA9DF941FD}"/>
    <cellStyle name="40% - Énfasis2 3" xfId="43" xr:uid="{6F7597D4-A899-41D6-88D8-6AC08EAA40B3}"/>
    <cellStyle name="40% - Énfasis2 4" xfId="44" xr:uid="{D42B255D-7DED-4218-A479-6D400287837F}"/>
    <cellStyle name="40% - Énfasis2 5" xfId="45" xr:uid="{EB39BDC0-49CC-4591-836A-65A286834039}"/>
    <cellStyle name="40% - Énfasis3 2" xfId="46" xr:uid="{3C224809-FBFD-44A8-81D1-6759C2F1DDB6}"/>
    <cellStyle name="40% - Énfasis3 2 2" xfId="47" xr:uid="{6A56093B-DD4B-4410-AD4E-48F9D10CFCFA}"/>
    <cellStyle name="40% - Énfasis3 3" xfId="48" xr:uid="{2F28C81B-7622-4BE0-B295-E11D66335233}"/>
    <cellStyle name="40% - Énfasis3 4" xfId="49" xr:uid="{F17E7AC7-D32F-475E-B149-50DC99024F3D}"/>
    <cellStyle name="40% - Énfasis3 5" xfId="50" xr:uid="{A3993928-C16A-4B41-AAC4-90FB06B577E7}"/>
    <cellStyle name="40% - Énfasis4 2" xfId="51" xr:uid="{30206F02-F631-46F3-99F2-7F781A127029}"/>
    <cellStyle name="40% - Énfasis4 2 2" xfId="52" xr:uid="{601A4459-49C8-4599-AE61-1F48874385CE}"/>
    <cellStyle name="40% - Énfasis4 3" xfId="53" xr:uid="{2BE65A82-CCA2-4846-877B-ADAE3312EF4F}"/>
    <cellStyle name="40% - Énfasis4 4" xfId="54" xr:uid="{10719D4D-97A0-4468-99CF-3D3CC2BBC42A}"/>
    <cellStyle name="40% - Énfasis4 5" xfId="55" xr:uid="{840E055E-2F85-43E1-A8FA-A5D7DC3179EA}"/>
    <cellStyle name="40% - Énfasis5 2" xfId="56" xr:uid="{0B6DD8AD-7433-43EA-8C09-E7F95F7EE358}"/>
    <cellStyle name="40% - Énfasis5 2 2" xfId="57" xr:uid="{FC8B4F80-D9BE-4CB7-BF33-EB98EAF6B209}"/>
    <cellStyle name="40% - Énfasis5 3" xfId="58" xr:uid="{9CDB3636-5C91-4734-BED0-2E7FAA16B678}"/>
    <cellStyle name="40% - Énfasis5 4" xfId="59" xr:uid="{ED4EE5AF-D005-42AB-BD34-DD751E14AE1A}"/>
    <cellStyle name="40% - Énfasis5 5" xfId="60" xr:uid="{D3D9CB16-D38A-47F2-B6EF-C75100CDFBAA}"/>
    <cellStyle name="40% - Énfasis6 2" xfId="61" xr:uid="{EF9877AE-2C4F-4301-B80D-C918E69326F8}"/>
    <cellStyle name="40% - Énfasis6 2 2" xfId="62" xr:uid="{78F29046-A0A5-4105-8C34-5DC543C275EA}"/>
    <cellStyle name="40% - Énfasis6 3" xfId="63" xr:uid="{07AEC610-C6C4-4631-B6E9-24134649C7C0}"/>
    <cellStyle name="40% - Énfasis6 4" xfId="64" xr:uid="{3D95FECE-A826-4BBF-A6E7-5A94B02A7802}"/>
    <cellStyle name="40% - Énfasis6 5" xfId="65" xr:uid="{B86EE4AB-B016-4685-8473-89BD6F839F4D}"/>
    <cellStyle name="60% - Énfasis1 2" xfId="66" xr:uid="{33698A4C-3C22-4058-BC1B-3B348AE4042B}"/>
    <cellStyle name="60% - Énfasis1 3" xfId="67" xr:uid="{72684A96-D26A-44F5-9C73-9DCB94F33E88}"/>
    <cellStyle name="60% - Énfasis1 4" xfId="68" xr:uid="{14B66A1B-2B86-45FC-A538-D84CD84FF00C}"/>
    <cellStyle name="60% - Énfasis1 5" xfId="69" xr:uid="{DE95DFFB-C29A-4C05-B256-B5879831C4A5}"/>
    <cellStyle name="60% - Énfasis2 2" xfId="70" xr:uid="{120FDAA5-C026-4288-B954-67C1C974469F}"/>
    <cellStyle name="60% - Énfasis2 3" xfId="71" xr:uid="{2871F81D-816B-451C-B921-1265A77CA899}"/>
    <cellStyle name="60% - Énfasis2 4" xfId="72" xr:uid="{8ED481F3-726A-42FF-9D76-82360FCB8580}"/>
    <cellStyle name="60% - Énfasis2 5" xfId="73" xr:uid="{E3DE75BF-6E44-4CE8-9504-7F91FC68B0DA}"/>
    <cellStyle name="60% - Énfasis3 2" xfId="74" xr:uid="{94FB1FFF-D427-4AD2-8035-1E36EB16FCE8}"/>
    <cellStyle name="60% - Énfasis3 3" xfId="75" xr:uid="{08478A86-91C6-4812-84EE-D3B45BED9680}"/>
    <cellStyle name="60% - Énfasis3 4" xfId="76" xr:uid="{8DE3F1B6-7DFB-4FE2-9123-2302D8924AE5}"/>
    <cellStyle name="60% - Énfasis3 5" xfId="77" xr:uid="{67153EBF-BE85-49FE-9CB5-E8E6B7DD0F5E}"/>
    <cellStyle name="60% - Énfasis4 2" xfId="78" xr:uid="{B241B789-4AF6-4ED1-BA62-1E2CCDA7C9A0}"/>
    <cellStyle name="60% - Énfasis4 3" xfId="79" xr:uid="{0F0866C7-4024-4B64-A233-EE9A42E44E7E}"/>
    <cellStyle name="60% - Énfasis4 4" xfId="80" xr:uid="{6C83D3A1-7124-40A8-82C8-35B4B9E1EDFD}"/>
    <cellStyle name="60% - Énfasis4 5" xfId="81" xr:uid="{1F028D11-3246-45F3-87B3-43AFDB72D8F1}"/>
    <cellStyle name="60% - Énfasis5 2" xfId="82" xr:uid="{B9E2E609-C122-4447-B6D8-D6C4D72DEB4F}"/>
    <cellStyle name="60% - Énfasis5 3" xfId="83" xr:uid="{08AB06CC-AEBA-43A1-B730-A3DEB0D29554}"/>
    <cellStyle name="60% - Énfasis5 4" xfId="84" xr:uid="{38CD5F06-38CB-410D-8A7B-99208E3095A4}"/>
    <cellStyle name="60% - Énfasis5 5" xfId="85" xr:uid="{1DBA6ECA-5FFF-4998-B7DD-33CD767ECAFB}"/>
    <cellStyle name="60% - Énfasis6 2" xfId="86" xr:uid="{2A8205BC-98D7-488E-B4D8-B9A9435DB60E}"/>
    <cellStyle name="60% - Énfasis6 3" xfId="87" xr:uid="{1E4F2BA8-871F-4AF8-8500-FEBC1275D7B3}"/>
    <cellStyle name="60% - Énfasis6 4" xfId="88" xr:uid="{BFFAB7AD-94EF-4641-930E-FC6156085DEB}"/>
    <cellStyle name="60% - Énfasis6 5" xfId="89" xr:uid="{FD7FE3F6-EA19-4EB7-97E6-C680288C84E1}"/>
    <cellStyle name="Buena 2" xfId="90" xr:uid="{D4806B89-9474-4452-860A-C689DD5F98D1}"/>
    <cellStyle name="Buena 3" xfId="91" xr:uid="{BC098671-404D-4E27-A15E-4406C2D5CAB2}"/>
    <cellStyle name="Buena 4" xfId="92" xr:uid="{5105DA80-0AB4-430F-8209-484B5532875E}"/>
    <cellStyle name="Buena 5" xfId="93" xr:uid="{5254F76A-ED17-4BB3-B70F-49677057E10A}"/>
    <cellStyle name="Cálculo 2" xfId="94" xr:uid="{2B2153B3-A9CE-4B6F-910B-ED6EF8366139}"/>
    <cellStyle name="Cálculo 3" xfId="95" xr:uid="{D8FB9BD4-ED52-4E06-B87A-A0D3501E81C7}"/>
    <cellStyle name="Cálculo 4" xfId="96" xr:uid="{B2D61611-4EB9-40A9-9B87-AA5E1E0EA401}"/>
    <cellStyle name="Cálculo 5" xfId="97" xr:uid="{70AED251-8FC2-4EB9-89CB-6BC3570748B1}"/>
    <cellStyle name="Celda de comprobación 2" xfId="98" xr:uid="{1609A205-2F2C-453A-937B-98F8A37F250A}"/>
    <cellStyle name="Celda de comprobación 3" xfId="99" xr:uid="{28F33551-9161-4CE5-B98C-B74F93CF2D35}"/>
    <cellStyle name="Celda de comprobación 4" xfId="100" xr:uid="{E6895C8B-AD3E-4861-879B-FC1B4F09C369}"/>
    <cellStyle name="Celda de comprobación 5" xfId="101" xr:uid="{03C9D010-DD97-4C94-BAB8-566A72962D94}"/>
    <cellStyle name="Celda vinculada 2" xfId="102" xr:uid="{08E09157-DE48-41C9-AF4F-3FED3AE2807D}"/>
    <cellStyle name="Celda vinculada 3" xfId="103" xr:uid="{7E22D8A4-30A1-4C27-B04B-92851C571E07}"/>
    <cellStyle name="Celda vinculada 4" xfId="104" xr:uid="{794A256C-20A9-42FA-9EA3-A77EDBD6C762}"/>
    <cellStyle name="Celda vinculada 5" xfId="105" xr:uid="{272C1EAA-C058-417B-81C9-C1FB630B6C4A}"/>
    <cellStyle name="Encabezado 4 2" xfId="106" xr:uid="{93652F6E-27B8-45EA-BE30-CB8663F06AEE}"/>
    <cellStyle name="Encabezado 4 3" xfId="107" xr:uid="{07836967-2C37-4687-ABC9-6726B07D9714}"/>
    <cellStyle name="Encabezado 4 4" xfId="108" xr:uid="{524EDBDE-E81A-4CF1-9F5D-A478C48E3CC4}"/>
    <cellStyle name="Encabezado 4 5" xfId="109" xr:uid="{1044EAEB-B057-44F3-9984-36B88CF755B3}"/>
    <cellStyle name="Énfasis1 2" xfId="110" xr:uid="{160C6FDA-5A34-4836-8820-D4AADD04770E}"/>
    <cellStyle name="Énfasis1 3" xfId="111" xr:uid="{2AB0D9DD-99E6-436D-8949-26895B5E0B3F}"/>
    <cellStyle name="Énfasis1 4" xfId="112" xr:uid="{EDCC12AD-0F64-432D-925D-F2915515658A}"/>
    <cellStyle name="Énfasis1 5" xfId="113" xr:uid="{D90D81B3-2932-4FC8-9C72-FF058583516E}"/>
    <cellStyle name="Énfasis2 2" xfId="114" xr:uid="{93EF353C-2854-4DA5-BE0A-F1F2DBEBE864}"/>
    <cellStyle name="Énfasis2 3" xfId="115" xr:uid="{EFC2E62F-10C7-465A-A8F1-0A30F5CC9C63}"/>
    <cellStyle name="Énfasis2 4" xfId="116" xr:uid="{62127414-FDBC-409D-AB59-882A5507849B}"/>
    <cellStyle name="Énfasis2 5" xfId="117" xr:uid="{E61CC95A-4A6B-4D51-A52F-783F505E50E9}"/>
    <cellStyle name="Énfasis3 2" xfId="118" xr:uid="{75753772-1353-457B-8366-27FC47796687}"/>
    <cellStyle name="Énfasis3 3" xfId="119" xr:uid="{817E1989-D216-4150-8F4A-0EB3085B2515}"/>
    <cellStyle name="Énfasis3 4" xfId="120" xr:uid="{E6ED936E-4763-4BED-8EE3-2BD55104A752}"/>
    <cellStyle name="Énfasis3 5" xfId="121" xr:uid="{B67911B6-7598-4F78-B942-DF0A0F5A29BD}"/>
    <cellStyle name="Énfasis4 2" xfId="122" xr:uid="{F6C787C5-4DFF-43C6-A976-87B2DC3070BE}"/>
    <cellStyle name="Énfasis4 3" xfId="123" xr:uid="{3404020A-EF1A-4EEB-80D8-E85D99BD785C}"/>
    <cellStyle name="Énfasis4 4" xfId="124" xr:uid="{214C91A3-1DC0-4347-889B-C52C7546B5B1}"/>
    <cellStyle name="Énfasis4 5" xfId="125" xr:uid="{5A3013DE-7A82-4A50-AF7B-4D37E0BE0108}"/>
    <cellStyle name="Énfasis5 2" xfId="126" xr:uid="{FCAA99DB-822F-4F51-9521-CE4AC20C2792}"/>
    <cellStyle name="Énfasis5 3" xfId="127" xr:uid="{634EB7E6-143D-4B1D-A692-4BBA2A0D911E}"/>
    <cellStyle name="Énfasis5 4" xfId="128" xr:uid="{896E9C92-136C-47BC-AD3B-227B012F866B}"/>
    <cellStyle name="Énfasis5 5" xfId="129" xr:uid="{0E5EE1FD-AE7C-408E-8963-48220292B577}"/>
    <cellStyle name="Énfasis6 2" xfId="130" xr:uid="{D4DB72DA-098C-41D2-AE61-E9F46DE60D44}"/>
    <cellStyle name="Énfasis6 3" xfId="131" xr:uid="{80AC8FEB-BFFD-4DF2-A367-F5A9D948B77A}"/>
    <cellStyle name="Énfasis6 4" xfId="132" xr:uid="{E3009750-C768-4C36-B2B1-DF8911813D62}"/>
    <cellStyle name="Énfasis6 5" xfId="133" xr:uid="{03D54E61-44F7-45A5-B940-DFA928AB0E9E}"/>
    <cellStyle name="Entrada 2" xfId="134" xr:uid="{B9D3EB97-5F09-4BE3-B1A3-6DE705A4CCFE}"/>
    <cellStyle name="Entrada 3" xfId="135" xr:uid="{E3F5C64D-0931-4F77-B3E9-64CD3CC2D531}"/>
    <cellStyle name="Entrada 4" xfId="136" xr:uid="{31EB6D44-8616-4AD6-9C10-9507A2264642}"/>
    <cellStyle name="Entrada 5" xfId="137" xr:uid="{7A1EF8AA-83AC-4EFB-A34F-5CC5A1096261}"/>
    <cellStyle name="Hipervínculo 2" xfId="3" xr:uid="{D2B6D85F-DBDE-4C91-B500-F74A74F11395}"/>
    <cellStyle name="Hipervínculo 2 2" xfId="138" xr:uid="{9C921759-6D44-4D9D-8B17-BE8CBC076974}"/>
    <cellStyle name="Incorrecto 2" xfId="139" xr:uid="{6A49F508-68B8-4CDE-9DB8-10DC3CBF9F40}"/>
    <cellStyle name="Incorrecto 3" xfId="140" xr:uid="{97095B24-DE1B-4FCA-9EC2-517B7025C6DC}"/>
    <cellStyle name="Incorrecto 4" xfId="141" xr:uid="{EFBC41C3-D963-49DB-962D-7B4C38E1CA71}"/>
    <cellStyle name="Incorrecto 5" xfId="142" xr:uid="{9F9ADC74-DB1C-46EA-ADE3-9524D503F5F0}"/>
    <cellStyle name="Millares 2" xfId="2" xr:uid="{EA3E239A-70CF-44AC-968D-A9E6DDAE2A91}"/>
    <cellStyle name="Millares 2 2" xfId="144" xr:uid="{75F2DBD1-6F40-463A-AB29-28B28712A59E}"/>
    <cellStyle name="Millares 2 3" xfId="145" xr:uid="{D8D9B539-7039-4033-BEF0-99436FE03CAA}"/>
    <cellStyle name="Millares 2 4" xfId="143" xr:uid="{C56A17DC-4786-453D-9C68-0E278C0D5DF6}"/>
    <cellStyle name="Millares 3" xfId="146" xr:uid="{A84EBB31-396C-4AA3-ACF0-6A07BF0A93BA}"/>
    <cellStyle name="Millares 4" xfId="147" xr:uid="{8ED5EAFE-A28F-4174-9472-A94AC8AA6EEE}"/>
    <cellStyle name="Millares 5" xfId="148" xr:uid="{BFC4E170-FD4C-40C3-917D-3C9E279A02F0}"/>
    <cellStyle name="Millares 5 2" xfId="149" xr:uid="{A8669E3C-1E98-4563-B249-32C5C0762A14}"/>
    <cellStyle name="Millares 6" xfId="150" xr:uid="{6E793507-2BEC-42AB-BA76-F3225EC7879D}"/>
    <cellStyle name="Millares 7" xfId="151" xr:uid="{F8C6D3D3-3BAE-43AF-B897-031405949BD2}"/>
    <cellStyle name="Millares 7 2" xfId="152" xr:uid="{64D8E4B1-5507-43C8-917F-E0FAE55855B7}"/>
    <cellStyle name="Millares 8" xfId="153" xr:uid="{4D72B96B-6177-40D6-88A1-7E8BD00A25C7}"/>
    <cellStyle name="Millares 8 2" xfId="154" xr:uid="{DC378735-13C5-4FD5-8837-FA79D15713CC}"/>
    <cellStyle name="Neutral 2" xfId="155" xr:uid="{0BBBEC47-BA8D-4EB2-94F2-F8CBE4841A40}"/>
    <cellStyle name="Normal" xfId="0" builtinId="0"/>
    <cellStyle name="Normal 2" xfId="156" xr:uid="{95DCD7AD-A912-4540-B852-FB36875D2223}"/>
    <cellStyle name="Normal 2 2" xfId="157" xr:uid="{9A1964EC-FF6D-46EB-9F06-123825E76C3B}"/>
    <cellStyle name="Normal 2 2 2" xfId="158" xr:uid="{D4DA8A88-7D0E-40BB-9CDD-5B2B243B5DBA}"/>
    <cellStyle name="Normal 2 3" xfId="4" xr:uid="{C4366BA0-3EE7-4ED9-A972-0B4149CC2717}"/>
    <cellStyle name="Normal 2_Cuadros base 2000 (Compendio) 07 10 2010" xfId="159" xr:uid="{47BA076B-0173-4214-B6C9-118D6F9133A1}"/>
    <cellStyle name="Normal 3" xfId="1" xr:uid="{9508732E-DEC6-47F8-B60A-085E7D7968EE}"/>
    <cellStyle name="Normal 3 10" xfId="160" xr:uid="{ABEB3821-FB03-4C0E-BEDD-ED915066D133}"/>
    <cellStyle name="Normal 3 11" xfId="161" xr:uid="{BB9FCC78-A937-4EEF-8827-7F9CD57BA59F}"/>
    <cellStyle name="Normal 3 12" xfId="162" xr:uid="{8E7F3019-6121-4F7C-990B-61D425F5A421}"/>
    <cellStyle name="Normal 3 13" xfId="163" xr:uid="{6926B79F-F9C4-4856-AF9A-1B4287128C12}"/>
    <cellStyle name="Normal 3 14" xfId="164" xr:uid="{7EF9A402-8A9B-44D0-86A8-433532B989FC}"/>
    <cellStyle name="Normal 3 15" xfId="165" xr:uid="{C8B6EEB6-37C2-4483-B1B9-66CE5D48A4C0}"/>
    <cellStyle name="Normal 3 16" xfId="166" xr:uid="{A0CAB324-B7C5-4D9B-9EF8-7C6ABD2DB704}"/>
    <cellStyle name="Normal 3 17" xfId="167" xr:uid="{9D5B955F-5AA7-4AEE-9A3A-50EFCC99B056}"/>
    <cellStyle name="Normal 3 18" xfId="168" xr:uid="{557CCE37-F4FF-4EA8-AEAB-B23601EE1D25}"/>
    <cellStyle name="Normal 3 19" xfId="169" xr:uid="{B2948CD7-DE8D-4E1C-8DDE-237B2175539B}"/>
    <cellStyle name="Normal 3 2" xfId="170" xr:uid="{D59A1E6D-50D4-4F86-872F-DA67BDBAF53B}"/>
    <cellStyle name="Normal 3 2 2" xfId="171" xr:uid="{6825317C-8A3E-4670-AC98-EAFA95190B19}"/>
    <cellStyle name="Normal 3 2_Cuadros de publicación base 2005_16 10 2010" xfId="172" xr:uid="{FC325586-B136-4EBE-826B-3811AF3B6A02}"/>
    <cellStyle name="Normal 3 20" xfId="173" xr:uid="{3D2C44E4-E86A-4C53-B159-1E5AAC92BD79}"/>
    <cellStyle name="Normal 3 21" xfId="174" xr:uid="{0C5BA79D-FD2F-4BB2-AA30-8FE1707210CB}"/>
    <cellStyle name="Normal 3 22" xfId="175" xr:uid="{C619F872-0D82-40AA-937F-25CF57E532EF}"/>
    <cellStyle name="Normal 3 23" xfId="176" xr:uid="{6E657C99-20A0-4878-B6F6-5BA0ED3FA074}"/>
    <cellStyle name="Normal 3 24" xfId="177" xr:uid="{BC173A2E-5344-42B4-8CF4-C45A0A537681}"/>
    <cellStyle name="Normal 3 25" xfId="178" xr:uid="{23C76EFE-9825-4EC2-A671-8D89740BF4D9}"/>
    <cellStyle name="Normal 3 26" xfId="179" xr:uid="{968280C1-F43F-41AA-9787-DAC640868B36}"/>
    <cellStyle name="Normal 3 27" xfId="180" xr:uid="{0A6368DA-1DCD-4DFC-A106-6F3AF33D07C4}"/>
    <cellStyle name="Normal 3 28" xfId="181" xr:uid="{CE86906E-399C-477F-87AC-2F240E61011D}"/>
    <cellStyle name="Normal 3 29" xfId="182" xr:uid="{6CDB4C47-4034-4B76-B631-9908BC52B536}"/>
    <cellStyle name="Normal 3 3" xfId="183" xr:uid="{1B1B5058-54D5-48F2-A3CB-4A374B1E1FF3}"/>
    <cellStyle name="Normal 3 4" xfId="184" xr:uid="{B457E103-8509-406F-9728-681AE4FFB726}"/>
    <cellStyle name="Normal 3 5" xfId="185" xr:uid="{BA865F83-A0B7-44F9-A56B-6279324085F0}"/>
    <cellStyle name="Normal 3 6" xfId="186" xr:uid="{90A0472E-6BC3-46A2-8EB0-780552B2F2BD}"/>
    <cellStyle name="Normal 3 7" xfId="187" xr:uid="{90C5BDC7-67EA-452E-A054-3FD921B3C98F}"/>
    <cellStyle name="Normal 3 8" xfId="188" xr:uid="{13B89DF5-6A8F-4161-905C-12446489169C}"/>
    <cellStyle name="Normal 3 9" xfId="189" xr:uid="{F29EBFCF-3C2D-43ED-8561-FF784AE59638}"/>
    <cellStyle name="Normal 3_Cuadros base 2000 (Compendio) 07 10 2010" xfId="190" xr:uid="{0B9EAA8A-1C69-426B-8FE9-8222D77D4C0A}"/>
    <cellStyle name="Normal 4" xfId="191" xr:uid="{9DA140A7-5143-4568-8CB7-27CBB3216295}"/>
    <cellStyle name="Normal 4 2" xfId="192" xr:uid="{B99E7034-6DBA-4635-94C3-F1953667EFD3}"/>
    <cellStyle name="Normal 5" xfId="5" xr:uid="{DF9E2649-BF1F-4E05-8DED-675FFA1B587C}"/>
    <cellStyle name="Notas 2" xfId="193" xr:uid="{A24D40E6-51E0-4F1A-A784-B8874C1FA425}"/>
    <cellStyle name="Notas 2 2" xfId="194" xr:uid="{16CC436E-EF24-4985-A405-267DDE81968E}"/>
    <cellStyle name="Notas 3" xfId="195" xr:uid="{653A1184-643B-4F50-B82F-A81915522C11}"/>
    <cellStyle name="Notas 4" xfId="196" xr:uid="{B29BE325-4914-4961-9D95-121A6D38F3C8}"/>
    <cellStyle name="Notas 5" xfId="197" xr:uid="{906D2D5F-E037-4B28-AAC8-2E18D37E39D1}"/>
    <cellStyle name="Salida 2" xfId="198" xr:uid="{7E370E30-4975-407E-8821-B31D13B3D680}"/>
    <cellStyle name="Salida 3" xfId="199" xr:uid="{82670E2A-9F5A-41BF-9A14-7FD48C089043}"/>
    <cellStyle name="Salida 4" xfId="200" xr:uid="{234082B8-8621-4298-AE88-803ACCC49382}"/>
    <cellStyle name="Salida 5" xfId="201" xr:uid="{0C1B258A-C27E-45BD-A402-92671008E3C3}"/>
    <cellStyle name="Texto de advertencia 2" xfId="202" xr:uid="{365679CD-AA42-40EF-866E-6B10BB3C1368}"/>
    <cellStyle name="Texto de advertencia 2 2" xfId="203" xr:uid="{B6854FE1-E495-45D8-840B-8C660844D28C}"/>
    <cellStyle name="Texto de advertencia 3" xfId="204" xr:uid="{6912776D-8204-49F6-958F-29C45EF5A784}"/>
    <cellStyle name="Texto de advertencia 4" xfId="205" xr:uid="{569CEBAE-6C51-46A4-B2ED-E551A7EBFD94}"/>
    <cellStyle name="Texto de advertencia 5" xfId="206" xr:uid="{C7DD3977-F670-4A23-BDEE-47A55DAE0816}"/>
    <cellStyle name="Texto explicativo 2" xfId="207" xr:uid="{672A7673-D52D-4D19-907C-113CBCA3A52C}"/>
    <cellStyle name="Texto explicativo 3" xfId="208" xr:uid="{73627AB5-68A4-463B-A76C-B270A057E97A}"/>
    <cellStyle name="Texto explicativo 4" xfId="209" xr:uid="{DB5E0975-712E-4F2C-95D7-09376B1CE462}"/>
    <cellStyle name="Texto explicativo 5" xfId="210" xr:uid="{43469EFB-46A1-4C49-9302-9D79C7F60F84}"/>
    <cellStyle name="Título 1 2" xfId="211" xr:uid="{BA5687B4-0B1E-4CAC-BF2F-40D19B6090C0}"/>
    <cellStyle name="Título 1 3" xfId="212" xr:uid="{0773C267-F5A3-4961-B69D-143B58DB6B27}"/>
    <cellStyle name="Título 1 4" xfId="213" xr:uid="{79BF87D7-7044-431B-A925-55CA8DC99792}"/>
    <cellStyle name="Título 1 5" xfId="214" xr:uid="{83811557-298E-4361-8F52-DD20734CAF80}"/>
    <cellStyle name="Título 2 2" xfId="215" xr:uid="{40ABF771-9037-4704-9BE5-9CBAEF2B4093}"/>
    <cellStyle name="Título 2 3" xfId="216" xr:uid="{10E22B17-4058-4768-9D1F-8F9CAC3B7F9A}"/>
    <cellStyle name="Título 2 4" xfId="217" xr:uid="{85DA6249-53E1-47D3-88D5-31216AF33A99}"/>
    <cellStyle name="Título 2 5" xfId="218" xr:uid="{18DF0619-C5C9-4D8D-9517-1E2C90179FDC}"/>
    <cellStyle name="Título 3 2" xfId="219" xr:uid="{D9C4CE7F-B209-4786-AD30-BB36BD72DD42}"/>
    <cellStyle name="Título 3 3" xfId="220" xr:uid="{274978E6-3AB5-4D06-9B88-08581AEA4E59}"/>
    <cellStyle name="Título 3 4" xfId="221" xr:uid="{72CE8CE6-DC27-4B7C-90C6-70941850982F}"/>
    <cellStyle name="Título 3 5" xfId="222" xr:uid="{B718F51F-DF36-4D8E-A8D0-000547450660}"/>
    <cellStyle name="Título 4" xfId="223" xr:uid="{62DFAB40-0FD0-449C-AD53-B352368DF019}"/>
    <cellStyle name="Título 5" xfId="224" xr:uid="{99A50955-93BE-4BF6-A7C4-7407BA096452}"/>
    <cellStyle name="Título 6" xfId="225" xr:uid="{017A64A8-A920-4F7D-AFBE-D03C8DBB88C7}"/>
    <cellStyle name="Título 7" xfId="226" xr:uid="{C21F4057-9D22-4D18-B755-EDE572ED5400}"/>
    <cellStyle name="Título 8" xfId="227" xr:uid="{EC0D7D5B-BD16-4769-8277-6A7038FDB8A2}"/>
    <cellStyle name="Título 9" xfId="228" xr:uid="{27EFFBD2-BE54-4334-AA73-537FA4560E5A}"/>
    <cellStyle name="Total 2" xfId="229" xr:uid="{D74ED414-D783-4D2E-BA58-B7AAC62F3F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976F-7BCF-4213-9984-BE21DDC2B1FC}">
  <dimension ref="A1:E114"/>
  <sheetViews>
    <sheetView zoomScale="96" workbookViewId="0">
      <selection activeCell="D2" sqref="D2"/>
    </sheetView>
  </sheetViews>
  <sheetFormatPr baseColWidth="10" defaultColWidth="11.453125" defaultRowHeight="14.5" x14ac:dyDescent="0.35"/>
  <cols>
    <col min="2" max="2" width="13" bestFit="1" customWidth="1"/>
    <col min="3" max="3" width="13" customWidth="1"/>
    <col min="4" max="4" width="22.453125" bestFit="1" customWidth="1"/>
    <col min="5" max="5" width="2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35">
      <c r="A2" s="1">
        <v>36586</v>
      </c>
      <c r="B2" s="2">
        <v>70997</v>
      </c>
      <c r="C2" s="2"/>
      <c r="D2" s="7">
        <f t="shared" ref="D2:D21" si="0">B2*D3/B3</f>
        <v>107195.25686687617</v>
      </c>
      <c r="E2" s="8">
        <f>LN(D2)</f>
        <v>11.582407280995159</v>
      </c>
    </row>
    <row r="3" spans="1:5" x14ac:dyDescent="0.35">
      <c r="A3" s="1">
        <v>36678</v>
      </c>
      <c r="B3" s="2">
        <v>71019</v>
      </c>
      <c r="C3" s="2"/>
      <c r="D3" s="7">
        <f t="shared" si="0"/>
        <v>107228.47370210965</v>
      </c>
      <c r="E3" s="8">
        <f t="shared" ref="E3:E66" si="1">LN(D3)</f>
        <v>11.582717105242793</v>
      </c>
    </row>
    <row r="4" spans="1:5" x14ac:dyDescent="0.35">
      <c r="A4" s="1">
        <v>36770</v>
      </c>
      <c r="B4" s="2">
        <v>71418</v>
      </c>
      <c r="C4" s="2"/>
      <c r="D4" s="7">
        <f t="shared" si="0"/>
        <v>107830.9063047532</v>
      </c>
      <c r="E4" s="8">
        <f t="shared" si="1"/>
        <v>11.588319596781474</v>
      </c>
    </row>
    <row r="5" spans="1:5" x14ac:dyDescent="0.35">
      <c r="A5" s="1">
        <v>36861</v>
      </c>
      <c r="B5" s="2">
        <v>71327</v>
      </c>
      <c r="C5" s="2"/>
      <c r="D5" s="7">
        <f t="shared" si="0"/>
        <v>107693.50939537835</v>
      </c>
      <c r="E5" s="8">
        <f t="shared" si="1"/>
        <v>11.587044595733063</v>
      </c>
    </row>
    <row r="6" spans="1:5" x14ac:dyDescent="0.35">
      <c r="A6" s="1">
        <v>36951</v>
      </c>
      <c r="B6" s="2">
        <v>71844</v>
      </c>
      <c r="C6" s="2"/>
      <c r="D6" s="7">
        <f t="shared" si="0"/>
        <v>108474.10502336509</v>
      </c>
      <c r="E6" s="8">
        <f t="shared" si="1"/>
        <v>11.594266760098892</v>
      </c>
    </row>
    <row r="7" spans="1:5" x14ac:dyDescent="0.35">
      <c r="A7" s="1">
        <v>37043</v>
      </c>
      <c r="B7" s="2">
        <v>72023</v>
      </c>
      <c r="C7" s="2"/>
      <c r="D7" s="7">
        <f t="shared" si="0"/>
        <v>108744.36927367384</v>
      </c>
      <c r="E7" s="8">
        <f t="shared" si="1"/>
        <v>11.596755170816662</v>
      </c>
    </row>
    <row r="8" spans="1:5" x14ac:dyDescent="0.35">
      <c r="A8" s="1">
        <v>37135</v>
      </c>
      <c r="B8" s="2">
        <v>72613</v>
      </c>
      <c r="C8" s="2"/>
      <c r="D8" s="7">
        <f t="shared" si="0"/>
        <v>109635.18440038986</v>
      </c>
      <c r="E8" s="8">
        <f t="shared" si="1"/>
        <v>11.604913627529378</v>
      </c>
    </row>
    <row r="9" spans="1:5" x14ac:dyDescent="0.35">
      <c r="A9" s="1">
        <v>37226</v>
      </c>
      <c r="B9" s="2">
        <v>73059</v>
      </c>
      <c r="C9" s="2"/>
      <c r="D9" s="7">
        <f t="shared" si="0"/>
        <v>110308.58024194129</v>
      </c>
      <c r="E9" s="8">
        <f t="shared" si="1"/>
        <v>11.611036992260903</v>
      </c>
    </row>
    <row r="10" spans="1:5" x14ac:dyDescent="0.35">
      <c r="A10" s="1">
        <v>37316</v>
      </c>
      <c r="B10" s="2">
        <v>72413</v>
      </c>
      <c r="C10" s="2"/>
      <c r="D10" s="7">
        <f t="shared" si="0"/>
        <v>109333.21317099461</v>
      </c>
      <c r="E10" s="8">
        <f t="shared" si="1"/>
        <v>11.602155499651786</v>
      </c>
    </row>
    <row r="11" spans="1:5" x14ac:dyDescent="0.35">
      <c r="A11" s="1">
        <v>37408</v>
      </c>
      <c r="B11" s="2">
        <v>74907</v>
      </c>
      <c r="C11" s="2"/>
      <c r="D11" s="7">
        <f t="shared" si="0"/>
        <v>113098.7944015535</v>
      </c>
      <c r="E11" s="8">
        <f t="shared" si="1"/>
        <v>11.636017002467854</v>
      </c>
    </row>
    <row r="12" spans="1:5" x14ac:dyDescent="0.35">
      <c r="A12" s="1">
        <v>37500</v>
      </c>
      <c r="B12" s="2">
        <v>74635</v>
      </c>
      <c r="C12" s="2"/>
      <c r="D12" s="7">
        <f t="shared" si="0"/>
        <v>112688.11352957594</v>
      </c>
      <c r="E12" s="8">
        <f t="shared" si="1"/>
        <v>11.63237922445288</v>
      </c>
    </row>
    <row r="13" spans="1:5" x14ac:dyDescent="0.35">
      <c r="A13" s="1">
        <v>37591</v>
      </c>
      <c r="B13" s="2">
        <v>74834</v>
      </c>
      <c r="C13" s="2"/>
      <c r="D13" s="7">
        <f t="shared" si="0"/>
        <v>112988.57490282423</v>
      </c>
      <c r="E13" s="8">
        <f t="shared" si="1"/>
        <v>11.635041985528161</v>
      </c>
    </row>
    <row r="14" spans="1:5" x14ac:dyDescent="0.35">
      <c r="A14" s="1">
        <v>37681</v>
      </c>
      <c r="B14" s="2">
        <v>75445</v>
      </c>
      <c r="C14" s="2"/>
      <c r="D14" s="7">
        <f t="shared" si="0"/>
        <v>113911.09700862673</v>
      </c>
      <c r="E14" s="8">
        <f t="shared" si="1"/>
        <v>11.643173572333291</v>
      </c>
    </row>
    <row r="15" spans="1:5" x14ac:dyDescent="0.35">
      <c r="A15" s="1">
        <v>37773</v>
      </c>
      <c r="B15" s="2">
        <v>76719</v>
      </c>
      <c r="C15" s="2"/>
      <c r="D15" s="7">
        <f t="shared" si="0"/>
        <v>115834.65373987454</v>
      </c>
      <c r="E15" s="8">
        <f t="shared" si="1"/>
        <v>11.659919054447066</v>
      </c>
    </row>
    <row r="16" spans="1:5" x14ac:dyDescent="0.35">
      <c r="A16" s="1">
        <v>37865</v>
      </c>
      <c r="B16" s="2">
        <v>77636</v>
      </c>
      <c r="C16" s="2"/>
      <c r="D16" s="7">
        <f t="shared" si="0"/>
        <v>117219.1918266518</v>
      </c>
      <c r="E16" s="8">
        <f t="shared" si="1"/>
        <v>11.671800895506157</v>
      </c>
    </row>
    <row r="17" spans="1:5" x14ac:dyDescent="0.35">
      <c r="A17" s="1">
        <v>37956</v>
      </c>
      <c r="B17" s="2">
        <v>78618</v>
      </c>
      <c r="C17" s="2"/>
      <c r="D17" s="7">
        <f t="shared" si="0"/>
        <v>118701.87056298253</v>
      </c>
      <c r="E17" s="8">
        <f t="shared" si="1"/>
        <v>11.684370339218178</v>
      </c>
    </row>
    <row r="18" spans="1:5" x14ac:dyDescent="0.35">
      <c r="A18" s="1">
        <v>38047</v>
      </c>
      <c r="B18" s="2">
        <v>80108</v>
      </c>
      <c r="C18" s="2"/>
      <c r="D18" s="7">
        <f t="shared" si="0"/>
        <v>120951.55622197721</v>
      </c>
      <c r="E18" s="8">
        <f t="shared" si="1"/>
        <v>11.703145382610852</v>
      </c>
    </row>
    <row r="19" spans="1:5" x14ac:dyDescent="0.35">
      <c r="A19" s="1">
        <v>38139</v>
      </c>
      <c r="B19" s="2">
        <v>80093</v>
      </c>
      <c r="C19" s="2"/>
      <c r="D19" s="7">
        <f t="shared" si="0"/>
        <v>120928.90837977256</v>
      </c>
      <c r="E19" s="8">
        <f t="shared" si="1"/>
        <v>11.702958117861646</v>
      </c>
    </row>
    <row r="20" spans="1:5" x14ac:dyDescent="0.35">
      <c r="A20" s="1">
        <v>38231</v>
      </c>
      <c r="B20" s="2">
        <v>81041</v>
      </c>
      <c r="C20" s="2"/>
      <c r="D20" s="7">
        <f t="shared" si="0"/>
        <v>122360.25200710609</v>
      </c>
      <c r="E20" s="8">
        <f t="shared" si="1"/>
        <v>11.714724857817362</v>
      </c>
    </row>
    <row r="21" spans="1:5" x14ac:dyDescent="0.35">
      <c r="A21" s="1">
        <v>38322</v>
      </c>
      <c r="B21" s="2">
        <v>83624</v>
      </c>
      <c r="C21" s="2"/>
      <c r="D21" s="7">
        <f t="shared" si="0"/>
        <v>126260.21043474587</v>
      </c>
      <c r="E21" s="8">
        <f t="shared" si="1"/>
        <v>11.746100218598082</v>
      </c>
    </row>
    <row r="22" spans="1:5" x14ac:dyDescent="0.35">
      <c r="A22" s="1">
        <v>38412</v>
      </c>
      <c r="B22" s="2">
        <v>83450</v>
      </c>
      <c r="C22" s="4">
        <v>125997.495465172</v>
      </c>
      <c r="D22" s="4">
        <v>125997.495465172</v>
      </c>
      <c r="E22" s="8">
        <f t="shared" si="1"/>
        <v>11.74401730847552</v>
      </c>
    </row>
    <row r="23" spans="1:5" x14ac:dyDescent="0.35">
      <c r="A23" s="1">
        <v>38504</v>
      </c>
      <c r="B23" s="2">
        <v>84907</v>
      </c>
      <c r="C23" s="4">
        <v>129111.18039156499</v>
      </c>
      <c r="D23" s="4">
        <v>129111.18039156499</v>
      </c>
      <c r="E23" s="8">
        <f t="shared" si="1"/>
        <v>11.768429175653228</v>
      </c>
    </row>
    <row r="24" spans="1:5" x14ac:dyDescent="0.35">
      <c r="A24" s="1">
        <v>38596</v>
      </c>
      <c r="B24" s="2">
        <v>85397</v>
      </c>
      <c r="C24" s="4">
        <v>128696.22826132301</v>
      </c>
      <c r="D24" s="4">
        <v>128696.22826132301</v>
      </c>
      <c r="E24" s="8">
        <f t="shared" si="1"/>
        <v>11.76521008671595</v>
      </c>
    </row>
    <row r="25" spans="1:5" x14ac:dyDescent="0.35">
      <c r="A25" s="1">
        <v>38687</v>
      </c>
      <c r="B25" s="2">
        <v>86402</v>
      </c>
      <c r="C25" s="4">
        <v>131048.095762962</v>
      </c>
      <c r="D25" s="4">
        <v>131048.095762962</v>
      </c>
      <c r="E25" s="8">
        <f t="shared" si="1"/>
        <v>11.783319678031422</v>
      </c>
    </row>
    <row r="26" spans="1:5" x14ac:dyDescent="0.35">
      <c r="A26" s="1">
        <v>38777</v>
      </c>
      <c r="B26" s="2">
        <v>87942</v>
      </c>
      <c r="C26" s="4">
        <v>134111.66964370399</v>
      </c>
      <c r="D26" s="4">
        <v>134111.66964370399</v>
      </c>
      <c r="E26" s="8">
        <f t="shared" si="1"/>
        <v>11.806428087435139</v>
      </c>
    </row>
    <row r="27" spans="1:5" x14ac:dyDescent="0.35">
      <c r="A27" s="1">
        <v>38869</v>
      </c>
      <c r="B27" s="2">
        <v>89877</v>
      </c>
      <c r="C27" s="4">
        <v>135947.44329154899</v>
      </c>
      <c r="D27" s="4">
        <v>135947.44329154899</v>
      </c>
      <c r="E27" s="8">
        <f t="shared" si="1"/>
        <v>11.820023643642873</v>
      </c>
    </row>
    <row r="28" spans="1:5" x14ac:dyDescent="0.35">
      <c r="A28" s="1">
        <v>38961</v>
      </c>
      <c r="B28" s="2">
        <v>91919</v>
      </c>
      <c r="C28" s="4">
        <v>138590.78872265399</v>
      </c>
      <c r="D28" s="4">
        <v>138590.78872265399</v>
      </c>
      <c r="E28" s="8">
        <f t="shared" si="1"/>
        <v>11.839280904096903</v>
      </c>
    </row>
    <row r="29" spans="1:5" x14ac:dyDescent="0.35">
      <c r="A29" s="1">
        <v>39052</v>
      </c>
      <c r="B29" s="2">
        <v>93200</v>
      </c>
      <c r="C29" s="4">
        <v>140785.098342093</v>
      </c>
      <c r="D29" s="4">
        <v>140785.098342093</v>
      </c>
      <c r="E29" s="8">
        <f t="shared" si="1"/>
        <v>11.854989881466549</v>
      </c>
    </row>
    <row r="30" spans="1:5" x14ac:dyDescent="0.35">
      <c r="A30" s="1">
        <v>39142</v>
      </c>
      <c r="B30" s="2">
        <v>94943</v>
      </c>
      <c r="C30" s="4">
        <v>143227.81133817299</v>
      </c>
      <c r="D30" s="4">
        <v>143227.81133817299</v>
      </c>
      <c r="E30" s="8">
        <f t="shared" si="1"/>
        <v>11.872191727907127</v>
      </c>
    </row>
    <row r="31" spans="1:5" x14ac:dyDescent="0.35">
      <c r="A31" s="1">
        <v>39234</v>
      </c>
      <c r="B31" s="2">
        <v>95488</v>
      </c>
      <c r="C31" s="4">
        <v>145127.56388504</v>
      </c>
      <c r="D31" s="4">
        <v>145127.56388504</v>
      </c>
      <c r="E31" s="8">
        <f t="shared" si="1"/>
        <v>11.885368385579985</v>
      </c>
    </row>
    <row r="32" spans="1:5" x14ac:dyDescent="0.35">
      <c r="A32" s="1">
        <v>39326</v>
      </c>
      <c r="B32" s="2">
        <v>97578</v>
      </c>
      <c r="C32" s="4">
        <v>148141.41864888999</v>
      </c>
      <c r="D32" s="4">
        <v>148141.41864888999</v>
      </c>
      <c r="E32" s="8">
        <f t="shared" si="1"/>
        <v>11.905922627928136</v>
      </c>
    </row>
    <row r="33" spans="1:5" x14ac:dyDescent="0.35">
      <c r="A33" s="1">
        <v>39417</v>
      </c>
      <c r="B33" s="2">
        <v>99974</v>
      </c>
      <c r="C33" s="4">
        <v>149960.20612789699</v>
      </c>
      <c r="D33" s="4">
        <v>149960.20612789699</v>
      </c>
      <c r="E33" s="8">
        <f t="shared" si="1"/>
        <v>11.918125245401431</v>
      </c>
    </row>
    <row r="34" spans="1:5" x14ac:dyDescent="0.35">
      <c r="A34" s="1">
        <v>39508</v>
      </c>
      <c r="B34" s="2">
        <v>99669</v>
      </c>
      <c r="C34" s="4">
        <v>150594.88693119001</v>
      </c>
      <c r="D34" s="4">
        <v>150594.88693119001</v>
      </c>
      <c r="E34" s="8">
        <f t="shared" si="1"/>
        <v>11.922348642451452</v>
      </c>
    </row>
    <row r="35" spans="1:5" x14ac:dyDescent="0.35">
      <c r="A35" s="1">
        <v>39600</v>
      </c>
      <c r="B35" s="2">
        <v>100568</v>
      </c>
      <c r="C35" s="4">
        <v>151691.39419096801</v>
      </c>
      <c r="D35" s="4">
        <v>151691.39419096801</v>
      </c>
      <c r="E35" s="8">
        <f t="shared" si="1"/>
        <v>11.929603434597393</v>
      </c>
    </row>
    <row r="36" spans="1:5" x14ac:dyDescent="0.35">
      <c r="A36" s="1">
        <v>39692</v>
      </c>
      <c r="B36" s="2">
        <v>101178</v>
      </c>
      <c r="C36" s="4">
        <v>153001.154959192</v>
      </c>
      <c r="D36" s="4">
        <v>153001.154959192</v>
      </c>
      <c r="E36" s="8">
        <f t="shared" si="1"/>
        <v>11.93820074909897</v>
      </c>
    </row>
    <row r="37" spans="1:5" x14ac:dyDescent="0.35">
      <c r="A37" s="1">
        <v>39783</v>
      </c>
      <c r="B37" s="2">
        <v>100329</v>
      </c>
      <c r="C37" s="4">
        <v>150425.56391865099</v>
      </c>
      <c r="D37" s="4">
        <v>150425.56391865099</v>
      </c>
      <c r="E37" s="8">
        <f t="shared" si="1"/>
        <v>11.921223648917497</v>
      </c>
    </row>
    <row r="38" spans="1:5" x14ac:dyDescent="0.35">
      <c r="A38" s="1">
        <v>39873</v>
      </c>
      <c r="B38" s="2">
        <v>100814</v>
      </c>
      <c r="C38" s="4">
        <v>150827.77564277599</v>
      </c>
      <c r="D38" s="4">
        <v>150827.77564277599</v>
      </c>
      <c r="E38" s="8">
        <f t="shared" si="1"/>
        <v>11.923893906207926</v>
      </c>
    </row>
    <row r="39" spans="1:5" x14ac:dyDescent="0.35">
      <c r="A39" s="1">
        <v>39965</v>
      </c>
      <c r="B39" s="2">
        <v>101784</v>
      </c>
      <c r="C39" s="4">
        <v>152493.25329794199</v>
      </c>
      <c r="D39" s="4">
        <v>152493.25329794199</v>
      </c>
      <c r="E39" s="8">
        <f t="shared" si="1"/>
        <v>11.934875633381724</v>
      </c>
    </row>
    <row r="40" spans="1:5" x14ac:dyDescent="0.35">
      <c r="A40" s="1">
        <v>40057</v>
      </c>
      <c r="B40" s="2">
        <v>102529</v>
      </c>
      <c r="C40" s="4">
        <v>154049.95865887901</v>
      </c>
      <c r="D40" s="4">
        <v>154049.95865887901</v>
      </c>
      <c r="E40" s="8">
        <f t="shared" si="1"/>
        <v>11.945032235663071</v>
      </c>
    </row>
    <row r="41" spans="1:5" x14ac:dyDescent="0.35">
      <c r="A41" s="1">
        <v>40148</v>
      </c>
      <c r="B41" s="2">
        <v>103252</v>
      </c>
      <c r="C41" s="4">
        <v>155245.01240040301</v>
      </c>
      <c r="D41" s="4">
        <v>155245.01240040301</v>
      </c>
      <c r="E41" s="8">
        <f t="shared" si="1"/>
        <v>11.952759873034275</v>
      </c>
    </row>
    <row r="42" spans="1:5" x14ac:dyDescent="0.35">
      <c r="A42" s="1">
        <v>40238</v>
      </c>
      <c r="B42" s="2">
        <v>104449</v>
      </c>
      <c r="C42" s="4">
        <v>156686.90608937401</v>
      </c>
      <c r="D42" s="4">
        <v>156686.90608937401</v>
      </c>
      <c r="E42" s="8">
        <f t="shared" si="1"/>
        <v>11.962004864478621</v>
      </c>
    </row>
    <row r="43" spans="1:5" x14ac:dyDescent="0.35">
      <c r="A43" s="1">
        <v>40330</v>
      </c>
      <c r="B43" s="2">
        <v>105389</v>
      </c>
      <c r="C43" s="4">
        <v>159244.87651945101</v>
      </c>
      <c r="D43" s="4">
        <v>159244.87651945101</v>
      </c>
      <c r="E43" s="8">
        <f t="shared" si="1"/>
        <v>11.978198400354545</v>
      </c>
    </row>
    <row r="44" spans="1:5" x14ac:dyDescent="0.35">
      <c r="A44" s="1">
        <v>40422</v>
      </c>
      <c r="B44" s="2">
        <v>106033</v>
      </c>
      <c r="C44" s="4">
        <v>160424.598427283</v>
      </c>
      <c r="D44" s="4">
        <v>160424.598427283</v>
      </c>
      <c r="E44" s="8">
        <f t="shared" si="1"/>
        <v>11.985579319435175</v>
      </c>
    </row>
    <row r="45" spans="1:5" x14ac:dyDescent="0.35">
      <c r="A45" s="1">
        <v>40513</v>
      </c>
      <c r="B45" s="2">
        <v>108728</v>
      </c>
      <c r="C45" s="4">
        <v>163794.61896389199</v>
      </c>
      <c r="D45" s="4">
        <v>163794.61896389199</v>
      </c>
      <c r="E45" s="8">
        <f t="shared" si="1"/>
        <v>12.006368598603201</v>
      </c>
    </row>
    <row r="46" spans="1:5" x14ac:dyDescent="0.35">
      <c r="A46" s="1">
        <v>40603</v>
      </c>
      <c r="B46" s="2">
        <v>110369</v>
      </c>
      <c r="C46" s="4">
        <v>167223.06806915699</v>
      </c>
      <c r="D46" s="4">
        <v>167223.06806915699</v>
      </c>
      <c r="E46" s="8">
        <f t="shared" si="1"/>
        <v>12.027083937036974</v>
      </c>
    </row>
    <row r="47" spans="1:5" x14ac:dyDescent="0.35">
      <c r="A47" s="1">
        <v>40695</v>
      </c>
      <c r="B47" s="2">
        <v>112137</v>
      </c>
      <c r="C47" s="4">
        <v>169810.30324809399</v>
      </c>
      <c r="D47" s="4">
        <v>169810.30324809399</v>
      </c>
      <c r="E47" s="8">
        <f t="shared" si="1"/>
        <v>12.042437229746973</v>
      </c>
    </row>
    <row r="48" spans="1:5" x14ac:dyDescent="0.35">
      <c r="A48" s="1">
        <v>40787</v>
      </c>
      <c r="B48" s="2">
        <v>114427</v>
      </c>
      <c r="C48" s="4">
        <v>173255.15112839601</v>
      </c>
      <c r="D48" s="4">
        <v>173255.15112839601</v>
      </c>
      <c r="E48" s="8">
        <f t="shared" si="1"/>
        <v>12.062520648952987</v>
      </c>
    </row>
    <row r="49" spans="1:5" x14ac:dyDescent="0.35">
      <c r="A49" s="1">
        <v>40878</v>
      </c>
      <c r="B49" s="2">
        <v>115645</v>
      </c>
      <c r="C49" s="4">
        <v>174339.47755435199</v>
      </c>
      <c r="D49" s="4">
        <v>174339.47755435199</v>
      </c>
      <c r="E49" s="8">
        <f t="shared" si="1"/>
        <v>12.068759697855514</v>
      </c>
    </row>
    <row r="50" spans="1:5" x14ac:dyDescent="0.35">
      <c r="A50" s="1">
        <v>40969</v>
      </c>
      <c r="B50" s="2">
        <v>116759</v>
      </c>
      <c r="C50" s="4">
        <v>177267.96112999399</v>
      </c>
      <c r="D50" s="4">
        <v>177267.96112999399</v>
      </c>
      <c r="E50" s="8">
        <f t="shared" si="1"/>
        <v>12.085417771446759</v>
      </c>
    </row>
    <row r="51" spans="1:5" x14ac:dyDescent="0.35">
      <c r="A51" s="1">
        <v>41061</v>
      </c>
      <c r="B51" s="2">
        <v>117717</v>
      </c>
      <c r="C51" s="4">
        <v>177875.45559099899</v>
      </c>
      <c r="D51" s="4">
        <v>177875.45559099899</v>
      </c>
      <c r="E51" s="8">
        <f t="shared" si="1"/>
        <v>12.088838896687532</v>
      </c>
    </row>
    <row r="52" spans="1:5" x14ac:dyDescent="0.35">
      <c r="A52" s="1">
        <v>41153</v>
      </c>
      <c r="B52" s="2">
        <v>117401</v>
      </c>
      <c r="C52" s="4">
        <v>177019.54408405599</v>
      </c>
      <c r="D52" s="4">
        <v>177019.54408405599</v>
      </c>
      <c r="E52" s="8">
        <f t="shared" si="1"/>
        <v>12.084015424014275</v>
      </c>
    </row>
    <row r="53" spans="1:5" x14ac:dyDescent="0.35">
      <c r="A53" s="1">
        <v>41244</v>
      </c>
      <c r="B53" s="2">
        <v>119003</v>
      </c>
      <c r="C53" s="4">
        <v>179252.039194952</v>
      </c>
      <c r="D53" s="4">
        <v>179252.039194952</v>
      </c>
      <c r="E53" s="8">
        <f t="shared" si="1"/>
        <v>12.096548134659093</v>
      </c>
    </row>
    <row r="54" spans="1:5" x14ac:dyDescent="0.35">
      <c r="A54" s="1">
        <v>41334</v>
      </c>
      <c r="B54" s="2">
        <v>120193</v>
      </c>
      <c r="C54" s="4">
        <v>181471.86979230499</v>
      </c>
      <c r="D54" s="4">
        <v>181471.86979230499</v>
      </c>
      <c r="E54" s="8">
        <f t="shared" si="1"/>
        <v>12.108855933305039</v>
      </c>
    </row>
    <row r="55" spans="1:5" x14ac:dyDescent="0.35">
      <c r="A55" s="1">
        <v>41426</v>
      </c>
      <c r="B55" s="2">
        <v>123276</v>
      </c>
      <c r="C55" s="4">
        <v>187576.312680167</v>
      </c>
      <c r="D55" s="4">
        <v>187576.312680167</v>
      </c>
      <c r="E55" s="8">
        <f t="shared" si="1"/>
        <v>12.141941042551068</v>
      </c>
    </row>
    <row r="56" spans="1:5" x14ac:dyDescent="0.35">
      <c r="A56" s="1">
        <v>41518</v>
      </c>
      <c r="B56" s="2">
        <v>124503</v>
      </c>
      <c r="C56" s="4">
        <v>188086.58459707699</v>
      </c>
      <c r="D56" s="4">
        <v>188086.58459707699</v>
      </c>
      <c r="E56" s="8">
        <f t="shared" si="1"/>
        <v>12.144657692155985</v>
      </c>
    </row>
    <row r="57" spans="1:5" x14ac:dyDescent="0.35">
      <c r="A57" s="1">
        <v>41609</v>
      </c>
      <c r="B57" s="2">
        <v>125859</v>
      </c>
      <c r="C57" s="4">
        <v>190804.23293045099</v>
      </c>
      <c r="D57" s="4">
        <v>190804.23293045099</v>
      </c>
      <c r="E57" s="8">
        <f t="shared" si="1"/>
        <v>12.159003222920315</v>
      </c>
    </row>
    <row r="58" spans="1:5" x14ac:dyDescent="0.35">
      <c r="A58" s="1">
        <v>41699</v>
      </c>
      <c r="B58" s="2">
        <v>127947</v>
      </c>
      <c r="C58" s="4">
        <v>193552.929841301</v>
      </c>
      <c r="D58" s="4">
        <v>193552.929841301</v>
      </c>
      <c r="E58" s="8">
        <f t="shared" si="1"/>
        <v>12.173306293278468</v>
      </c>
    </row>
    <row r="59" spans="1:5" x14ac:dyDescent="0.35">
      <c r="A59" s="1">
        <v>41791</v>
      </c>
      <c r="B59" s="2">
        <v>128224</v>
      </c>
      <c r="C59" s="4">
        <v>194035.69443919399</v>
      </c>
      <c r="D59" s="4">
        <v>194035.69443919399</v>
      </c>
      <c r="E59" s="8">
        <f t="shared" si="1"/>
        <v>12.17579741307563</v>
      </c>
    </row>
    <row r="60" spans="1:5" x14ac:dyDescent="0.35">
      <c r="A60" s="1">
        <v>41883</v>
      </c>
      <c r="B60" s="2">
        <v>129368</v>
      </c>
      <c r="C60" s="4">
        <v>195997.777887531</v>
      </c>
      <c r="D60" s="4">
        <v>195997.777887531</v>
      </c>
      <c r="E60" s="8">
        <f t="shared" si="1"/>
        <v>12.185858600839872</v>
      </c>
    </row>
    <row r="61" spans="1:5" x14ac:dyDescent="0.35">
      <c r="A61" s="1">
        <v>41974</v>
      </c>
      <c r="B61" s="2">
        <v>129989</v>
      </c>
      <c r="C61" s="4">
        <v>198002.59783197401</v>
      </c>
      <c r="D61" s="4">
        <v>198002.59783197401</v>
      </c>
      <c r="E61" s="8">
        <f t="shared" si="1"/>
        <v>12.196035429954106</v>
      </c>
    </row>
    <row r="62" spans="1:5" x14ac:dyDescent="0.35">
      <c r="A62" s="1">
        <v>42064</v>
      </c>
      <c r="B62" s="2">
        <v>131292</v>
      </c>
      <c r="C62" s="4">
        <v>199174.78010371199</v>
      </c>
      <c r="D62" s="4">
        <v>199174.78010371199</v>
      </c>
      <c r="E62" s="8">
        <f t="shared" si="1"/>
        <v>12.20193801021237</v>
      </c>
    </row>
    <row r="63" spans="1:5" x14ac:dyDescent="0.35">
      <c r="A63" s="1">
        <v>42156</v>
      </c>
      <c r="B63" s="2">
        <v>132117</v>
      </c>
      <c r="C63" s="4">
        <v>200715.050820492</v>
      </c>
      <c r="D63" s="4">
        <v>200715.050820492</v>
      </c>
      <c r="E63" s="8">
        <f t="shared" si="1"/>
        <v>12.209641523604446</v>
      </c>
    </row>
    <row r="64" spans="1:5" x14ac:dyDescent="0.35">
      <c r="A64" s="1">
        <v>42248</v>
      </c>
      <c r="B64" s="2">
        <v>133508</v>
      </c>
      <c r="C64" s="4">
        <v>202719.114289866</v>
      </c>
      <c r="D64" s="4">
        <v>202719.114289866</v>
      </c>
      <c r="E64" s="8">
        <f t="shared" si="1"/>
        <v>12.219576626414925</v>
      </c>
    </row>
    <row r="65" spans="1:5" x14ac:dyDescent="0.35">
      <c r="A65" s="1">
        <v>42339</v>
      </c>
      <c r="B65" s="2">
        <v>134345</v>
      </c>
      <c r="C65" s="4">
        <v>202083.05478593201</v>
      </c>
      <c r="D65" s="4">
        <v>202083.05478593201</v>
      </c>
      <c r="E65" s="8">
        <f t="shared" si="1"/>
        <v>12.216434054185877</v>
      </c>
    </row>
    <row r="66" spans="1:5" x14ac:dyDescent="0.35">
      <c r="A66" s="1">
        <v>42430</v>
      </c>
      <c r="B66" s="2">
        <v>134556</v>
      </c>
      <c r="C66" s="4">
        <v>204161.22177893599</v>
      </c>
      <c r="D66" s="4">
        <v>204161.22177893599</v>
      </c>
      <c r="E66" s="8">
        <f t="shared" si="1"/>
        <v>12.226665263539426</v>
      </c>
    </row>
    <row r="67" spans="1:5" x14ac:dyDescent="0.35">
      <c r="A67" s="1">
        <v>42522</v>
      </c>
      <c r="B67" s="2">
        <v>135229</v>
      </c>
      <c r="C67" s="4">
        <v>204974.50160739501</v>
      </c>
      <c r="D67" s="4">
        <v>204974.50160739501</v>
      </c>
      <c r="E67" s="8">
        <f t="shared" ref="E67:E105" si="2">LN(D67)</f>
        <v>12.230640867981462</v>
      </c>
    </row>
    <row r="68" spans="1:5" x14ac:dyDescent="0.35">
      <c r="A68" s="1">
        <v>42614</v>
      </c>
      <c r="B68" s="2">
        <v>135515</v>
      </c>
      <c r="C68" s="4">
        <v>205519.218673767</v>
      </c>
      <c r="D68" s="4">
        <v>205519.218673767</v>
      </c>
      <c r="E68" s="8">
        <f t="shared" si="2"/>
        <v>12.233294830072408</v>
      </c>
    </row>
    <row r="69" spans="1:5" x14ac:dyDescent="0.35">
      <c r="A69" s="1">
        <v>42705</v>
      </c>
      <c r="B69" s="2">
        <v>136816</v>
      </c>
      <c r="C69" s="4">
        <v>206834.05793990201</v>
      </c>
      <c r="D69" s="4">
        <v>206834.05793990201</v>
      </c>
      <c r="E69" s="8">
        <f t="shared" si="2"/>
        <v>12.239672098288098</v>
      </c>
    </row>
    <row r="70" spans="1:5" x14ac:dyDescent="0.35">
      <c r="A70" s="1">
        <v>42795</v>
      </c>
      <c r="B70" s="2">
        <v>136636</v>
      </c>
      <c r="C70" s="4">
        <v>206566.67747675499</v>
      </c>
      <c r="D70" s="4">
        <v>206566.67747675499</v>
      </c>
      <c r="E70" s="8">
        <f t="shared" si="2"/>
        <v>12.23837853261429</v>
      </c>
    </row>
    <row r="71" spans="1:5" x14ac:dyDescent="0.35">
      <c r="A71" s="1">
        <v>42887</v>
      </c>
      <c r="B71" s="2">
        <v>137517</v>
      </c>
      <c r="C71" s="4">
        <v>207530.058161992</v>
      </c>
      <c r="D71" s="4">
        <v>207530.058161992</v>
      </c>
      <c r="E71" s="8">
        <f t="shared" si="2"/>
        <v>12.243031466773903</v>
      </c>
    </row>
    <row r="72" spans="1:5" x14ac:dyDescent="0.35">
      <c r="A72" s="1">
        <v>42979</v>
      </c>
      <c r="B72" s="2">
        <v>138576</v>
      </c>
      <c r="C72" s="4">
        <v>208795.54564199899</v>
      </c>
      <c r="D72" s="4">
        <v>208795.54564199899</v>
      </c>
      <c r="E72" s="8">
        <f t="shared" si="2"/>
        <v>12.249110801630877</v>
      </c>
    </row>
    <row r="73" spans="1:5" x14ac:dyDescent="0.35">
      <c r="A73" s="1">
        <v>43070</v>
      </c>
      <c r="B73" s="2">
        <v>138972</v>
      </c>
      <c r="C73" s="4">
        <v>209763.71871925399</v>
      </c>
      <c r="D73" s="4">
        <v>209763.71871925399</v>
      </c>
      <c r="E73" s="8">
        <f t="shared" si="2"/>
        <v>12.253737027288388</v>
      </c>
    </row>
    <row r="74" spans="1:5" x14ac:dyDescent="0.35">
      <c r="A74" s="1">
        <v>43160</v>
      </c>
      <c r="C74" s="4">
        <v>210237.95954426899</v>
      </c>
      <c r="D74" s="4">
        <v>210237.95954426899</v>
      </c>
      <c r="E74" s="8">
        <f t="shared" si="2"/>
        <v>12.255995308867268</v>
      </c>
    </row>
    <row r="75" spans="1:5" x14ac:dyDescent="0.35">
      <c r="A75" s="1">
        <v>43252</v>
      </c>
      <c r="C75" s="4">
        <v>213136.67485500599</v>
      </c>
      <c r="D75" s="4">
        <v>213136.67485500599</v>
      </c>
      <c r="E75" s="8">
        <f t="shared" si="2"/>
        <v>12.26968890489791</v>
      </c>
    </row>
    <row r="76" spans="1:5" x14ac:dyDescent="0.35">
      <c r="A76" s="1">
        <v>43344</v>
      </c>
      <c r="C76" s="4">
        <v>214679.71691083899</v>
      </c>
      <c r="D76" s="4">
        <v>214679.71691083899</v>
      </c>
      <c r="E76" s="8">
        <f t="shared" si="2"/>
        <v>12.276902507633473</v>
      </c>
    </row>
    <row r="77" spans="1:5" x14ac:dyDescent="0.35">
      <c r="A77" s="1">
        <v>43435</v>
      </c>
      <c r="C77" s="4">
        <v>215953.64868988699</v>
      </c>
      <c r="D77" s="4">
        <v>215953.64868988699</v>
      </c>
      <c r="E77" s="8">
        <f t="shared" si="2"/>
        <v>12.282819074240031</v>
      </c>
    </row>
    <row r="78" spans="1:5" x14ac:dyDescent="0.35">
      <c r="A78" s="1">
        <v>43525</v>
      </c>
      <c r="C78" s="4">
        <v>217669.295693277</v>
      </c>
      <c r="D78" s="4">
        <v>217669.295693277</v>
      </c>
      <c r="E78" s="8">
        <f t="shared" si="2"/>
        <v>12.290732197740843</v>
      </c>
    </row>
    <row r="79" spans="1:5" x14ac:dyDescent="0.35">
      <c r="A79" s="1">
        <v>43617</v>
      </c>
      <c r="C79" s="4">
        <v>219578.73389335899</v>
      </c>
      <c r="D79" s="4">
        <v>219578.73389335899</v>
      </c>
      <c r="E79" s="8">
        <f t="shared" si="2"/>
        <v>12.299466143734023</v>
      </c>
    </row>
    <row r="80" spans="1:5" x14ac:dyDescent="0.35">
      <c r="A80" s="1">
        <v>43709</v>
      </c>
      <c r="C80" s="4">
        <v>221312.413864548</v>
      </c>
      <c r="D80" s="4">
        <v>221312.413864548</v>
      </c>
      <c r="E80" s="8">
        <f t="shared" si="2"/>
        <v>12.307330619651351</v>
      </c>
    </row>
    <row r="81" spans="1:5" x14ac:dyDescent="0.35">
      <c r="A81" s="1">
        <v>43800</v>
      </c>
      <c r="C81" s="4">
        <v>222663.55654881601</v>
      </c>
      <c r="D81" s="4">
        <v>222663.55654881601</v>
      </c>
      <c r="E81" s="8">
        <f t="shared" si="2"/>
        <v>12.313417196157987</v>
      </c>
    </row>
    <row r="82" spans="1:5" x14ac:dyDescent="0.35">
      <c r="A82" s="1">
        <v>43891</v>
      </c>
      <c r="C82" s="4">
        <v>218395.00844775001</v>
      </c>
      <c r="D82" s="4">
        <v>218395.00844775001</v>
      </c>
      <c r="E82" s="8">
        <f t="shared" si="2"/>
        <v>12.294060667498986</v>
      </c>
    </row>
    <row r="83" spans="1:5" x14ac:dyDescent="0.35">
      <c r="A83" s="1">
        <v>43983</v>
      </c>
      <c r="C83" s="4">
        <v>182829.63476223699</v>
      </c>
      <c r="D83" s="4">
        <v>182829.63476223699</v>
      </c>
      <c r="E83" s="8">
        <f t="shared" si="2"/>
        <v>12.116310040630006</v>
      </c>
    </row>
    <row r="84" spans="1:5" x14ac:dyDescent="0.35">
      <c r="A84" s="1">
        <v>44075</v>
      </c>
      <c r="C84" s="4">
        <v>201256.49058986199</v>
      </c>
      <c r="D84" s="4">
        <v>201256.49058986199</v>
      </c>
      <c r="E84" s="8">
        <f t="shared" si="2"/>
        <v>12.212335446138942</v>
      </c>
    </row>
    <row r="85" spans="1:5" x14ac:dyDescent="0.35">
      <c r="A85" s="1">
        <v>44166</v>
      </c>
      <c r="C85" s="4">
        <v>215418.86620015101</v>
      </c>
      <c r="D85" s="4">
        <v>215418.86620015101</v>
      </c>
      <c r="E85" s="8">
        <f t="shared" si="2"/>
        <v>12.280339626684853</v>
      </c>
    </row>
    <row r="86" spans="1:5" x14ac:dyDescent="0.35">
      <c r="A86" s="1">
        <v>44256</v>
      </c>
      <c r="C86" s="4">
        <v>221803.88309652501</v>
      </c>
      <c r="D86" s="4">
        <v>221803.88309652501</v>
      </c>
      <c r="E86" s="8">
        <f t="shared" si="2"/>
        <v>12.309548860943194</v>
      </c>
    </row>
    <row r="87" spans="1:5" x14ac:dyDescent="0.35">
      <c r="A87" s="1">
        <v>44348</v>
      </c>
      <c r="C87" s="4">
        <v>216740.042698615</v>
      </c>
      <c r="D87" s="4">
        <v>216740.042698615</v>
      </c>
      <c r="E87" s="8">
        <f t="shared" si="2"/>
        <v>12.28645395448082</v>
      </c>
    </row>
    <row r="88" spans="1:5" x14ac:dyDescent="0.35">
      <c r="A88" s="1">
        <v>44440</v>
      </c>
      <c r="C88" s="4">
        <v>228413.186998969</v>
      </c>
      <c r="D88" s="4">
        <v>228413.186998969</v>
      </c>
      <c r="E88" s="8">
        <f t="shared" si="2"/>
        <v>12.338911491520115</v>
      </c>
    </row>
    <row r="89" spans="1:5" x14ac:dyDescent="0.35">
      <c r="A89" s="1">
        <v>44531</v>
      </c>
      <c r="C89" s="4">
        <v>239285.88720589099</v>
      </c>
      <c r="D89" s="4">
        <v>239285.88720589099</v>
      </c>
      <c r="E89" s="8">
        <f t="shared" si="2"/>
        <v>12.385414296837213</v>
      </c>
    </row>
    <row r="90" spans="1:5" x14ac:dyDescent="0.35">
      <c r="A90" s="1">
        <v>44621</v>
      </c>
      <c r="C90" s="4">
        <v>239550.09826715299</v>
      </c>
      <c r="D90" s="4">
        <v>239550.09826715299</v>
      </c>
      <c r="E90" s="8">
        <f t="shared" si="2"/>
        <v>12.38651785252681</v>
      </c>
    </row>
    <row r="91" spans="1:5" x14ac:dyDescent="0.35">
      <c r="A91" s="1">
        <v>44713</v>
      </c>
      <c r="C91" s="4">
        <v>243436.20096211901</v>
      </c>
      <c r="D91" s="4">
        <v>243436.20096211901</v>
      </c>
      <c r="E91" s="8">
        <f t="shared" si="2"/>
        <v>12.402610178805471</v>
      </c>
    </row>
    <row r="92" spans="1:5" x14ac:dyDescent="0.35">
      <c r="A92" s="1">
        <v>44805</v>
      </c>
      <c r="C92" s="4">
        <v>245182.762667679</v>
      </c>
      <c r="D92" s="4">
        <v>245182.762667679</v>
      </c>
      <c r="E92" s="8">
        <f t="shared" si="2"/>
        <v>12.409759181501641</v>
      </c>
    </row>
    <row r="93" spans="1:5" x14ac:dyDescent="0.35">
      <c r="A93" s="1">
        <v>44896</v>
      </c>
      <c r="C93" s="4">
        <v>244485.938103047</v>
      </c>
      <c r="D93" s="4">
        <v>244485.938103047</v>
      </c>
      <c r="E93" s="8">
        <f t="shared" si="2"/>
        <v>12.406913073372161</v>
      </c>
    </row>
    <row r="94" spans="1:5" x14ac:dyDescent="0.35">
      <c r="A94" s="1">
        <v>44986</v>
      </c>
      <c r="C94" s="4">
        <v>246017.726710004</v>
      </c>
      <c r="D94" s="4">
        <v>246017.726710004</v>
      </c>
      <c r="E94" s="8">
        <f t="shared" si="2"/>
        <v>12.413158872115082</v>
      </c>
    </row>
    <row r="95" spans="1:5" x14ac:dyDescent="0.35">
      <c r="A95" s="1">
        <v>45078</v>
      </c>
      <c r="C95" s="4">
        <v>244468.86690552201</v>
      </c>
      <c r="D95" s="4">
        <v>244468.86690552201</v>
      </c>
      <c r="E95" s="8">
        <f t="shared" si="2"/>
        <v>12.406843246069691</v>
      </c>
    </row>
    <row r="96" spans="1:5" x14ac:dyDescent="0.35">
      <c r="A96" s="1">
        <v>45170</v>
      </c>
      <c r="C96" s="4">
        <v>244178.59655359201</v>
      </c>
      <c r="D96" s="4">
        <v>244178.59655359201</v>
      </c>
      <c r="E96" s="8">
        <f t="shared" si="2"/>
        <v>12.405655189616812</v>
      </c>
    </row>
    <row r="97" spans="1:5" x14ac:dyDescent="0.35">
      <c r="A97" s="1">
        <v>45261</v>
      </c>
      <c r="C97" s="4">
        <v>246177.809830882</v>
      </c>
      <c r="D97" s="4">
        <v>246177.809830882</v>
      </c>
      <c r="E97" s="8">
        <f t="shared" si="2"/>
        <v>12.413809358007935</v>
      </c>
    </row>
    <row r="98" spans="1:5" x14ac:dyDescent="0.35">
      <c r="A98" s="1">
        <v>45352</v>
      </c>
      <c r="C98" s="4">
        <v>246721.933845166</v>
      </c>
      <c r="D98" s="4">
        <v>246721.933845166</v>
      </c>
      <c r="E98" s="8">
        <f t="shared" si="2"/>
        <v>12.416017207544469</v>
      </c>
    </row>
    <row r="99" spans="1:5" x14ac:dyDescent="0.35">
      <c r="A99" s="1">
        <v>45444</v>
      </c>
      <c r="C99" s="4">
        <v>248617.807948623</v>
      </c>
      <c r="D99" s="4">
        <v>248617.807948623</v>
      </c>
      <c r="E99" s="8">
        <f t="shared" si="2"/>
        <v>12.423672088432182</v>
      </c>
    </row>
    <row r="100" spans="1:5" x14ac:dyDescent="0.35">
      <c r="A100" s="1">
        <v>45536</v>
      </c>
      <c r="C100" s="4">
        <v>248237.360860132</v>
      </c>
      <c r="D100" s="4">
        <v>248237.360860132</v>
      </c>
      <c r="E100" s="8">
        <f t="shared" si="2"/>
        <v>12.422140667661187</v>
      </c>
    </row>
    <row r="101" spans="1:5" x14ac:dyDescent="0.35">
      <c r="A101" s="1">
        <v>45627</v>
      </c>
      <c r="C101" s="4">
        <v>251912.897346079</v>
      </c>
      <c r="D101" s="4">
        <v>251912.897346079</v>
      </c>
      <c r="E101" s="8">
        <f t="shared" si="2"/>
        <v>12.436838661292335</v>
      </c>
    </row>
    <row r="102" spans="1:5" x14ac:dyDescent="0.35">
      <c r="A102" s="1">
        <v>45717</v>
      </c>
      <c r="C102" s="4">
        <v>253089.41188501101</v>
      </c>
      <c r="D102" s="4">
        <v>253089.41188501101</v>
      </c>
      <c r="E102" s="8">
        <f t="shared" si="2"/>
        <v>12.441498111936355</v>
      </c>
    </row>
    <row r="103" spans="1:5" x14ac:dyDescent="0.35">
      <c r="A103" s="1">
        <v>45809</v>
      </c>
      <c r="C103" s="4">
        <v>253990.270389741</v>
      </c>
      <c r="D103" s="4">
        <v>253990.270389741</v>
      </c>
      <c r="E103" s="8">
        <f t="shared" si="2"/>
        <v>12.445051239714797</v>
      </c>
    </row>
    <row r="104" spans="1:5" x14ac:dyDescent="0.35">
      <c r="A104" s="1">
        <v>45901</v>
      </c>
      <c r="C104" s="4">
        <v>257201.03991411399</v>
      </c>
      <c r="D104" s="4">
        <v>257201.03991411399</v>
      </c>
      <c r="E104" s="8">
        <f t="shared" si="2"/>
        <v>12.457613314549379</v>
      </c>
    </row>
    <row r="105" spans="1:5" x14ac:dyDescent="0.35">
      <c r="A105" s="1">
        <v>45992</v>
      </c>
      <c r="C105" s="4">
        <v>257510.211611823</v>
      </c>
      <c r="D105" s="4">
        <v>257510.211611823</v>
      </c>
      <c r="E105" s="8">
        <f t="shared" si="2"/>
        <v>12.458814655044563</v>
      </c>
    </row>
    <row r="106" spans="1:5" x14ac:dyDescent="0.35">
      <c r="C106" s="4"/>
    </row>
    <row r="107" spans="1:5" x14ac:dyDescent="0.35">
      <c r="C107" s="4"/>
    </row>
    <row r="108" spans="1:5" x14ac:dyDescent="0.35">
      <c r="C108" s="4"/>
    </row>
    <row r="109" spans="1:5" x14ac:dyDescent="0.35">
      <c r="C109" s="4"/>
    </row>
    <row r="110" spans="1:5" x14ac:dyDescent="0.35">
      <c r="C110" s="4"/>
    </row>
    <row r="111" spans="1:5" x14ac:dyDescent="0.35">
      <c r="C111" s="4"/>
    </row>
    <row r="112" spans="1:5" x14ac:dyDescent="0.35">
      <c r="C112" s="4"/>
    </row>
    <row r="113" spans="3:3" x14ac:dyDescent="0.35">
      <c r="C113" s="4"/>
    </row>
    <row r="114" spans="3:3" x14ac:dyDescent="0.35">
      <c r="C114" s="4"/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9D8A-92F2-4179-ACD6-0583AB53F6D2}">
  <dimension ref="A1:E588"/>
  <sheetViews>
    <sheetView topLeftCell="A291" workbookViewId="0">
      <selection activeCell="A2" sqref="A2:A313"/>
    </sheetView>
  </sheetViews>
  <sheetFormatPr baseColWidth="10" defaultColWidth="11.453125" defaultRowHeight="14.5" x14ac:dyDescent="0.35"/>
  <cols>
    <col min="2" max="2" width="12.7265625" bestFit="1" customWidth="1"/>
    <col min="3" max="3" width="15.54296875" bestFit="1" customWidth="1"/>
    <col min="4" max="4" width="21.7265625" bestFit="1" customWidth="1"/>
  </cols>
  <sheetData>
    <row r="1" spans="1:5" x14ac:dyDescent="0.35">
      <c r="A1" t="s">
        <v>0</v>
      </c>
      <c r="B1" t="s">
        <v>4</v>
      </c>
      <c r="C1" t="s">
        <v>5</v>
      </c>
      <c r="D1" t="s">
        <v>6</v>
      </c>
      <c r="E1" t="s">
        <v>8</v>
      </c>
    </row>
    <row r="2" spans="1:5" x14ac:dyDescent="0.35">
      <c r="A2" s="1">
        <v>36526</v>
      </c>
      <c r="B2" s="2">
        <v>80.84</v>
      </c>
      <c r="D2" s="6">
        <f t="shared" ref="D2:D60" si="0">(B2*D3)/B3</f>
        <v>52.197991205154651</v>
      </c>
      <c r="E2">
        <f>LN(D2)</f>
        <v>3.9550440114882437</v>
      </c>
    </row>
    <row r="3" spans="1:5" x14ac:dyDescent="0.35">
      <c r="A3" s="1">
        <v>36557</v>
      </c>
      <c r="B3" s="2">
        <v>84.69</v>
      </c>
      <c r="D3" s="6">
        <f t="shared" si="0"/>
        <v>54.683917307824679</v>
      </c>
      <c r="E3">
        <f t="shared" ref="E3:E66" si="1">LN(D3)</f>
        <v>4.0015696498863313</v>
      </c>
    </row>
    <row r="4" spans="1:5" x14ac:dyDescent="0.35">
      <c r="A4" s="1">
        <v>36586</v>
      </c>
      <c r="B4" s="2">
        <v>85.21</v>
      </c>
      <c r="D4" s="6">
        <f t="shared" si="0"/>
        <v>55.019678755458031</v>
      </c>
      <c r="E4">
        <f t="shared" si="1"/>
        <v>4.0076909167926882</v>
      </c>
    </row>
    <row r="5" spans="1:5" x14ac:dyDescent="0.35">
      <c r="A5" s="1">
        <v>36617</v>
      </c>
      <c r="B5" s="2">
        <v>83.51</v>
      </c>
      <c r="D5" s="6">
        <f t="shared" si="0"/>
        <v>53.921997099733616</v>
      </c>
      <c r="E5">
        <f t="shared" si="1"/>
        <v>3.9875385041179618</v>
      </c>
    </row>
    <row r="6" spans="1:5" x14ac:dyDescent="0.35">
      <c r="A6" s="1">
        <v>36647</v>
      </c>
      <c r="B6" s="2">
        <v>83.12</v>
      </c>
      <c r="D6" s="6">
        <f t="shared" si="0"/>
        <v>53.670176014008597</v>
      </c>
      <c r="E6">
        <f t="shared" si="1"/>
        <v>3.9828574657437956</v>
      </c>
    </row>
    <row r="7" spans="1:5" x14ac:dyDescent="0.35">
      <c r="A7" s="1">
        <v>36678</v>
      </c>
      <c r="B7" s="2">
        <v>84.06</v>
      </c>
      <c r="D7" s="6">
        <f t="shared" si="0"/>
        <v>54.277129400115044</v>
      </c>
      <c r="E7">
        <f t="shared" si="1"/>
        <v>3.9941029485297945</v>
      </c>
    </row>
    <row r="8" spans="1:5" x14ac:dyDescent="0.35">
      <c r="A8" s="1">
        <v>36708</v>
      </c>
      <c r="B8" s="2">
        <v>85.24</v>
      </c>
      <c r="D8" s="6">
        <f t="shared" si="0"/>
        <v>55.039049608206106</v>
      </c>
      <c r="E8">
        <f t="shared" si="1"/>
        <v>4.00804292618324</v>
      </c>
    </row>
    <row r="9" spans="1:5" x14ac:dyDescent="0.35">
      <c r="A9" s="1">
        <v>36739</v>
      </c>
      <c r="B9" s="2">
        <v>83.79</v>
      </c>
      <c r="D9" s="6">
        <f t="shared" si="0"/>
        <v>54.102791725382339</v>
      </c>
      <c r="E9">
        <f t="shared" si="1"/>
        <v>3.9908857875780188</v>
      </c>
    </row>
    <row r="10" spans="1:5" x14ac:dyDescent="0.35">
      <c r="A10" s="1">
        <v>36770</v>
      </c>
      <c r="B10" s="2">
        <v>83.64</v>
      </c>
      <c r="D10" s="6">
        <f t="shared" si="0"/>
        <v>54.005937461641949</v>
      </c>
      <c r="E10">
        <f t="shared" si="1"/>
        <v>3.9890939935132566</v>
      </c>
    </row>
    <row r="11" spans="1:5" x14ac:dyDescent="0.35">
      <c r="A11" s="1">
        <v>36800</v>
      </c>
      <c r="B11" s="2">
        <v>82.41</v>
      </c>
      <c r="D11" s="6">
        <f t="shared" si="0"/>
        <v>53.21173249897074</v>
      </c>
      <c r="E11">
        <f t="shared" si="1"/>
        <v>3.9742789077281158</v>
      </c>
    </row>
    <row r="12" spans="1:5" x14ac:dyDescent="0.35">
      <c r="A12" s="1">
        <v>36831</v>
      </c>
      <c r="B12" s="2">
        <v>84.47</v>
      </c>
      <c r="D12" s="6">
        <f t="shared" si="0"/>
        <v>54.541864387672113</v>
      </c>
      <c r="E12">
        <f t="shared" si="1"/>
        <v>3.9989685606922292</v>
      </c>
    </row>
    <row r="13" spans="1:5" x14ac:dyDescent="0.35">
      <c r="A13" s="1">
        <v>36861</v>
      </c>
      <c r="B13" s="2">
        <v>84.23</v>
      </c>
      <c r="D13" s="6">
        <f t="shared" si="0"/>
        <v>54.386897565687491</v>
      </c>
      <c r="E13">
        <f t="shared" si="1"/>
        <v>3.996123271280096</v>
      </c>
    </row>
    <row r="14" spans="1:5" x14ac:dyDescent="0.35">
      <c r="A14" s="1">
        <v>36892</v>
      </c>
      <c r="B14" s="2">
        <v>84.89</v>
      </c>
      <c r="D14" s="6">
        <f t="shared" si="0"/>
        <v>54.813056326145208</v>
      </c>
      <c r="E14">
        <f t="shared" si="1"/>
        <v>4.0039284197027003</v>
      </c>
    </row>
    <row r="15" spans="1:5" x14ac:dyDescent="0.35">
      <c r="A15" s="1">
        <v>36923</v>
      </c>
      <c r="B15" s="2">
        <v>84.34</v>
      </c>
      <c r="D15" s="6">
        <f t="shared" si="0"/>
        <v>54.457924025763774</v>
      </c>
      <c r="E15">
        <f t="shared" si="1"/>
        <v>3.9974283672712376</v>
      </c>
    </row>
    <row r="16" spans="1:5" x14ac:dyDescent="0.35">
      <c r="A16" s="1">
        <v>36951</v>
      </c>
      <c r="B16" s="2">
        <v>84.5</v>
      </c>
      <c r="D16" s="6">
        <f t="shared" si="0"/>
        <v>54.561235240420189</v>
      </c>
      <c r="E16">
        <f t="shared" si="1"/>
        <v>3.999323653315952</v>
      </c>
    </row>
    <row r="17" spans="1:5" x14ac:dyDescent="0.35">
      <c r="A17" s="1">
        <v>36982</v>
      </c>
      <c r="B17" s="2">
        <v>84.32</v>
      </c>
      <c r="D17" s="6">
        <f t="shared" si="0"/>
        <v>54.445010123931716</v>
      </c>
      <c r="E17">
        <f t="shared" si="1"/>
        <v>3.9971912037458757</v>
      </c>
    </row>
    <row r="18" spans="1:5" x14ac:dyDescent="0.35">
      <c r="A18" s="1">
        <v>37012</v>
      </c>
      <c r="B18" s="2">
        <v>84.42</v>
      </c>
      <c r="D18" s="6">
        <f t="shared" si="0"/>
        <v>54.509579633091981</v>
      </c>
      <c r="E18">
        <f t="shared" si="1"/>
        <v>3.9983764593071762</v>
      </c>
    </row>
    <row r="19" spans="1:5" x14ac:dyDescent="0.35">
      <c r="A19" s="1">
        <v>37043</v>
      </c>
      <c r="B19" s="2">
        <v>84.86</v>
      </c>
      <c r="D19" s="6">
        <f t="shared" si="0"/>
        <v>54.793685473397133</v>
      </c>
      <c r="E19">
        <f t="shared" si="1"/>
        <v>4.0035749587270022</v>
      </c>
    </row>
    <row r="20" spans="1:5" x14ac:dyDescent="0.35">
      <c r="A20" s="1">
        <v>37073</v>
      </c>
      <c r="B20" s="2">
        <v>85.13</v>
      </c>
      <c r="D20" s="6">
        <f t="shared" si="0"/>
        <v>54.968023148129831</v>
      </c>
      <c r="E20">
        <f t="shared" si="1"/>
        <v>4.0067516188487895</v>
      </c>
    </row>
    <row r="21" spans="1:5" x14ac:dyDescent="0.35">
      <c r="A21" s="1">
        <v>37104</v>
      </c>
      <c r="B21" s="2">
        <v>85.7</v>
      </c>
      <c r="D21" s="6">
        <f t="shared" si="0"/>
        <v>55.336069350343323</v>
      </c>
      <c r="E21">
        <f t="shared" si="1"/>
        <v>4.013424944556558</v>
      </c>
    </row>
    <row r="22" spans="1:5" x14ac:dyDescent="0.35">
      <c r="A22" s="1">
        <v>37135</v>
      </c>
      <c r="B22" s="2">
        <v>85.71</v>
      </c>
      <c r="D22" s="6">
        <f t="shared" si="0"/>
        <v>55.342526301259348</v>
      </c>
      <c r="E22">
        <f t="shared" si="1"/>
        <v>4.013541623863615</v>
      </c>
    </row>
    <row r="23" spans="1:5" x14ac:dyDescent="0.35">
      <c r="A23" s="1">
        <v>37165</v>
      </c>
      <c r="B23" s="2">
        <v>85.52</v>
      </c>
      <c r="D23" s="6">
        <f t="shared" si="0"/>
        <v>55.219844233854857</v>
      </c>
      <c r="E23">
        <f t="shared" si="1"/>
        <v>4.0113223856696134</v>
      </c>
    </row>
    <row r="24" spans="1:5" x14ac:dyDescent="0.35">
      <c r="A24" s="1">
        <v>37196</v>
      </c>
      <c r="B24" s="2">
        <v>85.64</v>
      </c>
      <c r="D24" s="6">
        <f t="shared" si="0"/>
        <v>55.297327644847165</v>
      </c>
      <c r="E24">
        <f t="shared" si="1"/>
        <v>4.0127245826743057</v>
      </c>
    </row>
    <row r="25" spans="1:5" x14ac:dyDescent="0.35">
      <c r="A25" s="1">
        <v>37226</v>
      </c>
      <c r="B25" s="2">
        <v>85.86</v>
      </c>
      <c r="D25" s="6">
        <f t="shared" si="0"/>
        <v>55.439380564999738</v>
      </c>
      <c r="E25">
        <f t="shared" si="1"/>
        <v>4.0152901817492381</v>
      </c>
    </row>
    <row r="26" spans="1:5" x14ac:dyDescent="0.35">
      <c r="A26" s="1">
        <v>37257</v>
      </c>
      <c r="B26" s="2">
        <v>85.52</v>
      </c>
      <c r="D26" s="6">
        <f t="shared" si="0"/>
        <v>55.21984423385485</v>
      </c>
      <c r="E26">
        <f t="shared" si="1"/>
        <v>4.0113223856696134</v>
      </c>
    </row>
    <row r="27" spans="1:5" x14ac:dyDescent="0.35">
      <c r="A27" s="1">
        <v>37288</v>
      </c>
      <c r="B27" s="2">
        <v>86.13</v>
      </c>
      <c r="D27" s="6">
        <f t="shared" si="0"/>
        <v>55.613718239732442</v>
      </c>
      <c r="E27">
        <f t="shared" si="1"/>
        <v>4.0184299017539065</v>
      </c>
    </row>
    <row r="28" spans="1:5" x14ac:dyDescent="0.35">
      <c r="A28" s="1">
        <v>37316</v>
      </c>
      <c r="B28" s="2">
        <v>86.27</v>
      </c>
      <c r="D28" s="6">
        <f t="shared" si="0"/>
        <v>55.704115552556807</v>
      </c>
      <c r="E28">
        <f t="shared" si="1"/>
        <v>4.020054032041311</v>
      </c>
    </row>
    <row r="29" spans="1:5" x14ac:dyDescent="0.35">
      <c r="A29" s="1">
        <v>37347</v>
      </c>
      <c r="B29" s="2">
        <v>87.03</v>
      </c>
      <c r="D29" s="6">
        <f t="shared" si="0"/>
        <v>56.194843822174789</v>
      </c>
      <c r="E29">
        <f t="shared" si="1"/>
        <v>4.0288250057542463</v>
      </c>
    </row>
    <row r="30" spans="1:5" x14ac:dyDescent="0.35">
      <c r="A30" s="1">
        <v>37377</v>
      </c>
      <c r="B30" s="2">
        <v>88.15</v>
      </c>
      <c r="D30" s="6">
        <f t="shared" si="0"/>
        <v>56.918022324769716</v>
      </c>
      <c r="E30">
        <f t="shared" si="1"/>
        <v>4.0416120277967034</v>
      </c>
    </row>
    <row r="31" spans="1:5" x14ac:dyDescent="0.35">
      <c r="A31" s="1">
        <v>37408</v>
      </c>
      <c r="B31" s="2">
        <v>87.63</v>
      </c>
      <c r="D31" s="6">
        <f t="shared" si="0"/>
        <v>56.582260877136349</v>
      </c>
      <c r="E31">
        <f t="shared" si="1"/>
        <v>4.035695524020583</v>
      </c>
    </row>
    <row r="32" spans="1:5" x14ac:dyDescent="0.35">
      <c r="A32" s="1">
        <v>37438</v>
      </c>
      <c r="B32" s="2">
        <v>87.9</v>
      </c>
      <c r="D32" s="6">
        <f t="shared" si="0"/>
        <v>56.756598551869061</v>
      </c>
      <c r="E32">
        <f t="shared" si="1"/>
        <v>4.0387719236439548</v>
      </c>
    </row>
    <row r="33" spans="1:5" x14ac:dyDescent="0.35">
      <c r="A33" s="1">
        <v>37469</v>
      </c>
      <c r="B33" s="2">
        <v>87.92</v>
      </c>
      <c r="D33" s="6">
        <f t="shared" si="0"/>
        <v>56.769512453701111</v>
      </c>
      <c r="E33">
        <f t="shared" si="1"/>
        <v>4.0389994290481894</v>
      </c>
    </row>
    <row r="34" spans="1:5" x14ac:dyDescent="0.35">
      <c r="A34" s="1">
        <v>37500</v>
      </c>
      <c r="B34" s="2">
        <v>87.84</v>
      </c>
      <c r="D34" s="6">
        <f t="shared" si="0"/>
        <v>56.717856846372904</v>
      </c>
      <c r="E34">
        <f t="shared" si="1"/>
        <v>4.0380890967140441</v>
      </c>
    </row>
    <row r="35" spans="1:5" x14ac:dyDescent="0.35">
      <c r="A35" s="1">
        <v>37530</v>
      </c>
      <c r="B35" s="2">
        <v>88.05</v>
      </c>
      <c r="D35" s="6">
        <f t="shared" si="0"/>
        <v>56.853452815609444</v>
      </c>
      <c r="E35">
        <f t="shared" si="1"/>
        <v>4.0404769538950385</v>
      </c>
    </row>
    <row r="36" spans="1:5" x14ac:dyDescent="0.35">
      <c r="A36" s="1">
        <v>37561</v>
      </c>
      <c r="B36" s="2">
        <v>87.68</v>
      </c>
      <c r="D36" s="6">
        <f t="shared" si="0"/>
        <v>56.614545631716489</v>
      </c>
      <c r="E36">
        <f t="shared" si="1"/>
        <v>4.0362659421525295</v>
      </c>
    </row>
    <row r="37" spans="1:5" x14ac:dyDescent="0.35">
      <c r="A37" s="1">
        <v>37591</v>
      </c>
      <c r="B37" s="2">
        <v>87.8</v>
      </c>
      <c r="D37" s="6">
        <f t="shared" si="0"/>
        <v>56.692029042708796</v>
      </c>
      <c r="E37">
        <f t="shared" si="1"/>
        <v>4.0376336195938949</v>
      </c>
    </row>
    <row r="38" spans="1:5" x14ac:dyDescent="0.35">
      <c r="A38" s="1">
        <v>37622</v>
      </c>
      <c r="B38" s="2">
        <v>88.26</v>
      </c>
      <c r="D38" s="6">
        <f t="shared" si="0"/>
        <v>56.989048784845998</v>
      </c>
      <c r="E38">
        <f t="shared" si="1"/>
        <v>4.0428591227942254</v>
      </c>
    </row>
    <row r="39" spans="1:5" x14ac:dyDescent="0.35">
      <c r="A39" s="1">
        <v>37653</v>
      </c>
      <c r="B39" s="2">
        <v>88.75</v>
      </c>
      <c r="D39" s="6">
        <f t="shared" si="0"/>
        <v>57.305439379731268</v>
      </c>
      <c r="E39">
        <f t="shared" si="1"/>
        <v>4.0483955473083491</v>
      </c>
    </row>
    <row r="40" spans="1:5" x14ac:dyDescent="0.35">
      <c r="A40" s="1">
        <v>37681</v>
      </c>
      <c r="B40" s="2">
        <v>89.07</v>
      </c>
      <c r="D40" s="6">
        <f t="shared" si="0"/>
        <v>57.512061809044098</v>
      </c>
      <c r="E40">
        <f t="shared" si="1"/>
        <v>4.0519946963966014</v>
      </c>
    </row>
    <row r="41" spans="1:5" x14ac:dyDescent="0.35">
      <c r="A41" s="1">
        <v>37712</v>
      </c>
      <c r="B41" s="2">
        <v>90.12</v>
      </c>
      <c r="D41" s="6">
        <f t="shared" si="0"/>
        <v>58.190041655226842</v>
      </c>
      <c r="E41">
        <f t="shared" si="1"/>
        <v>4.0637142345168673</v>
      </c>
    </row>
    <row r="42" spans="1:5" x14ac:dyDescent="0.35">
      <c r="A42" s="1">
        <v>37742</v>
      </c>
      <c r="B42" s="2">
        <v>90.6</v>
      </c>
      <c r="D42" s="6">
        <f t="shared" si="0"/>
        <v>58.499975299196088</v>
      </c>
      <c r="E42">
        <f t="shared" si="1"/>
        <v>4.0690263320017577</v>
      </c>
    </row>
    <row r="43" spans="1:5" x14ac:dyDescent="0.35">
      <c r="A43" s="1">
        <v>37773</v>
      </c>
      <c r="B43" s="2">
        <v>90.24</v>
      </c>
      <c r="D43" s="6">
        <f t="shared" si="0"/>
        <v>58.26752506621915</v>
      </c>
      <c r="E43">
        <f t="shared" si="1"/>
        <v>4.0650449067025729</v>
      </c>
    </row>
    <row r="44" spans="1:5" x14ac:dyDescent="0.35">
      <c r="A44" s="1">
        <v>37803</v>
      </c>
      <c r="B44" s="2">
        <v>91.92</v>
      </c>
      <c r="D44" s="6">
        <f t="shared" si="0"/>
        <v>59.352292820111529</v>
      </c>
      <c r="E44">
        <f t="shared" si="1"/>
        <v>4.0834907524933239</v>
      </c>
    </row>
    <row r="45" spans="1:5" x14ac:dyDescent="0.35">
      <c r="A45" s="1">
        <v>37834</v>
      </c>
      <c r="B45" s="2">
        <v>90.31</v>
      </c>
      <c r="D45" s="6">
        <f t="shared" si="0"/>
        <v>58.312723722631333</v>
      </c>
      <c r="E45">
        <f t="shared" si="1"/>
        <v>4.0658203152155314</v>
      </c>
    </row>
    <row r="46" spans="1:5" x14ac:dyDescent="0.35">
      <c r="A46" s="1">
        <v>37865</v>
      </c>
      <c r="B46" s="2">
        <v>91.65</v>
      </c>
      <c r="D46" s="6">
        <f t="shared" si="0"/>
        <v>59.177955145378832</v>
      </c>
      <c r="E46">
        <f t="shared" si="1"/>
        <v>4.0805490932385382</v>
      </c>
    </row>
    <row r="47" spans="1:5" x14ac:dyDescent="0.35">
      <c r="A47" s="1">
        <v>37895</v>
      </c>
      <c r="B47" s="2">
        <v>91.88</v>
      </c>
      <c r="D47" s="6">
        <f t="shared" si="0"/>
        <v>59.326465016447422</v>
      </c>
      <c r="E47">
        <f t="shared" si="1"/>
        <v>4.0830554967737216</v>
      </c>
    </row>
    <row r="48" spans="1:5" x14ac:dyDescent="0.35">
      <c r="A48" s="1">
        <v>37926</v>
      </c>
      <c r="B48" s="2">
        <v>92.04</v>
      </c>
      <c r="D48" s="6">
        <f t="shared" si="0"/>
        <v>59.429776231103851</v>
      </c>
      <c r="E48">
        <f t="shared" si="1"/>
        <v>4.0847953841199889</v>
      </c>
    </row>
    <row r="49" spans="1:5" x14ac:dyDescent="0.35">
      <c r="A49" s="1">
        <v>37956</v>
      </c>
      <c r="B49" s="2">
        <v>92.88</v>
      </c>
      <c r="D49" s="6">
        <f t="shared" si="0"/>
        <v>59.972160108050041</v>
      </c>
      <c r="E49">
        <f t="shared" si="1"/>
        <v>4.0938804563424602</v>
      </c>
    </row>
    <row r="50" spans="1:5" x14ac:dyDescent="0.35">
      <c r="A50" s="1">
        <v>37987</v>
      </c>
      <c r="B50" s="2">
        <v>93.92</v>
      </c>
      <c r="D50" s="6">
        <f t="shared" si="0"/>
        <v>60.643683003316752</v>
      </c>
      <c r="E50">
        <f t="shared" si="1"/>
        <v>4.1050154750326104</v>
      </c>
    </row>
    <row r="51" spans="1:5" x14ac:dyDescent="0.35">
      <c r="A51" s="1">
        <v>38018</v>
      </c>
      <c r="B51" s="2">
        <v>93.75</v>
      </c>
      <c r="D51" s="6">
        <f t="shared" si="0"/>
        <v>60.533914837744305</v>
      </c>
      <c r="E51">
        <f t="shared" si="1"/>
        <v>4.1032037838033437</v>
      </c>
    </row>
    <row r="52" spans="1:5" x14ac:dyDescent="0.35">
      <c r="A52" s="1">
        <v>38047</v>
      </c>
      <c r="B52" s="2">
        <v>94.82</v>
      </c>
      <c r="D52" s="6">
        <f t="shared" si="0"/>
        <v>61.224808585759085</v>
      </c>
      <c r="E52">
        <f t="shared" si="1"/>
        <v>4.1145524764267956</v>
      </c>
    </row>
    <row r="53" spans="1:5" x14ac:dyDescent="0.35">
      <c r="A53" s="1">
        <v>38078</v>
      </c>
      <c r="B53" s="2">
        <v>93.58</v>
      </c>
      <c r="D53" s="6">
        <f t="shared" si="0"/>
        <v>60.424146672171851</v>
      </c>
      <c r="E53">
        <f t="shared" si="1"/>
        <v>4.1013888043908935</v>
      </c>
    </row>
    <row r="54" spans="1:5" x14ac:dyDescent="0.35">
      <c r="A54" s="1">
        <v>38108</v>
      </c>
      <c r="B54" s="2">
        <v>94.62</v>
      </c>
      <c r="D54" s="6">
        <f t="shared" si="0"/>
        <v>61.095669567438563</v>
      </c>
      <c r="E54">
        <f t="shared" si="1"/>
        <v>4.112440989155826</v>
      </c>
    </row>
    <row r="55" spans="1:5" x14ac:dyDescent="0.35">
      <c r="A55" s="1">
        <v>38139</v>
      </c>
      <c r="B55" s="2">
        <v>95.01</v>
      </c>
      <c r="D55" s="6">
        <f t="shared" si="0"/>
        <v>61.347490653163575</v>
      </c>
      <c r="E55">
        <f t="shared" si="1"/>
        <v>4.1165542681714822</v>
      </c>
    </row>
    <row r="56" spans="1:5" x14ac:dyDescent="0.35">
      <c r="A56" s="1">
        <v>38169</v>
      </c>
      <c r="B56" s="2">
        <v>95.45</v>
      </c>
      <c r="D56" s="6">
        <f t="shared" si="0"/>
        <v>61.631596493468727</v>
      </c>
      <c r="E56">
        <f t="shared" si="1"/>
        <v>4.1211746691245805</v>
      </c>
    </row>
    <row r="57" spans="1:5" x14ac:dyDescent="0.35">
      <c r="A57" s="1">
        <v>38200</v>
      </c>
      <c r="B57" s="2">
        <v>95.09</v>
      </c>
      <c r="D57" s="6">
        <f t="shared" si="0"/>
        <v>61.399146260491797</v>
      </c>
      <c r="E57">
        <f t="shared" si="1"/>
        <v>4.117395930504177</v>
      </c>
    </row>
    <row r="58" spans="1:5" x14ac:dyDescent="0.35">
      <c r="A58" s="1">
        <v>38231</v>
      </c>
      <c r="B58" s="2">
        <v>95.62</v>
      </c>
      <c r="D58" s="6">
        <f t="shared" si="0"/>
        <v>61.741364659041182</v>
      </c>
      <c r="E58">
        <f t="shared" si="1"/>
        <v>4.1229541221507811</v>
      </c>
    </row>
    <row r="59" spans="1:5" x14ac:dyDescent="0.35">
      <c r="A59" s="1">
        <v>38261</v>
      </c>
      <c r="B59" s="2">
        <v>97.13</v>
      </c>
      <c r="D59" s="6">
        <f t="shared" si="0"/>
        <v>62.716364247361106</v>
      </c>
      <c r="E59">
        <f t="shared" si="1"/>
        <v>4.1386224063670634</v>
      </c>
    </row>
    <row r="60" spans="1:5" x14ac:dyDescent="0.35">
      <c r="A60" s="1">
        <v>38292</v>
      </c>
      <c r="B60" s="2">
        <v>98.29</v>
      </c>
      <c r="D60" s="6">
        <f t="shared" si="0"/>
        <v>63.46537055362014</v>
      </c>
      <c r="E60">
        <f t="shared" si="1"/>
        <v>4.150494411531362</v>
      </c>
    </row>
    <row r="61" spans="1:5" x14ac:dyDescent="0.35">
      <c r="A61" s="1">
        <v>38322</v>
      </c>
      <c r="B61" s="3">
        <v>99</v>
      </c>
      <c r="D61" s="6">
        <f>(B61*D62)/B62</f>
        <v>63.92381406865799</v>
      </c>
      <c r="E61">
        <f t="shared" si="1"/>
        <v>4.1576919690874137</v>
      </c>
    </row>
    <row r="62" spans="1:5" x14ac:dyDescent="0.35">
      <c r="A62" s="1">
        <v>38353</v>
      </c>
      <c r="B62" s="2">
        <v>98.41</v>
      </c>
      <c r="C62" s="5">
        <v>63.542853964612448</v>
      </c>
      <c r="D62" s="5">
        <v>63.542853964612448</v>
      </c>
      <c r="E62">
        <f t="shared" si="1"/>
        <v>4.1517145438637177</v>
      </c>
    </row>
    <row r="63" spans="1:5" x14ac:dyDescent="0.35">
      <c r="A63" s="1">
        <v>38384</v>
      </c>
      <c r="B63" s="2">
        <v>98.65</v>
      </c>
      <c r="C63" s="5">
        <v>64.322306621953075</v>
      </c>
      <c r="D63" s="5">
        <v>64.322306621953075</v>
      </c>
      <c r="E63">
        <f t="shared" si="1"/>
        <v>4.1639064858874155</v>
      </c>
    </row>
    <row r="64" spans="1:5" x14ac:dyDescent="0.35">
      <c r="A64" s="1">
        <v>38412</v>
      </c>
      <c r="B64" s="2">
        <v>99.26</v>
      </c>
      <c r="C64" s="5">
        <v>64.214729295571644</v>
      </c>
      <c r="D64" s="5">
        <v>64.214729295571644</v>
      </c>
      <c r="E64">
        <f t="shared" si="1"/>
        <v>4.1622326126612048</v>
      </c>
    </row>
    <row r="65" spans="1:5" x14ac:dyDescent="0.35">
      <c r="A65" s="1">
        <v>38443</v>
      </c>
      <c r="B65" s="2">
        <v>99.18</v>
      </c>
      <c r="C65" s="5">
        <v>64.949492958426077</v>
      </c>
      <c r="D65" s="5">
        <v>64.949492958426077</v>
      </c>
      <c r="E65">
        <f t="shared" si="1"/>
        <v>4.1736099364414265</v>
      </c>
    </row>
    <row r="66" spans="1:5" x14ac:dyDescent="0.35">
      <c r="A66" s="1">
        <v>38473</v>
      </c>
      <c r="B66" s="2">
        <v>98.97</v>
      </c>
      <c r="C66" s="5">
        <v>63.917762293902399</v>
      </c>
      <c r="D66" s="5">
        <v>63.917762293902399</v>
      </c>
      <c r="E66">
        <f t="shared" si="1"/>
        <v>4.157597292927556</v>
      </c>
    </row>
    <row r="67" spans="1:5" x14ac:dyDescent="0.35">
      <c r="A67" s="1">
        <v>38504</v>
      </c>
      <c r="B67" s="2">
        <v>99.67</v>
      </c>
      <c r="C67" s="5">
        <v>64.470716693891347</v>
      </c>
      <c r="D67" s="5">
        <v>64.470716693891347</v>
      </c>
      <c r="E67">
        <f t="shared" ref="E67:E130" si="2">LN(D67)</f>
        <v>4.1662111159644981</v>
      </c>
    </row>
    <row r="68" spans="1:5" x14ac:dyDescent="0.35">
      <c r="A68" s="1">
        <v>38534</v>
      </c>
      <c r="B68" s="2">
        <v>99.61</v>
      </c>
      <c r="C68" s="5">
        <v>63.985311227229644</v>
      </c>
      <c r="D68" s="5">
        <v>63.985311227229644</v>
      </c>
      <c r="E68">
        <f t="shared" si="2"/>
        <v>4.158653544943208</v>
      </c>
    </row>
    <row r="69" spans="1:5" x14ac:dyDescent="0.35">
      <c r="A69" s="1">
        <v>38565</v>
      </c>
      <c r="B69" s="2">
        <v>100.88</v>
      </c>
      <c r="C69" s="5">
        <v>65.01952179633625</v>
      </c>
      <c r="D69" s="5">
        <v>65.01952179633625</v>
      </c>
      <c r="E69">
        <f t="shared" si="2"/>
        <v>4.1746875601322602</v>
      </c>
    </row>
    <row r="70" spans="1:5" x14ac:dyDescent="0.35">
      <c r="A70" s="1">
        <v>38596</v>
      </c>
      <c r="B70" s="2">
        <v>100.89</v>
      </c>
      <c r="C70" s="5">
        <v>64.893755272249152</v>
      </c>
      <c r="D70" s="5">
        <v>64.893755272249152</v>
      </c>
      <c r="E70">
        <f t="shared" si="2"/>
        <v>4.1727513983139524</v>
      </c>
    </row>
    <row r="71" spans="1:5" x14ac:dyDescent="0.35">
      <c r="A71" s="1">
        <v>38626</v>
      </c>
      <c r="B71" s="2">
        <v>101.07</v>
      </c>
      <c r="C71" s="5">
        <v>64.956844515066777</v>
      </c>
      <c r="D71" s="5">
        <v>64.956844515066777</v>
      </c>
      <c r="E71">
        <f t="shared" si="2"/>
        <v>4.1737231188587209</v>
      </c>
    </row>
    <row r="72" spans="1:5" x14ac:dyDescent="0.35">
      <c r="A72" s="1">
        <v>38657</v>
      </c>
      <c r="B72" s="2">
        <v>101.24</v>
      </c>
      <c r="C72" s="5">
        <v>65.253599722863612</v>
      </c>
      <c r="D72" s="5">
        <v>65.253599722863612</v>
      </c>
      <c r="E72">
        <f t="shared" si="2"/>
        <v>4.1782812128475877</v>
      </c>
    </row>
    <row r="73" spans="1:5" x14ac:dyDescent="0.35">
      <c r="A73" s="1">
        <v>38687</v>
      </c>
      <c r="B73" s="2">
        <v>102.16</v>
      </c>
      <c r="C73" s="5">
        <v>66.928427227455401</v>
      </c>
      <c r="D73" s="5">
        <v>66.928427227455401</v>
      </c>
      <c r="E73">
        <f t="shared" si="2"/>
        <v>4.2036237980684152</v>
      </c>
    </row>
    <row r="74" spans="1:5" x14ac:dyDescent="0.35">
      <c r="A74" s="1">
        <v>38718</v>
      </c>
      <c r="B74" s="2">
        <v>102.39</v>
      </c>
      <c r="C74" s="5">
        <v>66.793845254805518</v>
      </c>
      <c r="D74" s="5">
        <v>66.793845254805518</v>
      </c>
      <c r="E74">
        <f t="shared" si="2"/>
        <v>4.2016109393936256</v>
      </c>
    </row>
    <row r="75" spans="1:5" x14ac:dyDescent="0.35">
      <c r="A75" s="1">
        <v>38749</v>
      </c>
      <c r="B75" s="2">
        <v>103.44</v>
      </c>
      <c r="C75" s="5">
        <v>67.24666447559504</v>
      </c>
      <c r="D75" s="5">
        <v>67.24666447559504</v>
      </c>
      <c r="E75">
        <f t="shared" si="2"/>
        <v>4.2083674183759729</v>
      </c>
    </row>
    <row r="76" spans="1:5" x14ac:dyDescent="0.35">
      <c r="A76" s="1">
        <v>38777</v>
      </c>
      <c r="B76" s="2">
        <v>104.02</v>
      </c>
      <c r="C76" s="5">
        <v>67.77497972721045</v>
      </c>
      <c r="D76" s="5">
        <v>67.77497972721045</v>
      </c>
      <c r="E76">
        <f t="shared" si="2"/>
        <v>4.2161930962656946</v>
      </c>
    </row>
    <row r="77" spans="1:5" x14ac:dyDescent="0.35">
      <c r="A77" s="1">
        <v>38808</v>
      </c>
      <c r="B77" s="2">
        <v>104.57</v>
      </c>
      <c r="C77" s="5">
        <v>67.288944803777866</v>
      </c>
      <c r="D77" s="5">
        <v>67.288944803777866</v>
      </c>
      <c r="E77">
        <f t="shared" si="2"/>
        <v>4.2089959557543111</v>
      </c>
    </row>
    <row r="78" spans="1:5" x14ac:dyDescent="0.35">
      <c r="A78" s="1">
        <v>38838</v>
      </c>
      <c r="B78" s="2">
        <v>105.5</v>
      </c>
      <c r="C78" s="5">
        <v>68.163160240034429</v>
      </c>
      <c r="D78" s="5">
        <v>68.163160240034429</v>
      </c>
      <c r="E78">
        <f t="shared" si="2"/>
        <v>4.2219042464702152</v>
      </c>
    </row>
    <row r="79" spans="1:5" x14ac:dyDescent="0.35">
      <c r="A79" s="1">
        <v>38869</v>
      </c>
      <c r="B79" s="2">
        <v>106.28</v>
      </c>
      <c r="C79" s="5">
        <v>67.759711917417633</v>
      </c>
      <c r="D79" s="5">
        <v>67.759711917417633</v>
      </c>
      <c r="E79">
        <f t="shared" si="2"/>
        <v>4.2159677988208539</v>
      </c>
    </row>
    <row r="80" spans="1:5" x14ac:dyDescent="0.35">
      <c r="A80" s="1">
        <v>38899</v>
      </c>
      <c r="B80" s="2">
        <v>106.87</v>
      </c>
      <c r="C80" s="5">
        <v>68.548940937760676</v>
      </c>
      <c r="D80" s="5">
        <v>68.548940937760676</v>
      </c>
      <c r="E80">
        <f t="shared" si="2"/>
        <v>4.2275479564033578</v>
      </c>
    </row>
    <row r="81" spans="1:5" x14ac:dyDescent="0.35">
      <c r="A81" s="1">
        <v>38930</v>
      </c>
      <c r="B81" s="2">
        <v>107.56</v>
      </c>
      <c r="C81" s="5">
        <v>69.528086891027996</v>
      </c>
      <c r="D81" s="5">
        <v>69.528086891027996</v>
      </c>
      <c r="E81">
        <f t="shared" si="2"/>
        <v>4.2417307988615098</v>
      </c>
    </row>
    <row r="82" spans="1:5" x14ac:dyDescent="0.35">
      <c r="A82" s="1">
        <v>38961</v>
      </c>
      <c r="B82" s="2">
        <v>108.46</v>
      </c>
      <c r="C82" s="5">
        <v>70.208475773185839</v>
      </c>
      <c r="D82" s="5">
        <v>70.208475773185839</v>
      </c>
      <c r="E82">
        <f t="shared" si="2"/>
        <v>4.2514690412533485</v>
      </c>
    </row>
    <row r="83" spans="1:5" x14ac:dyDescent="0.35">
      <c r="A83" s="1">
        <v>38991</v>
      </c>
      <c r="B83" s="2">
        <v>108.78</v>
      </c>
      <c r="C83" s="5">
        <v>70.056617172574349</v>
      </c>
      <c r="D83" s="5">
        <v>70.056617172574349</v>
      </c>
      <c r="E83">
        <f t="shared" si="2"/>
        <v>4.2493037318844173</v>
      </c>
    </row>
    <row r="84" spans="1:5" x14ac:dyDescent="0.35">
      <c r="A84" s="1">
        <v>39022</v>
      </c>
      <c r="B84" s="2">
        <v>109.19</v>
      </c>
      <c r="C84" s="5">
        <v>70.854929683888813</v>
      </c>
      <c r="D84" s="5">
        <v>70.854929683888813</v>
      </c>
      <c r="E84">
        <f t="shared" si="2"/>
        <v>4.2606345428818573</v>
      </c>
    </row>
    <row r="85" spans="1:5" x14ac:dyDescent="0.35">
      <c r="A85" s="1">
        <v>39052</v>
      </c>
      <c r="B85" s="2">
        <v>108.52</v>
      </c>
      <c r="C85" s="5">
        <v>70.351335401365915</v>
      </c>
      <c r="D85" s="5">
        <v>70.351335401365915</v>
      </c>
      <c r="E85">
        <f t="shared" si="2"/>
        <v>4.2535017656313521</v>
      </c>
    </row>
    <row r="86" spans="1:5" x14ac:dyDescent="0.35">
      <c r="A86" s="1">
        <v>39083</v>
      </c>
      <c r="B86" s="2">
        <v>109.97</v>
      </c>
      <c r="C86" s="5">
        <v>70.89519546765564</v>
      </c>
      <c r="D86" s="5">
        <v>70.89519546765564</v>
      </c>
      <c r="E86">
        <f t="shared" si="2"/>
        <v>4.2612026663287574</v>
      </c>
    </row>
    <row r="87" spans="1:5" x14ac:dyDescent="0.35">
      <c r="A87" s="1">
        <v>39114</v>
      </c>
      <c r="B87" s="2">
        <v>110.51</v>
      </c>
      <c r="C87" s="5">
        <v>71.708556567959164</v>
      </c>
      <c r="D87" s="5">
        <v>71.708556567959164</v>
      </c>
      <c r="E87">
        <f t="shared" si="2"/>
        <v>4.2726100789505672</v>
      </c>
    </row>
    <row r="88" spans="1:5" x14ac:dyDescent="0.35">
      <c r="A88" s="1">
        <v>39142</v>
      </c>
      <c r="B88" s="2">
        <v>111.19</v>
      </c>
      <c r="C88" s="5">
        <v>72.091718331764326</v>
      </c>
      <c r="D88" s="5">
        <v>72.091718331764326</v>
      </c>
      <c r="E88">
        <f t="shared" si="2"/>
        <v>4.2779391740564598</v>
      </c>
    </row>
    <row r="89" spans="1:5" x14ac:dyDescent="0.35">
      <c r="A89" s="1">
        <v>39173</v>
      </c>
      <c r="B89" s="2">
        <v>110.54</v>
      </c>
      <c r="C89" s="5">
        <v>71.332602800313126</v>
      </c>
      <c r="D89" s="5">
        <v>71.332602800313126</v>
      </c>
      <c r="E89">
        <f t="shared" si="2"/>
        <v>4.2673534851841959</v>
      </c>
    </row>
    <row r="90" spans="1:5" x14ac:dyDescent="0.35">
      <c r="A90" s="1">
        <v>39203</v>
      </c>
      <c r="B90" s="2">
        <v>111.48</v>
      </c>
      <c r="C90" s="5">
        <v>72.360666485132498</v>
      </c>
      <c r="D90" s="5">
        <v>72.360666485132498</v>
      </c>
      <c r="E90">
        <f t="shared" si="2"/>
        <v>4.2816628711692051</v>
      </c>
    </row>
    <row r="91" spans="1:5" x14ac:dyDescent="0.35">
      <c r="A91" s="1">
        <v>39234</v>
      </c>
      <c r="B91" s="2">
        <v>112.72</v>
      </c>
      <c r="C91" s="5">
        <v>72.812458009356746</v>
      </c>
      <c r="D91" s="5">
        <v>72.812458009356746</v>
      </c>
      <c r="E91">
        <f t="shared" si="2"/>
        <v>4.2878870670643234</v>
      </c>
    </row>
    <row r="92" spans="1:5" x14ac:dyDescent="0.35">
      <c r="A92" s="1">
        <v>39264</v>
      </c>
      <c r="B92" s="2">
        <v>112.45</v>
      </c>
      <c r="C92" s="5">
        <v>72.844739691450741</v>
      </c>
      <c r="D92" s="5">
        <v>72.844739691450741</v>
      </c>
      <c r="E92">
        <f t="shared" si="2"/>
        <v>4.2883303226415572</v>
      </c>
    </row>
    <row r="93" spans="1:5" x14ac:dyDescent="0.35">
      <c r="A93" s="1">
        <v>39295</v>
      </c>
      <c r="B93" s="2">
        <v>114.24</v>
      </c>
      <c r="C93" s="5">
        <v>73.767901542484793</v>
      </c>
      <c r="D93" s="5">
        <v>73.767901542484793</v>
      </c>
      <c r="E93">
        <f t="shared" si="2"/>
        <v>4.3009236985445494</v>
      </c>
    </row>
    <row r="94" spans="1:5" x14ac:dyDescent="0.35">
      <c r="A94" s="1">
        <v>39326</v>
      </c>
      <c r="B94" s="2">
        <v>115.37</v>
      </c>
      <c r="C94" s="5">
        <v>74.259607335449743</v>
      </c>
      <c r="D94" s="5">
        <v>74.259607335449743</v>
      </c>
      <c r="E94">
        <f t="shared" si="2"/>
        <v>4.3075671610356512</v>
      </c>
    </row>
    <row r="95" spans="1:5" x14ac:dyDescent="0.35">
      <c r="A95" s="1">
        <v>39356</v>
      </c>
      <c r="B95" s="2">
        <v>115.73</v>
      </c>
      <c r="C95" s="5">
        <v>74.52427170113954</v>
      </c>
      <c r="D95" s="5">
        <v>74.52427170113954</v>
      </c>
      <c r="E95">
        <f t="shared" si="2"/>
        <v>4.31112486697213</v>
      </c>
    </row>
    <row r="96" spans="1:5" x14ac:dyDescent="0.35">
      <c r="A96" s="1">
        <v>39387</v>
      </c>
      <c r="B96" s="2">
        <v>117.06</v>
      </c>
      <c r="C96" s="5">
        <v>75.163155298714557</v>
      </c>
      <c r="D96" s="5">
        <v>75.163155298714557</v>
      </c>
      <c r="E96">
        <f t="shared" si="2"/>
        <v>4.3196611547539527</v>
      </c>
    </row>
    <row r="97" spans="1:5" x14ac:dyDescent="0.35">
      <c r="A97" s="1">
        <v>39417</v>
      </c>
      <c r="B97" s="2">
        <v>116.51</v>
      </c>
      <c r="C97" s="5">
        <v>74.829827110653554</v>
      </c>
      <c r="D97" s="5">
        <v>74.829827110653554</v>
      </c>
      <c r="E97">
        <f t="shared" si="2"/>
        <v>4.3152165636613411</v>
      </c>
    </row>
    <row r="98" spans="1:5" x14ac:dyDescent="0.35">
      <c r="A98" s="1">
        <v>39448</v>
      </c>
      <c r="B98" s="2">
        <v>117.18</v>
      </c>
      <c r="C98" s="5">
        <v>75.54241490062283</v>
      </c>
      <c r="D98" s="5">
        <v>75.54241490062283</v>
      </c>
      <c r="E98">
        <f t="shared" si="2"/>
        <v>4.3246942852750871</v>
      </c>
    </row>
    <row r="99" spans="1:5" x14ac:dyDescent="0.35">
      <c r="A99" s="1">
        <v>39479</v>
      </c>
      <c r="B99" s="2">
        <v>117.21</v>
      </c>
      <c r="C99" s="5">
        <v>75.538716160550862</v>
      </c>
      <c r="D99" s="5">
        <v>75.538716160550862</v>
      </c>
      <c r="E99">
        <f t="shared" si="2"/>
        <v>4.3246453216481049</v>
      </c>
    </row>
    <row r="100" spans="1:5" x14ac:dyDescent="0.35">
      <c r="A100" s="1">
        <v>39508</v>
      </c>
      <c r="B100" s="2">
        <v>115.9</v>
      </c>
      <c r="C100" s="5">
        <v>74.296987832879353</v>
      </c>
      <c r="D100" s="5">
        <v>74.296987832879353</v>
      </c>
      <c r="E100">
        <f t="shared" si="2"/>
        <v>4.3080704102946443</v>
      </c>
    </row>
    <row r="101" spans="1:5" x14ac:dyDescent="0.35">
      <c r="A101" s="1">
        <v>39539</v>
      </c>
      <c r="B101" s="2">
        <v>116.5</v>
      </c>
      <c r="C101" s="5">
        <v>75.406059091251294</v>
      </c>
      <c r="D101" s="5">
        <v>75.406059091251294</v>
      </c>
      <c r="E101">
        <f t="shared" si="2"/>
        <v>4.3228876310856901</v>
      </c>
    </row>
    <row r="102" spans="1:5" x14ac:dyDescent="0.35">
      <c r="A102" s="1">
        <v>39569</v>
      </c>
      <c r="B102" s="2">
        <v>116.63</v>
      </c>
      <c r="C102" s="5">
        <v>74.613998064792924</v>
      </c>
      <c r="D102" s="5">
        <v>74.613998064792924</v>
      </c>
      <c r="E102">
        <f t="shared" si="2"/>
        <v>4.3123281312264368</v>
      </c>
    </row>
    <row r="103" spans="1:5" x14ac:dyDescent="0.35">
      <c r="A103" s="1">
        <v>39600</v>
      </c>
      <c r="B103" s="2">
        <v>117.12</v>
      </c>
      <c r="C103" s="5">
        <v>74.960449128059253</v>
      </c>
      <c r="D103" s="5">
        <v>74.960449128059253</v>
      </c>
      <c r="E103">
        <f t="shared" si="2"/>
        <v>4.3169606294818443</v>
      </c>
    </row>
    <row r="104" spans="1:5" x14ac:dyDescent="0.35">
      <c r="A104" s="1">
        <v>39630</v>
      </c>
      <c r="B104" s="2">
        <v>118.99</v>
      </c>
      <c r="C104" s="5">
        <v>76.118334894186034</v>
      </c>
      <c r="D104" s="5">
        <v>76.118334894186034</v>
      </c>
      <c r="E104">
        <f t="shared" si="2"/>
        <v>4.3322891674407424</v>
      </c>
    </row>
    <row r="105" spans="1:5" x14ac:dyDescent="0.35">
      <c r="A105" s="1">
        <v>39661</v>
      </c>
      <c r="B105" s="2">
        <v>117.75</v>
      </c>
      <c r="C105" s="5">
        <v>75.832708333376928</v>
      </c>
      <c r="D105" s="5">
        <v>75.832708333376928</v>
      </c>
      <c r="E105">
        <f t="shared" si="2"/>
        <v>4.3285297079312652</v>
      </c>
    </row>
    <row r="106" spans="1:5" x14ac:dyDescent="0.35">
      <c r="A106" s="1">
        <v>39692</v>
      </c>
      <c r="B106" s="2">
        <v>117.84</v>
      </c>
      <c r="C106" s="5">
        <v>76.308130808866963</v>
      </c>
      <c r="D106" s="5">
        <v>76.308130808866963</v>
      </c>
      <c r="E106">
        <f t="shared" si="2"/>
        <v>4.3347794962939927</v>
      </c>
    </row>
    <row r="107" spans="1:5" x14ac:dyDescent="0.35">
      <c r="A107" s="1">
        <v>39722</v>
      </c>
      <c r="B107" s="2">
        <v>117.87</v>
      </c>
      <c r="C107" s="5">
        <v>75.935215786326538</v>
      </c>
      <c r="D107" s="5">
        <v>75.935215786326538</v>
      </c>
      <c r="E107">
        <f t="shared" si="2"/>
        <v>4.329880552902388</v>
      </c>
    </row>
    <row r="108" spans="1:5" x14ac:dyDescent="0.35">
      <c r="A108" s="1">
        <v>39753</v>
      </c>
      <c r="B108" s="2">
        <v>115.43</v>
      </c>
      <c r="C108" s="5">
        <v>74.171123150268812</v>
      </c>
      <c r="D108" s="5">
        <v>74.171123150268812</v>
      </c>
      <c r="E108">
        <f t="shared" si="2"/>
        <v>4.3063748985523631</v>
      </c>
    </row>
    <row r="109" spans="1:5" x14ac:dyDescent="0.35">
      <c r="A109" s="1">
        <v>39783</v>
      </c>
      <c r="B109" s="2">
        <v>116.49</v>
      </c>
      <c r="C109" s="5">
        <v>74.981187887121806</v>
      </c>
      <c r="D109" s="5">
        <v>74.981187887121806</v>
      </c>
      <c r="E109">
        <f t="shared" si="2"/>
        <v>4.3172372539019541</v>
      </c>
    </row>
    <row r="110" spans="1:5" x14ac:dyDescent="0.35">
      <c r="A110" s="1">
        <v>39814</v>
      </c>
      <c r="B110" s="2">
        <v>116.99</v>
      </c>
      <c r="C110" s="5">
        <v>74.328361144665251</v>
      </c>
      <c r="D110" s="5">
        <v>74.328361144665251</v>
      </c>
      <c r="E110">
        <f t="shared" si="2"/>
        <v>4.3084925901242324</v>
      </c>
    </row>
    <row r="111" spans="1:5" x14ac:dyDescent="0.35">
      <c r="A111" s="1">
        <v>39845</v>
      </c>
      <c r="B111" s="2">
        <v>118.05</v>
      </c>
      <c r="C111" s="5">
        <v>75.729488638129538</v>
      </c>
      <c r="D111" s="5">
        <v>75.729488638129538</v>
      </c>
      <c r="E111">
        <f t="shared" si="2"/>
        <v>4.3271676306683569</v>
      </c>
    </row>
    <row r="112" spans="1:5" x14ac:dyDescent="0.35">
      <c r="A112" s="1">
        <v>39873</v>
      </c>
      <c r="B112" s="2">
        <v>118.04</v>
      </c>
      <c r="C112" s="5">
        <v>75.373522656753039</v>
      </c>
      <c r="D112" s="5">
        <v>75.373522656753039</v>
      </c>
      <c r="E112">
        <f t="shared" si="2"/>
        <v>4.322456054944861</v>
      </c>
    </row>
    <row r="113" spans="1:5" x14ac:dyDescent="0.35">
      <c r="A113" s="1">
        <v>39904</v>
      </c>
      <c r="B113" s="2">
        <v>119.26</v>
      </c>
      <c r="C113" s="5">
        <v>75.982350629036958</v>
      </c>
      <c r="D113" s="5">
        <v>75.982350629036958</v>
      </c>
      <c r="E113">
        <f t="shared" si="2"/>
        <v>4.3305010847517993</v>
      </c>
    </row>
    <row r="114" spans="1:5" x14ac:dyDescent="0.35">
      <c r="A114" s="1">
        <v>39934</v>
      </c>
      <c r="B114" s="2">
        <v>119.61</v>
      </c>
      <c r="C114" s="5">
        <v>75.941926312045624</v>
      </c>
      <c r="D114" s="5">
        <v>75.941926312045624</v>
      </c>
      <c r="E114">
        <f t="shared" si="2"/>
        <v>4.3299689207190424</v>
      </c>
    </row>
    <row r="115" spans="1:5" x14ac:dyDescent="0.35">
      <c r="A115" s="1">
        <v>39965</v>
      </c>
      <c r="B115" s="2">
        <v>119.16</v>
      </c>
      <c r="C115" s="5">
        <v>75.777867423220073</v>
      </c>
      <c r="D115" s="5">
        <v>75.777867423220073</v>
      </c>
      <c r="E115">
        <f t="shared" si="2"/>
        <v>4.3278062635109134</v>
      </c>
    </row>
    <row r="116" spans="1:5" x14ac:dyDescent="0.35">
      <c r="A116" s="1">
        <v>39995</v>
      </c>
      <c r="B116" s="2">
        <v>120.99</v>
      </c>
      <c r="C116" s="5">
        <v>77.669841894927018</v>
      </c>
      <c r="D116" s="5">
        <v>77.669841894927018</v>
      </c>
      <c r="E116">
        <f t="shared" si="2"/>
        <v>4.3524670468292141</v>
      </c>
    </row>
    <row r="117" spans="1:5" x14ac:dyDescent="0.35">
      <c r="A117" s="1">
        <v>40026</v>
      </c>
      <c r="B117" s="2">
        <v>119.61</v>
      </c>
      <c r="C117" s="5">
        <v>75.950309844424908</v>
      </c>
      <c r="D117" s="5">
        <v>75.950309844424908</v>
      </c>
      <c r="E117">
        <f t="shared" si="2"/>
        <v>4.3300793086177247</v>
      </c>
    </row>
    <row r="118" spans="1:5" x14ac:dyDescent="0.35">
      <c r="A118" s="1">
        <v>40057</v>
      </c>
      <c r="B118" s="2">
        <v>119.6</v>
      </c>
      <c r="C118" s="5">
        <v>76.987486088218972</v>
      </c>
      <c r="D118" s="5">
        <v>76.987486088218972</v>
      </c>
      <c r="E118">
        <f t="shared" si="2"/>
        <v>4.3436428903113296</v>
      </c>
    </row>
    <row r="119" spans="1:5" x14ac:dyDescent="0.35">
      <c r="A119" s="1">
        <v>40087</v>
      </c>
      <c r="B119" s="2">
        <v>119.75</v>
      </c>
      <c r="C119" s="5">
        <v>77.246503738389634</v>
      </c>
      <c r="D119" s="5">
        <v>77.246503738389634</v>
      </c>
      <c r="E119">
        <f t="shared" si="2"/>
        <v>4.3470016557036608</v>
      </c>
    </row>
    <row r="120" spans="1:5" x14ac:dyDescent="0.35">
      <c r="A120" s="1">
        <v>40118</v>
      </c>
      <c r="B120" s="2">
        <v>120.07</v>
      </c>
      <c r="C120" s="5">
        <v>77.161921270660301</v>
      </c>
      <c r="D120" s="5">
        <v>77.161921270660301</v>
      </c>
      <c r="E120">
        <f t="shared" si="2"/>
        <v>4.3459060875546491</v>
      </c>
    </row>
    <row r="121" spans="1:5" x14ac:dyDescent="0.35">
      <c r="A121" s="1">
        <v>40148</v>
      </c>
      <c r="B121" s="2">
        <v>121.44</v>
      </c>
      <c r="C121" s="5">
        <v>78.351707758079925</v>
      </c>
      <c r="D121" s="5">
        <v>78.351707758079925</v>
      </c>
      <c r="E121">
        <f t="shared" si="2"/>
        <v>4.3612077650939076</v>
      </c>
    </row>
    <row r="122" spans="1:5" x14ac:dyDescent="0.35">
      <c r="A122" s="1">
        <v>40179</v>
      </c>
      <c r="B122" s="2">
        <v>121.18</v>
      </c>
      <c r="C122" s="5">
        <v>77.266180062315442</v>
      </c>
      <c r="D122" s="5">
        <v>77.266180062315442</v>
      </c>
      <c r="E122">
        <f t="shared" si="2"/>
        <v>4.3472563444909911</v>
      </c>
    </row>
    <row r="123" spans="1:5" x14ac:dyDescent="0.35">
      <c r="A123" s="1">
        <v>40210</v>
      </c>
      <c r="B123" s="2">
        <v>121.86</v>
      </c>
      <c r="C123" s="5">
        <v>78.39244593480376</v>
      </c>
      <c r="D123" s="5">
        <v>78.39244593480376</v>
      </c>
      <c r="E123">
        <f t="shared" si="2"/>
        <v>4.361727569841725</v>
      </c>
    </row>
    <row r="124" spans="1:5" x14ac:dyDescent="0.35">
      <c r="A124" s="1">
        <v>40238</v>
      </c>
      <c r="B124" s="2">
        <v>122.65</v>
      </c>
      <c r="C124" s="5">
        <v>78.769613065718062</v>
      </c>
      <c r="D124" s="5">
        <v>78.769613065718062</v>
      </c>
      <c r="E124">
        <f t="shared" si="2"/>
        <v>4.366527301499513</v>
      </c>
    </row>
    <row r="125" spans="1:5" x14ac:dyDescent="0.35">
      <c r="A125" s="1">
        <v>40269</v>
      </c>
      <c r="B125" s="2">
        <v>123.15</v>
      </c>
      <c r="C125" s="5">
        <v>79.237228808712572</v>
      </c>
      <c r="D125" s="5">
        <v>79.237228808712572</v>
      </c>
      <c r="E125">
        <f t="shared" si="2"/>
        <v>4.3724462490925182</v>
      </c>
    </row>
    <row r="126" spans="1:5" x14ac:dyDescent="0.35">
      <c r="A126" s="1">
        <v>40299</v>
      </c>
      <c r="B126" s="2">
        <v>123.29</v>
      </c>
      <c r="C126" s="5">
        <v>79.033948576927443</v>
      </c>
      <c r="D126" s="5">
        <v>79.033948576927443</v>
      </c>
      <c r="E126">
        <f t="shared" si="2"/>
        <v>4.369877488981901</v>
      </c>
    </row>
    <row r="127" spans="1:5" x14ac:dyDescent="0.35">
      <c r="A127" s="1">
        <v>40330</v>
      </c>
      <c r="B127" s="2">
        <v>123.28</v>
      </c>
      <c r="C127" s="5">
        <v>79.289122939821723</v>
      </c>
      <c r="D127" s="5">
        <v>79.289122939821723</v>
      </c>
      <c r="E127">
        <f t="shared" si="2"/>
        <v>4.3731009558007781</v>
      </c>
    </row>
    <row r="128" spans="1:5" x14ac:dyDescent="0.35">
      <c r="A128" s="1">
        <v>40360</v>
      </c>
      <c r="B128" s="2">
        <v>122.77</v>
      </c>
      <c r="C128" s="5">
        <v>79.370673611444076</v>
      </c>
      <c r="D128" s="5">
        <v>79.370673611444076</v>
      </c>
      <c r="E128">
        <f t="shared" si="2"/>
        <v>4.3741289500447724</v>
      </c>
    </row>
    <row r="129" spans="1:5" x14ac:dyDescent="0.35">
      <c r="A129" s="1">
        <v>40391</v>
      </c>
      <c r="B129" s="2">
        <v>123.82</v>
      </c>
      <c r="C129" s="5">
        <v>79.402162816089543</v>
      </c>
      <c r="D129" s="5">
        <v>79.402162816089543</v>
      </c>
      <c r="E129">
        <f t="shared" si="2"/>
        <v>4.374525607379451</v>
      </c>
    </row>
    <row r="130" spans="1:5" x14ac:dyDescent="0.35">
      <c r="A130" s="1">
        <v>40422</v>
      </c>
      <c r="B130" s="2">
        <v>124.48</v>
      </c>
      <c r="C130" s="5">
        <v>80.489033765666676</v>
      </c>
      <c r="D130" s="5">
        <v>80.489033765666676</v>
      </c>
      <c r="E130">
        <f t="shared" si="2"/>
        <v>4.3881209486313857</v>
      </c>
    </row>
    <row r="131" spans="1:5" x14ac:dyDescent="0.35">
      <c r="A131" s="1">
        <v>40452</v>
      </c>
      <c r="B131" s="2">
        <v>125.93</v>
      </c>
      <c r="C131" s="5">
        <v>81.105913963495908</v>
      </c>
      <c r="D131" s="5">
        <v>81.105913963495908</v>
      </c>
      <c r="E131">
        <f t="shared" ref="E131:E194" si="3">LN(D131)</f>
        <v>4.3957558803307109</v>
      </c>
    </row>
    <row r="132" spans="1:5" x14ac:dyDescent="0.35">
      <c r="A132" s="1">
        <v>40483</v>
      </c>
      <c r="B132" s="2">
        <v>126.31</v>
      </c>
      <c r="C132" s="5">
        <v>81.157668948801458</v>
      </c>
      <c r="D132" s="5">
        <v>81.157668948801458</v>
      </c>
      <c r="E132">
        <f t="shared" si="3"/>
        <v>4.3963937928694543</v>
      </c>
    </row>
    <row r="133" spans="1:5" x14ac:dyDescent="0.35">
      <c r="A133" s="1">
        <v>40513</v>
      </c>
      <c r="B133" s="2">
        <v>127.43</v>
      </c>
      <c r="C133" s="5">
        <v>82.705696148761092</v>
      </c>
      <c r="D133" s="5">
        <v>82.705696148761092</v>
      </c>
      <c r="E133">
        <f t="shared" si="3"/>
        <v>4.415288476909967</v>
      </c>
    </row>
    <row r="134" spans="1:5" x14ac:dyDescent="0.35">
      <c r="A134" s="1">
        <v>40544</v>
      </c>
      <c r="B134" s="2">
        <v>127.82</v>
      </c>
      <c r="C134" s="5">
        <v>82.934505377802793</v>
      </c>
      <c r="D134" s="5">
        <v>82.934505377802793</v>
      </c>
      <c r="E134">
        <f t="shared" si="3"/>
        <v>4.4180512044660585</v>
      </c>
    </row>
    <row r="135" spans="1:5" x14ac:dyDescent="0.35">
      <c r="A135" s="1">
        <v>40575</v>
      </c>
      <c r="B135" s="2">
        <v>127.83</v>
      </c>
      <c r="C135" s="5">
        <v>82.982316349103044</v>
      </c>
      <c r="D135" s="5">
        <v>82.982316349103044</v>
      </c>
      <c r="E135">
        <f t="shared" si="3"/>
        <v>4.4186275290620332</v>
      </c>
    </row>
    <row r="136" spans="1:5" x14ac:dyDescent="0.35">
      <c r="A136" s="1">
        <v>40603</v>
      </c>
      <c r="B136" s="2">
        <v>129.24</v>
      </c>
      <c r="C136" s="5">
        <v>83.721453792643246</v>
      </c>
      <c r="D136" s="5">
        <v>83.721453792643246</v>
      </c>
      <c r="E136">
        <f t="shared" si="3"/>
        <v>4.4274952623654347</v>
      </c>
    </row>
    <row r="137" spans="1:5" x14ac:dyDescent="0.35">
      <c r="A137" s="1">
        <v>40634</v>
      </c>
      <c r="B137" s="2">
        <v>129.65</v>
      </c>
      <c r="C137" s="5">
        <v>83.831375978727635</v>
      </c>
      <c r="D137" s="5">
        <v>83.831375978727635</v>
      </c>
      <c r="E137">
        <f t="shared" si="3"/>
        <v>4.4288073524328411</v>
      </c>
    </row>
    <row r="138" spans="1:5" x14ac:dyDescent="0.35">
      <c r="A138" s="1">
        <v>40664</v>
      </c>
      <c r="B138" s="2">
        <v>130.25</v>
      </c>
      <c r="C138" s="5">
        <v>84.148781275674153</v>
      </c>
      <c r="D138" s="5">
        <v>84.148781275674153</v>
      </c>
      <c r="E138">
        <f t="shared" si="3"/>
        <v>4.4325864377710849</v>
      </c>
    </row>
    <row r="139" spans="1:5" x14ac:dyDescent="0.35">
      <c r="A139" s="1">
        <v>40695</v>
      </c>
      <c r="B139" s="2">
        <v>131.41999999999999</v>
      </c>
      <c r="C139" s="5">
        <v>84.423417635327496</v>
      </c>
      <c r="D139" s="5">
        <v>84.423417635327496</v>
      </c>
      <c r="E139">
        <f t="shared" si="3"/>
        <v>4.4358448232511787</v>
      </c>
    </row>
    <row r="140" spans="1:5" x14ac:dyDescent="0.35">
      <c r="A140" s="1">
        <v>40725</v>
      </c>
      <c r="B140" s="2">
        <v>131.93</v>
      </c>
      <c r="C140" s="5">
        <v>84.861328593375589</v>
      </c>
      <c r="D140" s="5">
        <v>84.861328593375589</v>
      </c>
      <c r="E140">
        <f t="shared" si="3"/>
        <v>4.4410184959487635</v>
      </c>
    </row>
    <row r="141" spans="1:5" x14ac:dyDescent="0.35">
      <c r="A141" s="1">
        <v>40756</v>
      </c>
      <c r="B141" s="2">
        <v>134.36000000000001</v>
      </c>
      <c r="C141" s="5">
        <v>86.501431062059353</v>
      </c>
      <c r="D141" s="5">
        <v>86.501431062059353</v>
      </c>
      <c r="E141">
        <f t="shared" si="3"/>
        <v>4.4601609578710324</v>
      </c>
    </row>
    <row r="142" spans="1:5" x14ac:dyDescent="0.35">
      <c r="A142" s="1">
        <v>40787</v>
      </c>
      <c r="B142" s="2">
        <v>133.21</v>
      </c>
      <c r="C142" s="5">
        <v>86.088995198767961</v>
      </c>
      <c r="D142" s="5">
        <v>86.088995198767961</v>
      </c>
      <c r="E142">
        <f t="shared" si="3"/>
        <v>4.4553815890808766</v>
      </c>
    </row>
    <row r="143" spans="1:5" x14ac:dyDescent="0.35">
      <c r="A143" s="1">
        <v>40817</v>
      </c>
      <c r="B143" s="2">
        <v>133.66999999999999</v>
      </c>
      <c r="C143" s="5">
        <v>86.404668057531055</v>
      </c>
      <c r="D143" s="5">
        <v>86.404668057531055</v>
      </c>
      <c r="E143">
        <f t="shared" si="3"/>
        <v>4.4590417027941722</v>
      </c>
    </row>
    <row r="144" spans="1:5" x14ac:dyDescent="0.35">
      <c r="A144" s="1">
        <v>40848</v>
      </c>
      <c r="B144" s="2">
        <v>134.30000000000001</v>
      </c>
      <c r="C144" s="5">
        <v>86.758125683263572</v>
      </c>
      <c r="D144" s="5">
        <v>86.758125683263572</v>
      </c>
      <c r="E144">
        <f t="shared" si="3"/>
        <v>4.4631240822590126</v>
      </c>
    </row>
    <row r="145" spans="1:5" x14ac:dyDescent="0.35">
      <c r="A145" s="1">
        <v>40878</v>
      </c>
      <c r="B145" s="2">
        <v>134.25</v>
      </c>
      <c r="C145" s="5">
        <v>86.835129899566738</v>
      </c>
      <c r="D145" s="5">
        <v>86.835129899566738</v>
      </c>
      <c r="E145">
        <f t="shared" si="3"/>
        <v>4.4640112621335462</v>
      </c>
    </row>
    <row r="146" spans="1:5" x14ac:dyDescent="0.35">
      <c r="A146" s="1">
        <v>40909</v>
      </c>
      <c r="B146" s="2">
        <v>134.47999999999999</v>
      </c>
      <c r="C146" s="5">
        <v>87.503579218932529</v>
      </c>
      <c r="D146" s="5">
        <v>87.503579218932529</v>
      </c>
      <c r="E146">
        <f t="shared" si="3"/>
        <v>4.4716796978861959</v>
      </c>
    </row>
    <row r="147" spans="1:5" x14ac:dyDescent="0.35">
      <c r="A147" s="1">
        <v>40940</v>
      </c>
      <c r="B147" s="2">
        <v>135</v>
      </c>
      <c r="C147" s="5">
        <v>87.717625994118649</v>
      </c>
      <c r="D147" s="5">
        <v>87.717625994118649</v>
      </c>
      <c r="E147">
        <f t="shared" si="3"/>
        <v>4.4741228597329261</v>
      </c>
    </row>
    <row r="148" spans="1:5" x14ac:dyDescent="0.35">
      <c r="A148" s="1">
        <v>40969</v>
      </c>
      <c r="B148" s="2">
        <v>136.13</v>
      </c>
      <c r="C148" s="5">
        <v>88.396857527629862</v>
      </c>
      <c r="D148" s="5">
        <v>88.396857527629862</v>
      </c>
      <c r="E148">
        <f t="shared" si="3"/>
        <v>4.4818364206817618</v>
      </c>
    </row>
    <row r="149" spans="1:5" x14ac:dyDescent="0.35">
      <c r="A149" s="1">
        <v>41000</v>
      </c>
      <c r="B149" s="2">
        <v>135.96</v>
      </c>
      <c r="C149" s="5">
        <v>87.728624432788351</v>
      </c>
      <c r="D149" s="5">
        <v>87.728624432788351</v>
      </c>
      <c r="E149">
        <f t="shared" si="3"/>
        <v>4.4742482364640601</v>
      </c>
    </row>
    <row r="150" spans="1:5" x14ac:dyDescent="0.35">
      <c r="A150" s="1">
        <v>41030</v>
      </c>
      <c r="B150" s="2">
        <v>136.97999999999999</v>
      </c>
      <c r="C150" s="5">
        <v>88.470778691873946</v>
      </c>
      <c r="D150" s="5">
        <v>88.470778691873946</v>
      </c>
      <c r="E150">
        <f t="shared" si="3"/>
        <v>4.4826723132184441</v>
      </c>
    </row>
    <row r="151" spans="1:5" x14ac:dyDescent="0.35">
      <c r="A151" s="1">
        <v>41061</v>
      </c>
      <c r="B151" s="2">
        <v>137.75</v>
      </c>
      <c r="C151" s="5">
        <v>88.517528803788437</v>
      </c>
      <c r="D151" s="5">
        <v>88.517528803788437</v>
      </c>
      <c r="E151">
        <f t="shared" si="3"/>
        <v>4.4832005979810168</v>
      </c>
    </row>
    <row r="152" spans="1:5" x14ac:dyDescent="0.35">
      <c r="A152" s="1">
        <v>41091</v>
      </c>
      <c r="B152" s="2">
        <v>136.59</v>
      </c>
      <c r="C152" s="5">
        <v>87.985066489417846</v>
      </c>
      <c r="D152" s="5">
        <v>87.985066489417846</v>
      </c>
      <c r="E152">
        <f t="shared" si="3"/>
        <v>4.4771671010938165</v>
      </c>
    </row>
    <row r="153" spans="1:5" x14ac:dyDescent="0.35">
      <c r="A153" s="1">
        <v>41122</v>
      </c>
      <c r="B153" s="2">
        <v>136.21</v>
      </c>
      <c r="C153" s="5">
        <v>86.754058389619857</v>
      </c>
      <c r="D153" s="5">
        <v>86.754058389619857</v>
      </c>
      <c r="E153">
        <f t="shared" si="3"/>
        <v>4.4630772003219752</v>
      </c>
    </row>
    <row r="154" spans="1:5" x14ac:dyDescent="0.35">
      <c r="A154" s="1">
        <v>41153</v>
      </c>
      <c r="B154" s="2">
        <v>136.76</v>
      </c>
      <c r="C154" s="5">
        <v>88.549731844497131</v>
      </c>
      <c r="D154" s="5">
        <v>88.549731844497131</v>
      </c>
      <c r="E154">
        <f t="shared" si="3"/>
        <v>4.4835643359294766</v>
      </c>
    </row>
    <row r="155" spans="1:5" x14ac:dyDescent="0.35">
      <c r="A155" s="1">
        <v>41183</v>
      </c>
      <c r="B155" s="2">
        <v>137.24</v>
      </c>
      <c r="C155" s="5">
        <v>88.666113528860024</v>
      </c>
      <c r="D155" s="5">
        <v>88.666113528860024</v>
      </c>
      <c r="E155">
        <f t="shared" si="3"/>
        <v>4.4848777816978149</v>
      </c>
    </row>
    <row r="156" spans="1:5" x14ac:dyDescent="0.35">
      <c r="A156" s="1">
        <v>41214</v>
      </c>
      <c r="B156" s="2">
        <v>138.6</v>
      </c>
      <c r="C156" s="5">
        <v>89.333240943074216</v>
      </c>
      <c r="D156" s="5">
        <v>89.333240943074216</v>
      </c>
      <c r="E156">
        <f t="shared" si="3"/>
        <v>4.4923736576228936</v>
      </c>
    </row>
    <row r="157" spans="1:5" x14ac:dyDescent="0.35">
      <c r="A157" s="1">
        <v>41244</v>
      </c>
      <c r="B157" s="2">
        <v>137.97</v>
      </c>
      <c r="C157" s="5">
        <v>89.166215155106471</v>
      </c>
      <c r="D157" s="5">
        <v>89.166215155106471</v>
      </c>
      <c r="E157">
        <f t="shared" si="3"/>
        <v>4.4905022139740822</v>
      </c>
    </row>
    <row r="158" spans="1:5" x14ac:dyDescent="0.35">
      <c r="A158" s="1">
        <v>41275</v>
      </c>
      <c r="B158" s="2">
        <v>140.86000000000001</v>
      </c>
      <c r="C158" s="5">
        <v>91.33434317234466</v>
      </c>
      <c r="D158" s="5">
        <v>91.33434317234466</v>
      </c>
      <c r="E158">
        <f t="shared" si="3"/>
        <v>4.5145268742903477</v>
      </c>
    </row>
    <row r="159" spans="1:5" x14ac:dyDescent="0.35">
      <c r="A159" s="1">
        <v>41306</v>
      </c>
      <c r="B159" s="2">
        <v>139.25</v>
      </c>
      <c r="C159" s="5">
        <v>90.704046964759783</v>
      </c>
      <c r="D159" s="5">
        <v>90.704046964759783</v>
      </c>
      <c r="E159">
        <f t="shared" si="3"/>
        <v>4.5076019753622845</v>
      </c>
    </row>
    <row r="160" spans="1:5" x14ac:dyDescent="0.35">
      <c r="A160" s="1">
        <v>41334</v>
      </c>
      <c r="B160" s="2">
        <v>140.29</v>
      </c>
      <c r="C160" s="5">
        <v>90.354226116009016</v>
      </c>
      <c r="D160" s="5">
        <v>90.354226116009016</v>
      </c>
      <c r="E160">
        <f t="shared" si="3"/>
        <v>4.5037377908863165</v>
      </c>
    </row>
    <row r="161" spans="1:5" x14ac:dyDescent="0.35">
      <c r="A161" s="1">
        <v>41365</v>
      </c>
      <c r="B161" s="2">
        <v>141.4</v>
      </c>
      <c r="C161" s="5">
        <v>92.398751481764037</v>
      </c>
      <c r="D161" s="5">
        <v>92.398751481764037</v>
      </c>
      <c r="E161">
        <f t="shared" si="3"/>
        <v>4.5261134664542286</v>
      </c>
    </row>
    <row r="162" spans="1:5" x14ac:dyDescent="0.35">
      <c r="A162" s="1">
        <v>41395</v>
      </c>
      <c r="B162" s="2">
        <v>142.96</v>
      </c>
      <c r="C162" s="5">
        <v>93.06236227638496</v>
      </c>
      <c r="D162" s="5">
        <v>93.06236227638496</v>
      </c>
      <c r="E162">
        <f t="shared" si="3"/>
        <v>4.5332698305386057</v>
      </c>
    </row>
    <row r="163" spans="1:5" x14ac:dyDescent="0.35">
      <c r="A163" s="1">
        <v>41426</v>
      </c>
      <c r="B163" s="2">
        <v>143.53</v>
      </c>
      <c r="C163" s="5">
        <v>92.41408245248094</v>
      </c>
      <c r="D163" s="5">
        <v>92.41408245248094</v>
      </c>
      <c r="E163">
        <f t="shared" si="3"/>
        <v>4.5262793745291789</v>
      </c>
    </row>
    <row r="164" spans="1:5" x14ac:dyDescent="0.35">
      <c r="A164" s="1">
        <v>41456</v>
      </c>
      <c r="B164" s="2">
        <v>144.86000000000001</v>
      </c>
      <c r="C164" s="5">
        <v>93.98214882430797</v>
      </c>
      <c r="D164" s="5">
        <v>93.98214882430797</v>
      </c>
      <c r="E164">
        <f t="shared" si="3"/>
        <v>4.5431048581111693</v>
      </c>
    </row>
    <row r="165" spans="1:5" x14ac:dyDescent="0.35">
      <c r="A165" s="1">
        <v>41487</v>
      </c>
      <c r="B165" s="2">
        <v>144.19999999999999</v>
      </c>
      <c r="C165" s="5">
        <v>92.407444262278688</v>
      </c>
      <c r="D165" s="5">
        <v>92.407444262278688</v>
      </c>
      <c r="E165">
        <f t="shared" si="3"/>
        <v>4.5262075410114804</v>
      </c>
    </row>
    <row r="166" spans="1:5" x14ac:dyDescent="0.35">
      <c r="A166" s="1">
        <v>41518</v>
      </c>
      <c r="B166" s="2">
        <v>144.97</v>
      </c>
      <c r="C166" s="5">
        <v>93.789606910865459</v>
      </c>
      <c r="D166" s="5">
        <v>93.789606910865459</v>
      </c>
      <c r="E166">
        <f t="shared" si="3"/>
        <v>4.5410540493495253</v>
      </c>
    </row>
    <row r="167" spans="1:5" x14ac:dyDescent="0.35">
      <c r="A167" s="1">
        <v>41548</v>
      </c>
      <c r="B167" s="2">
        <v>145.86000000000001</v>
      </c>
      <c r="C167" s="5">
        <v>94.329775309614377</v>
      </c>
      <c r="D167" s="5">
        <v>94.329775309614377</v>
      </c>
      <c r="E167">
        <f t="shared" si="3"/>
        <v>4.5467968906978777</v>
      </c>
    </row>
    <row r="168" spans="1:5" x14ac:dyDescent="0.35">
      <c r="A168" s="1">
        <v>41579</v>
      </c>
      <c r="B168" s="2">
        <v>146.41999999999999</v>
      </c>
      <c r="C168" s="5">
        <v>94.790683056622299</v>
      </c>
      <c r="D168" s="5">
        <v>94.790683056622299</v>
      </c>
      <c r="E168">
        <f t="shared" si="3"/>
        <v>4.5516711244377452</v>
      </c>
    </row>
    <row r="169" spans="1:5" x14ac:dyDescent="0.35">
      <c r="A169" s="1">
        <v>41609</v>
      </c>
      <c r="B169" s="2">
        <v>146.27000000000001</v>
      </c>
      <c r="C169" s="5">
        <v>95.481472219041322</v>
      </c>
      <c r="D169" s="5">
        <v>95.481472219041322</v>
      </c>
      <c r="E169">
        <f t="shared" si="3"/>
        <v>4.5589322204870859</v>
      </c>
    </row>
    <row r="170" spans="1:5" x14ac:dyDescent="0.35">
      <c r="A170" s="1">
        <v>41640</v>
      </c>
      <c r="B170" s="2">
        <v>148.01</v>
      </c>
      <c r="C170" s="5">
        <v>95.732390719089352</v>
      </c>
      <c r="D170" s="5">
        <v>95.732390719089352</v>
      </c>
      <c r="E170">
        <f t="shared" si="3"/>
        <v>4.561556702208418</v>
      </c>
    </row>
    <row r="171" spans="1:5" x14ac:dyDescent="0.35">
      <c r="A171" s="1">
        <v>41671</v>
      </c>
      <c r="B171" s="2">
        <v>148.80000000000001</v>
      </c>
      <c r="C171" s="5">
        <v>97.127067540361423</v>
      </c>
      <c r="D171" s="5">
        <v>97.127067540361423</v>
      </c>
      <c r="E171">
        <f t="shared" si="3"/>
        <v>4.5760200958780866</v>
      </c>
    </row>
    <row r="172" spans="1:5" x14ac:dyDescent="0.35">
      <c r="A172" s="1">
        <v>41699</v>
      </c>
      <c r="B172" s="2">
        <v>147.99</v>
      </c>
      <c r="C172" s="5">
        <v>96.021066312745262</v>
      </c>
      <c r="D172" s="5">
        <v>96.021066312745262</v>
      </c>
      <c r="E172">
        <f t="shared" si="3"/>
        <v>4.5645676081519984</v>
      </c>
    </row>
    <row r="173" spans="1:5" x14ac:dyDescent="0.35">
      <c r="A173" s="1">
        <v>41730</v>
      </c>
      <c r="B173" s="2">
        <v>149.01</v>
      </c>
      <c r="C173" s="5">
        <v>96.390360989598065</v>
      </c>
      <c r="D173" s="5">
        <v>96.390360989598065</v>
      </c>
      <c r="E173">
        <f t="shared" si="3"/>
        <v>4.5684062068827336</v>
      </c>
    </row>
    <row r="174" spans="1:5" x14ac:dyDescent="0.35">
      <c r="A174" s="1">
        <v>41760</v>
      </c>
      <c r="B174" s="2">
        <v>149.26</v>
      </c>
      <c r="C174" s="5">
        <v>96.205930929703385</v>
      </c>
      <c r="D174" s="5">
        <v>96.205930929703385</v>
      </c>
      <c r="E174">
        <f t="shared" si="3"/>
        <v>4.5664910078471683</v>
      </c>
    </row>
    <row r="175" spans="1:5" x14ac:dyDescent="0.35">
      <c r="A175" s="1">
        <v>41791</v>
      </c>
      <c r="B175" s="2">
        <v>148.54</v>
      </c>
      <c r="C175" s="5">
        <v>95.778557257550361</v>
      </c>
      <c r="D175" s="5">
        <v>95.778557257550361</v>
      </c>
      <c r="E175">
        <f t="shared" si="3"/>
        <v>4.5620388317142559</v>
      </c>
    </row>
    <row r="176" spans="1:5" x14ac:dyDescent="0.35">
      <c r="A176" s="1">
        <v>41821</v>
      </c>
      <c r="B176" s="2">
        <v>149.87</v>
      </c>
      <c r="C176" s="5">
        <v>97.031331462423509</v>
      </c>
      <c r="D176" s="5">
        <v>97.031331462423509</v>
      </c>
      <c r="E176">
        <f t="shared" si="3"/>
        <v>4.5750339311158266</v>
      </c>
    </row>
    <row r="177" spans="1:5" x14ac:dyDescent="0.35">
      <c r="A177" s="1">
        <v>41852</v>
      </c>
      <c r="B177" s="2">
        <v>150.38</v>
      </c>
      <c r="C177" s="5">
        <v>96.47673064185625</v>
      </c>
      <c r="D177" s="5">
        <v>96.47673064185625</v>
      </c>
      <c r="E177">
        <f t="shared" si="3"/>
        <v>4.5693018460226318</v>
      </c>
    </row>
    <row r="178" spans="1:5" x14ac:dyDescent="0.35">
      <c r="A178" s="1">
        <v>41883</v>
      </c>
      <c r="B178" s="2">
        <v>150.51</v>
      </c>
      <c r="C178" s="5">
        <v>98.24366317692153</v>
      </c>
      <c r="D178" s="5">
        <v>98.24366317692153</v>
      </c>
      <c r="E178">
        <f t="shared" si="3"/>
        <v>4.5874507517423471</v>
      </c>
    </row>
    <row r="179" spans="1:5" x14ac:dyDescent="0.35">
      <c r="A179" s="1">
        <v>41913</v>
      </c>
      <c r="B179" s="2">
        <v>150.72</v>
      </c>
      <c r="C179" s="5">
        <v>98.693596205454753</v>
      </c>
      <c r="D179" s="5">
        <v>98.693596205454753</v>
      </c>
      <c r="E179">
        <f t="shared" si="3"/>
        <v>4.5920200629308461</v>
      </c>
    </row>
    <row r="180" spans="1:5" x14ac:dyDescent="0.35">
      <c r="A180" s="1">
        <v>41944</v>
      </c>
      <c r="B180" s="2">
        <v>150.21</v>
      </c>
      <c r="C180" s="5">
        <v>97.580876328730909</v>
      </c>
      <c r="D180" s="5">
        <v>97.580876328730909</v>
      </c>
      <c r="E180">
        <f t="shared" si="3"/>
        <v>4.5806815349656365</v>
      </c>
    </row>
    <row r="181" spans="1:5" x14ac:dyDescent="0.35">
      <c r="A181" s="1">
        <v>41974</v>
      </c>
      <c r="B181" s="2">
        <v>151.22</v>
      </c>
      <c r="C181" s="5">
        <v>98.889736626869791</v>
      </c>
      <c r="D181" s="5">
        <v>98.889736626869791</v>
      </c>
      <c r="E181">
        <f t="shared" si="3"/>
        <v>4.5940054579844887</v>
      </c>
    </row>
    <row r="182" spans="1:5" x14ac:dyDescent="0.35">
      <c r="A182" s="1">
        <v>42005</v>
      </c>
      <c r="B182" s="2">
        <v>151.97999999999999</v>
      </c>
      <c r="C182" s="5">
        <v>98.820017687813831</v>
      </c>
      <c r="D182" s="5">
        <v>98.820017687813831</v>
      </c>
      <c r="E182">
        <f t="shared" si="3"/>
        <v>4.5933001924078107</v>
      </c>
    </row>
    <row r="183" spans="1:5" x14ac:dyDescent="0.35">
      <c r="A183" s="1">
        <v>42036</v>
      </c>
      <c r="B183" s="2">
        <v>152.12</v>
      </c>
      <c r="C183" s="5">
        <v>99.350458400026469</v>
      </c>
      <c r="D183" s="5">
        <v>99.350458400026469</v>
      </c>
      <c r="E183">
        <f t="shared" si="3"/>
        <v>4.5986535829783888</v>
      </c>
    </row>
    <row r="184" spans="1:5" x14ac:dyDescent="0.35">
      <c r="A184" s="1">
        <v>42064</v>
      </c>
      <c r="B184" s="2">
        <v>153.08000000000001</v>
      </c>
      <c r="C184" s="5">
        <v>98.858782854262898</v>
      </c>
      <c r="D184" s="5">
        <v>98.858782854262898</v>
      </c>
      <c r="E184">
        <f t="shared" si="3"/>
        <v>4.5936923959909945</v>
      </c>
    </row>
    <row r="185" spans="1:5" x14ac:dyDescent="0.35">
      <c r="A185" s="1">
        <v>42095</v>
      </c>
      <c r="B185" s="2">
        <v>153.63</v>
      </c>
      <c r="C185" s="5">
        <v>99.866858421739792</v>
      </c>
      <c r="D185" s="5">
        <v>99.866858421739792</v>
      </c>
      <c r="E185">
        <f t="shared" si="3"/>
        <v>4.6038378830839903</v>
      </c>
    </row>
    <row r="186" spans="1:5" x14ac:dyDescent="0.35">
      <c r="A186" s="1">
        <v>42125</v>
      </c>
      <c r="B186" s="2">
        <v>153.49</v>
      </c>
      <c r="C186" s="5">
        <v>99.697128116595152</v>
      </c>
      <c r="D186" s="5">
        <v>99.697128116595152</v>
      </c>
      <c r="E186">
        <f t="shared" si="3"/>
        <v>4.6021368713031157</v>
      </c>
    </row>
    <row r="187" spans="1:5" x14ac:dyDescent="0.35">
      <c r="A187" s="1">
        <v>42156</v>
      </c>
      <c r="B187" s="2">
        <v>154.35</v>
      </c>
      <c r="C187" s="5">
        <v>99.504162366550702</v>
      </c>
      <c r="D187" s="5">
        <v>99.504162366550702</v>
      </c>
      <c r="E187">
        <f t="shared" si="3"/>
        <v>4.6001994761192337</v>
      </c>
    </row>
    <row r="188" spans="1:5" x14ac:dyDescent="0.35">
      <c r="A188" s="1">
        <v>42186</v>
      </c>
      <c r="B188" s="2">
        <v>155.07</v>
      </c>
      <c r="C188" s="5">
        <v>101.31586214645935</v>
      </c>
      <c r="D188" s="5">
        <v>101.31586214645935</v>
      </c>
      <c r="E188">
        <f t="shared" si="3"/>
        <v>4.6182429848449154</v>
      </c>
    </row>
    <row r="189" spans="1:5" x14ac:dyDescent="0.35">
      <c r="A189" s="1">
        <v>42217</v>
      </c>
      <c r="B189" s="2">
        <v>155.34</v>
      </c>
      <c r="C189" s="5">
        <v>99.926895519290468</v>
      </c>
      <c r="D189" s="5">
        <v>99.926895519290468</v>
      </c>
      <c r="E189">
        <f t="shared" si="3"/>
        <v>4.6044388738374398</v>
      </c>
    </row>
    <row r="190" spans="1:5" x14ac:dyDescent="0.35">
      <c r="A190" s="1">
        <v>42248</v>
      </c>
      <c r="B190" s="2">
        <v>155.65</v>
      </c>
      <c r="C190" s="5">
        <v>101.04373880624722</v>
      </c>
      <c r="D190" s="5">
        <v>101.04373880624722</v>
      </c>
      <c r="E190">
        <f t="shared" si="3"/>
        <v>4.6155534805865246</v>
      </c>
    </row>
    <row r="191" spans="1:5" x14ac:dyDescent="0.35">
      <c r="A191" s="1">
        <v>42278</v>
      </c>
      <c r="B191" s="2">
        <v>156.22999999999999</v>
      </c>
      <c r="C191" s="5">
        <v>101.05907118852208</v>
      </c>
      <c r="D191" s="5">
        <v>101.05907118852208</v>
      </c>
      <c r="E191">
        <f t="shared" si="3"/>
        <v>4.615705209128099</v>
      </c>
    </row>
    <row r="192" spans="1:5" x14ac:dyDescent="0.35">
      <c r="A192" s="1">
        <v>42309</v>
      </c>
      <c r="B192" s="2">
        <v>155.69</v>
      </c>
      <c r="C192" s="5">
        <v>99.919852525634511</v>
      </c>
      <c r="D192" s="5">
        <v>99.919852525634511</v>
      </c>
      <c r="E192">
        <f t="shared" si="3"/>
        <v>4.6043683898918388</v>
      </c>
    </row>
    <row r="193" spans="1:5" x14ac:dyDescent="0.35">
      <c r="A193" s="1">
        <v>42339</v>
      </c>
      <c r="B193" s="2">
        <v>156.44999999999999</v>
      </c>
      <c r="C193" s="5">
        <v>100.63717196685762</v>
      </c>
      <c r="D193" s="5">
        <v>100.63717196685762</v>
      </c>
      <c r="E193">
        <f t="shared" si="3"/>
        <v>4.6115216920690054</v>
      </c>
    </row>
    <row r="194" spans="1:5" x14ac:dyDescent="0.35">
      <c r="A194" s="1">
        <v>42370</v>
      </c>
      <c r="B194" s="2">
        <v>156.29</v>
      </c>
      <c r="C194" s="5">
        <v>100.89285545684838</v>
      </c>
      <c r="D194" s="5">
        <v>100.89285545684838</v>
      </c>
      <c r="E194">
        <f t="shared" si="3"/>
        <v>4.6140591166944542</v>
      </c>
    </row>
    <row r="195" spans="1:5" x14ac:dyDescent="0.35">
      <c r="A195" s="1">
        <v>42401</v>
      </c>
      <c r="B195" s="2">
        <v>157.12</v>
      </c>
      <c r="C195" s="5">
        <v>102.58536736422307</v>
      </c>
      <c r="D195" s="5">
        <v>102.58536736422307</v>
      </c>
      <c r="E195">
        <f t="shared" ref="E195:E258" si="4">LN(D195)</f>
        <v>4.6306953042832886</v>
      </c>
    </row>
    <row r="196" spans="1:5" x14ac:dyDescent="0.35">
      <c r="A196" s="1">
        <v>42430</v>
      </c>
      <c r="B196" s="2">
        <v>158.66</v>
      </c>
      <c r="C196" s="5">
        <v>101.70897987474044</v>
      </c>
      <c r="D196" s="5">
        <v>101.70897987474044</v>
      </c>
      <c r="E196">
        <f t="shared" si="4"/>
        <v>4.6221155968432326</v>
      </c>
    </row>
    <row r="197" spans="1:5" x14ac:dyDescent="0.35">
      <c r="A197" s="1">
        <v>42461</v>
      </c>
      <c r="B197" s="2">
        <v>155.29</v>
      </c>
      <c r="C197" s="5">
        <v>101.43301957334818</v>
      </c>
      <c r="D197" s="5">
        <v>101.43301957334818</v>
      </c>
      <c r="E197">
        <f t="shared" si="4"/>
        <v>4.6193986749669511</v>
      </c>
    </row>
    <row r="198" spans="1:5" x14ac:dyDescent="0.35">
      <c r="A198" s="1">
        <v>42491</v>
      </c>
      <c r="B198" s="2">
        <v>156.41</v>
      </c>
      <c r="C198" s="5">
        <v>101.79118315802675</v>
      </c>
      <c r="D198" s="5">
        <v>101.79118315802675</v>
      </c>
      <c r="E198">
        <f t="shared" si="4"/>
        <v>4.6229234909159684</v>
      </c>
    </row>
    <row r="199" spans="1:5" x14ac:dyDescent="0.35">
      <c r="A199" s="1">
        <v>42522</v>
      </c>
      <c r="B199" s="2">
        <v>157.38999999999999</v>
      </c>
      <c r="C199" s="5">
        <v>101.82042369740959</v>
      </c>
      <c r="D199" s="5">
        <v>101.82042369740959</v>
      </c>
      <c r="E199">
        <f t="shared" si="4"/>
        <v>4.6232107097050683</v>
      </c>
    </row>
    <row r="200" spans="1:5" x14ac:dyDescent="0.35">
      <c r="A200" s="1">
        <v>42552</v>
      </c>
      <c r="B200" s="2">
        <v>155.04</v>
      </c>
      <c r="C200" s="5">
        <v>99.689892424818169</v>
      </c>
      <c r="D200" s="5">
        <v>99.689892424818169</v>
      </c>
      <c r="E200">
        <f t="shared" si="4"/>
        <v>4.6020642919370109</v>
      </c>
    </row>
    <row r="201" spans="1:5" x14ac:dyDescent="0.35">
      <c r="A201" s="1">
        <v>42583</v>
      </c>
      <c r="B201" s="2">
        <v>160.18</v>
      </c>
      <c r="C201" s="5">
        <v>103.2461807705167</v>
      </c>
      <c r="D201" s="5">
        <v>103.2461807705167</v>
      </c>
      <c r="E201">
        <f t="shared" si="4"/>
        <v>4.6371162410409301</v>
      </c>
    </row>
    <row r="202" spans="1:5" x14ac:dyDescent="0.35">
      <c r="A202" s="1">
        <v>42614</v>
      </c>
      <c r="B202" s="2">
        <v>159.34</v>
      </c>
      <c r="C202" s="5">
        <v>103.65534945758436</v>
      </c>
      <c r="D202" s="5">
        <v>103.65534945758436</v>
      </c>
      <c r="E202">
        <f t="shared" si="4"/>
        <v>4.6410714483322879</v>
      </c>
    </row>
    <row r="203" spans="1:5" x14ac:dyDescent="0.35">
      <c r="A203" s="1">
        <v>42644</v>
      </c>
      <c r="B203" s="2">
        <v>158.68</v>
      </c>
      <c r="C203" s="5">
        <v>102.49870722583825</v>
      </c>
      <c r="D203" s="5">
        <v>102.49870722583825</v>
      </c>
      <c r="E203">
        <f t="shared" si="4"/>
        <v>4.6298501860680794</v>
      </c>
    </row>
    <row r="204" spans="1:5" x14ac:dyDescent="0.35">
      <c r="A204" s="1">
        <v>42675</v>
      </c>
      <c r="B204" s="2">
        <v>159.47999999999999</v>
      </c>
      <c r="C204" s="5">
        <v>103.11328480004147</v>
      </c>
      <c r="D204" s="5">
        <v>103.11328480004147</v>
      </c>
      <c r="E204">
        <f t="shared" si="4"/>
        <v>4.6358282362626646</v>
      </c>
    </row>
    <row r="205" spans="1:5" x14ac:dyDescent="0.35">
      <c r="A205" s="1">
        <v>42705</v>
      </c>
      <c r="B205" s="2">
        <v>159.53</v>
      </c>
      <c r="C205" s="5">
        <v>103.83179318142244</v>
      </c>
      <c r="D205" s="5">
        <v>103.83179318142244</v>
      </c>
      <c r="E205">
        <f t="shared" si="4"/>
        <v>4.6427722165256888</v>
      </c>
    </row>
    <row r="206" spans="1:5" x14ac:dyDescent="0.35">
      <c r="A206" s="1">
        <v>42736</v>
      </c>
      <c r="B206" s="2">
        <v>158.94999999999999</v>
      </c>
      <c r="C206" s="5">
        <v>102.46528467455711</v>
      </c>
      <c r="D206" s="5">
        <v>102.46528467455711</v>
      </c>
      <c r="E206">
        <f t="shared" si="4"/>
        <v>4.6295240551094903</v>
      </c>
    </row>
    <row r="207" spans="1:5" x14ac:dyDescent="0.35">
      <c r="A207" s="1">
        <v>42767</v>
      </c>
      <c r="B207" s="2">
        <v>158.78</v>
      </c>
      <c r="C207" s="5">
        <v>103.38406069906578</v>
      </c>
      <c r="D207" s="5">
        <v>103.38406069906578</v>
      </c>
      <c r="E207">
        <f t="shared" si="4"/>
        <v>4.6384507983451524</v>
      </c>
    </row>
    <row r="208" spans="1:5" x14ac:dyDescent="0.35">
      <c r="A208" s="1">
        <v>42795</v>
      </c>
      <c r="B208" s="2">
        <v>158.56</v>
      </c>
      <c r="C208" s="5">
        <v>102.56617041183556</v>
      </c>
      <c r="D208" s="5">
        <v>102.56617041183556</v>
      </c>
      <c r="E208">
        <f t="shared" si="4"/>
        <v>4.6305081552845371</v>
      </c>
    </row>
    <row r="209" spans="1:5" x14ac:dyDescent="0.35">
      <c r="A209" s="1">
        <v>42826</v>
      </c>
      <c r="B209" s="2">
        <v>158.38999999999999</v>
      </c>
      <c r="C209" s="5">
        <v>102.61286383024488</v>
      </c>
      <c r="D209" s="5">
        <v>102.61286383024488</v>
      </c>
      <c r="E209">
        <f t="shared" si="4"/>
        <v>4.6309633033398727</v>
      </c>
    </row>
    <row r="210" spans="1:5" x14ac:dyDescent="0.35">
      <c r="A210" s="1">
        <v>42856</v>
      </c>
      <c r="B210" s="2">
        <v>159.25</v>
      </c>
      <c r="C210" s="5">
        <v>103.19628089138619</v>
      </c>
      <c r="D210" s="5">
        <v>103.19628089138619</v>
      </c>
      <c r="E210">
        <f t="shared" si="4"/>
        <v>4.6366328145239182</v>
      </c>
    </row>
    <row r="211" spans="1:5" x14ac:dyDescent="0.35">
      <c r="A211" s="1">
        <v>42887</v>
      </c>
      <c r="B211" s="2">
        <v>160.93</v>
      </c>
      <c r="C211" s="5">
        <v>104.49502678763307</v>
      </c>
      <c r="D211" s="5">
        <v>104.49502678763307</v>
      </c>
      <c r="E211">
        <f t="shared" si="4"/>
        <v>4.6491394797234333</v>
      </c>
    </row>
    <row r="212" spans="1:5" x14ac:dyDescent="0.35">
      <c r="A212" s="1">
        <v>42917</v>
      </c>
      <c r="B212" s="2">
        <v>160.38999999999999</v>
      </c>
      <c r="C212" s="5">
        <v>103.10478775211416</v>
      </c>
      <c r="D212" s="5">
        <v>103.10478775211416</v>
      </c>
      <c r="E212">
        <f t="shared" si="4"/>
        <v>4.6357458278895578</v>
      </c>
    </row>
    <row r="213" spans="1:5" x14ac:dyDescent="0.35">
      <c r="A213" s="1">
        <v>42948</v>
      </c>
      <c r="B213" s="2">
        <v>163.13</v>
      </c>
      <c r="C213" s="5">
        <v>104.17827057073943</v>
      </c>
      <c r="D213" s="5">
        <v>104.17827057073943</v>
      </c>
      <c r="E213">
        <f t="shared" si="4"/>
        <v>4.6461035717832067</v>
      </c>
    </row>
    <row r="214" spans="1:5" x14ac:dyDescent="0.35">
      <c r="A214" s="1">
        <v>42979</v>
      </c>
      <c r="B214" s="2">
        <v>160.07</v>
      </c>
      <c r="C214" s="5">
        <v>104.22027961649133</v>
      </c>
      <c r="D214" s="5">
        <v>104.22027961649133</v>
      </c>
      <c r="E214">
        <f t="shared" si="4"/>
        <v>4.646506732422119</v>
      </c>
    </row>
    <row r="215" spans="1:5" x14ac:dyDescent="0.35">
      <c r="A215" s="1">
        <v>43009</v>
      </c>
      <c r="B215" s="2">
        <v>160.34</v>
      </c>
      <c r="C215" s="5">
        <v>103.60423609986557</v>
      </c>
      <c r="D215" s="5">
        <v>103.60423609986557</v>
      </c>
      <c r="E215">
        <f t="shared" si="4"/>
        <v>4.6405782179842916</v>
      </c>
    </row>
    <row r="216" spans="1:5" x14ac:dyDescent="0.35">
      <c r="A216" s="1">
        <v>43040</v>
      </c>
      <c r="B216" s="2">
        <v>161.72</v>
      </c>
      <c r="C216" s="5">
        <v>104.01109663835216</v>
      </c>
      <c r="D216" s="5">
        <v>104.01109663835216</v>
      </c>
      <c r="E216">
        <f t="shared" si="4"/>
        <v>4.6444975918951918</v>
      </c>
    </row>
    <row r="217" spans="1:5" x14ac:dyDescent="0.35">
      <c r="A217" s="1">
        <v>43070</v>
      </c>
      <c r="B217" s="2">
        <v>162.13</v>
      </c>
      <c r="C217" s="5">
        <v>105.41494813016116</v>
      </c>
      <c r="D217" s="5">
        <v>105.41494813016116</v>
      </c>
      <c r="E217">
        <f t="shared" si="4"/>
        <v>4.6579044489181545</v>
      </c>
    </row>
    <row r="218" spans="1:5" x14ac:dyDescent="0.35">
      <c r="A218" s="1">
        <v>43101</v>
      </c>
      <c r="B218" s="2">
        <v>162.54</v>
      </c>
      <c r="C218" s="5">
        <v>104.10664389387634</v>
      </c>
      <c r="D218" s="5">
        <v>104.10664389387634</v>
      </c>
      <c r="E218">
        <f t="shared" si="4"/>
        <v>4.6454157958118101</v>
      </c>
    </row>
    <row r="219" spans="1:5" x14ac:dyDescent="0.35">
      <c r="A219" s="1">
        <v>43132</v>
      </c>
      <c r="B219" s="2">
        <v>162.53</v>
      </c>
      <c r="C219" s="5">
        <v>105.02670219185404</v>
      </c>
      <c r="D219" s="5">
        <v>105.02670219185404</v>
      </c>
      <c r="E219">
        <f t="shared" si="4"/>
        <v>4.65421462441617</v>
      </c>
    </row>
    <row r="220" spans="1:5" x14ac:dyDescent="0.35">
      <c r="A220" s="1">
        <v>43160</v>
      </c>
      <c r="B220" s="2"/>
      <c r="C220" s="5">
        <v>105.78411948082571</v>
      </c>
      <c r="D220" s="5">
        <v>105.78411948082571</v>
      </c>
      <c r="E220">
        <f t="shared" si="4"/>
        <v>4.6614004087330647</v>
      </c>
    </row>
    <row r="221" spans="1:5" x14ac:dyDescent="0.35">
      <c r="A221" s="1">
        <v>43191</v>
      </c>
      <c r="B221" s="2"/>
      <c r="C221" s="5">
        <v>105.01777482907745</v>
      </c>
      <c r="D221" s="5">
        <v>105.01777482907745</v>
      </c>
      <c r="E221">
        <f t="shared" si="4"/>
        <v>4.6541296199170414</v>
      </c>
    </row>
    <row r="222" spans="1:5" x14ac:dyDescent="0.35">
      <c r="A222" s="1">
        <v>43221</v>
      </c>
      <c r="B222" s="2"/>
      <c r="C222" s="5">
        <v>105.58380122290639</v>
      </c>
      <c r="D222" s="5">
        <v>105.58380122290639</v>
      </c>
      <c r="E222">
        <f t="shared" si="4"/>
        <v>4.6595049619952036</v>
      </c>
    </row>
    <row r="223" spans="1:5" x14ac:dyDescent="0.35">
      <c r="A223" s="1">
        <v>43252</v>
      </c>
      <c r="B223" s="2"/>
      <c r="C223" s="5">
        <v>106.25454836379447</v>
      </c>
      <c r="D223" s="5">
        <v>106.25454836379447</v>
      </c>
      <c r="E223">
        <f t="shared" si="4"/>
        <v>4.6658376150181144</v>
      </c>
    </row>
    <row r="224" spans="1:5" x14ac:dyDescent="0.35">
      <c r="A224" s="1">
        <v>43282</v>
      </c>
      <c r="B224" s="2"/>
      <c r="C224" s="5">
        <v>106.02830365335869</v>
      </c>
      <c r="D224" s="5">
        <v>106.02830365335869</v>
      </c>
      <c r="E224">
        <f t="shared" si="4"/>
        <v>4.6637060740674707</v>
      </c>
    </row>
    <row r="225" spans="1:5" x14ac:dyDescent="0.35">
      <c r="A225" s="1">
        <v>43313</v>
      </c>
      <c r="B225" s="2"/>
      <c r="C225" s="5">
        <v>107.53904423540493</v>
      </c>
      <c r="D225" s="5">
        <v>107.53904423540493</v>
      </c>
      <c r="E225">
        <f t="shared" si="4"/>
        <v>4.6778539838155817</v>
      </c>
    </row>
    <row r="226" spans="1:5" x14ac:dyDescent="0.35">
      <c r="A226" s="1">
        <v>43344</v>
      </c>
      <c r="B226" s="2"/>
      <c r="C226" s="5">
        <v>107.11357798511673</v>
      </c>
      <c r="D226" s="5">
        <v>107.11357798511673</v>
      </c>
      <c r="E226">
        <f t="shared" si="4"/>
        <v>4.6738897479904979</v>
      </c>
    </row>
    <row r="227" spans="1:5" x14ac:dyDescent="0.35">
      <c r="A227" s="1">
        <v>43374</v>
      </c>
      <c r="B227" s="2"/>
      <c r="C227" s="5">
        <v>107.24863184012207</v>
      </c>
      <c r="D227" s="5">
        <v>107.24863184012207</v>
      </c>
      <c r="E227">
        <f t="shared" si="4"/>
        <v>4.6751498009913002</v>
      </c>
    </row>
    <row r="228" spans="1:5" x14ac:dyDescent="0.35">
      <c r="A228" s="1">
        <v>43405</v>
      </c>
      <c r="B228" s="2"/>
      <c r="C228" s="5">
        <v>107.55840877725842</v>
      </c>
      <c r="D228" s="5">
        <v>107.55840877725842</v>
      </c>
      <c r="E228">
        <f t="shared" si="4"/>
        <v>4.678034037476233</v>
      </c>
    </row>
    <row r="229" spans="1:5" x14ac:dyDescent="0.35">
      <c r="A229" s="1">
        <v>43435</v>
      </c>
      <c r="B229" s="2"/>
      <c r="C229" s="5">
        <v>107.25561773791526</v>
      </c>
      <c r="D229" s="5">
        <v>107.25561773791526</v>
      </c>
      <c r="E229">
        <f t="shared" si="4"/>
        <v>4.6752149362770519</v>
      </c>
    </row>
    <row r="230" spans="1:5" x14ac:dyDescent="0.35">
      <c r="A230" s="1">
        <v>43466</v>
      </c>
      <c r="B230" s="2"/>
      <c r="C230" s="5">
        <v>107.9206609216976</v>
      </c>
      <c r="D230" s="5">
        <v>107.9206609216976</v>
      </c>
      <c r="E230">
        <f t="shared" si="4"/>
        <v>4.6813963360625266</v>
      </c>
    </row>
    <row r="231" spans="1:5" x14ac:dyDescent="0.35">
      <c r="A231" s="1">
        <v>43497</v>
      </c>
      <c r="B231" s="2"/>
      <c r="C231" s="5">
        <v>108.86204899581875</v>
      </c>
      <c r="D231" s="5">
        <v>108.86204899581875</v>
      </c>
      <c r="E231">
        <f t="shared" si="4"/>
        <v>4.6900814751311284</v>
      </c>
    </row>
    <row r="232" spans="1:5" x14ac:dyDescent="0.35">
      <c r="A232" s="1">
        <v>43525</v>
      </c>
      <c r="B232" s="2"/>
      <c r="C232" s="5">
        <v>107.5009129554295</v>
      </c>
      <c r="D232" s="5">
        <v>107.5009129554295</v>
      </c>
      <c r="E232">
        <f t="shared" si="4"/>
        <v>4.6774993401403018</v>
      </c>
    </row>
    <row r="233" spans="1:5" x14ac:dyDescent="0.35">
      <c r="A233" s="1">
        <v>43556</v>
      </c>
      <c r="B233" s="2"/>
      <c r="C233" s="5">
        <v>108.94311825235677</v>
      </c>
      <c r="D233" s="5">
        <v>108.94311825235677</v>
      </c>
      <c r="E233">
        <f t="shared" si="4"/>
        <v>4.6908258951217654</v>
      </c>
    </row>
    <row r="234" spans="1:5" x14ac:dyDescent="0.35">
      <c r="A234" s="1">
        <v>43586</v>
      </c>
      <c r="B234" s="2"/>
      <c r="C234" s="5">
        <v>110.0279554037439</v>
      </c>
      <c r="D234" s="5">
        <v>110.0279554037439</v>
      </c>
      <c r="E234">
        <f t="shared" si="4"/>
        <v>4.7007344735383434</v>
      </c>
    </row>
    <row r="235" spans="1:5" x14ac:dyDescent="0.35">
      <c r="A235" s="1">
        <v>43617</v>
      </c>
      <c r="B235" s="2"/>
      <c r="C235" s="5">
        <v>108.87320239873671</v>
      </c>
      <c r="D235" s="5">
        <v>108.87320239873671</v>
      </c>
      <c r="E235">
        <f t="shared" si="4"/>
        <v>4.6901839243473784</v>
      </c>
    </row>
    <row r="236" spans="1:5" x14ac:dyDescent="0.35">
      <c r="A236" s="1">
        <v>43647</v>
      </c>
      <c r="B236" s="2"/>
      <c r="C236" s="5">
        <v>110.49967717600889</v>
      </c>
      <c r="D236" s="5">
        <v>110.49967717600889</v>
      </c>
      <c r="E236">
        <f t="shared" si="4"/>
        <v>4.7050125994694572</v>
      </c>
    </row>
    <row r="237" spans="1:5" x14ac:dyDescent="0.35">
      <c r="A237" s="1">
        <v>43678</v>
      </c>
      <c r="B237" s="2"/>
      <c r="C237" s="5">
        <v>110.44322109887743</v>
      </c>
      <c r="D237" s="5">
        <v>110.44322109887743</v>
      </c>
      <c r="E237">
        <f t="shared" si="4"/>
        <v>4.7045015526894884</v>
      </c>
    </row>
    <row r="238" spans="1:5" x14ac:dyDescent="0.35">
      <c r="A238" s="1">
        <v>43709</v>
      </c>
      <c r="B238" s="2"/>
      <c r="C238" s="5">
        <v>109.50037752886547</v>
      </c>
      <c r="D238" s="5">
        <v>109.50037752886547</v>
      </c>
      <c r="E238">
        <f t="shared" si="4"/>
        <v>4.6959279970028085</v>
      </c>
    </row>
    <row r="239" spans="1:5" x14ac:dyDescent="0.35">
      <c r="A239" s="1">
        <v>43739</v>
      </c>
      <c r="B239" s="2"/>
      <c r="C239" s="5">
        <v>110.54411191515679</v>
      </c>
      <c r="D239" s="5">
        <v>110.54411191515679</v>
      </c>
      <c r="E239">
        <f t="shared" si="4"/>
        <v>4.7054146441496467</v>
      </c>
    </row>
    <row r="240" spans="1:5" x14ac:dyDescent="0.35">
      <c r="A240" s="1">
        <v>43770</v>
      </c>
      <c r="B240" s="2"/>
      <c r="C240" s="5">
        <v>110.07639547082357</v>
      </c>
      <c r="D240" s="5">
        <v>110.07639547082357</v>
      </c>
      <c r="E240">
        <f t="shared" si="4"/>
        <v>4.701174629016136</v>
      </c>
    </row>
    <row r="241" spans="1:5" x14ac:dyDescent="0.35">
      <c r="A241" s="1">
        <v>43800</v>
      </c>
      <c r="B241" s="2"/>
      <c r="C241" s="5">
        <v>110.42955578360647</v>
      </c>
      <c r="D241" s="5">
        <v>110.42955578360647</v>
      </c>
      <c r="E241">
        <f t="shared" si="4"/>
        <v>4.7043778134448315</v>
      </c>
    </row>
    <row r="242" spans="1:5" x14ac:dyDescent="0.35">
      <c r="A242" s="1">
        <v>43831</v>
      </c>
      <c r="B242" s="2"/>
      <c r="C242" s="5">
        <v>111.56622976834505</v>
      </c>
      <c r="D242" s="5">
        <v>111.56622976834505</v>
      </c>
      <c r="E242">
        <f t="shared" si="4"/>
        <v>4.7146184035123291</v>
      </c>
    </row>
    <row r="243" spans="1:5" x14ac:dyDescent="0.35">
      <c r="A243" s="1">
        <v>43862</v>
      </c>
      <c r="B243" s="2"/>
      <c r="C243" s="5">
        <v>111.77148813817095</v>
      </c>
      <c r="D243" s="5">
        <v>111.77148813817095</v>
      </c>
      <c r="E243">
        <f t="shared" si="4"/>
        <v>4.7164565025986862</v>
      </c>
    </row>
    <row r="244" spans="1:5" x14ac:dyDescent="0.35">
      <c r="A244" s="1">
        <v>43891</v>
      </c>
      <c r="B244" s="2"/>
      <c r="C244" s="5">
        <v>100.70678788674054</v>
      </c>
      <c r="D244" s="5">
        <v>100.70678788674054</v>
      </c>
      <c r="E244">
        <f t="shared" si="4"/>
        <v>4.6122132044710433</v>
      </c>
    </row>
    <row r="245" spans="1:5" x14ac:dyDescent="0.35">
      <c r="A245" s="1">
        <v>43922</v>
      </c>
      <c r="B245" s="2"/>
      <c r="C245" s="5">
        <v>86.847383124346706</v>
      </c>
      <c r="D245" s="5">
        <v>86.847383124346706</v>
      </c>
      <c r="E245">
        <f t="shared" si="4"/>
        <v>4.4641523612527028</v>
      </c>
    </row>
    <row r="246" spans="1:5" x14ac:dyDescent="0.35">
      <c r="A246" s="1">
        <v>43952</v>
      </c>
      <c r="B246" s="2"/>
      <c r="C246" s="5">
        <v>90.914205510790282</v>
      </c>
      <c r="D246" s="5">
        <v>90.914205510790282</v>
      </c>
      <c r="E246">
        <f t="shared" si="4"/>
        <v>4.5099162652198901</v>
      </c>
    </row>
    <row r="247" spans="1:5" x14ac:dyDescent="0.35">
      <c r="A247" s="1">
        <v>43983</v>
      </c>
      <c r="B247" s="2"/>
      <c r="C247" s="5">
        <v>95.534093038487612</v>
      </c>
      <c r="D247" s="5">
        <v>95.534093038487612</v>
      </c>
      <c r="E247">
        <f t="shared" si="4"/>
        <v>4.5594831789464809</v>
      </c>
    </row>
    <row r="248" spans="1:5" x14ac:dyDescent="0.35">
      <c r="A248" s="1">
        <v>44013</v>
      </c>
      <c r="B248" s="2"/>
      <c r="C248" s="5">
        <v>98.864877748572084</v>
      </c>
      <c r="D248" s="5">
        <v>98.864877748572084</v>
      </c>
      <c r="E248">
        <f t="shared" si="4"/>
        <v>4.5937540466229168</v>
      </c>
    </row>
    <row r="249" spans="1:5" x14ac:dyDescent="0.35">
      <c r="A249" s="1">
        <v>44044</v>
      </c>
      <c r="B249" s="2"/>
      <c r="C249" s="5">
        <v>99.25860869957954</v>
      </c>
      <c r="D249" s="5">
        <v>99.25860869957954</v>
      </c>
      <c r="E249">
        <f t="shared" si="4"/>
        <v>4.5977286533330677</v>
      </c>
    </row>
    <row r="250" spans="1:5" x14ac:dyDescent="0.35">
      <c r="A250" s="1">
        <v>44075</v>
      </c>
      <c r="B250" s="2"/>
      <c r="C250" s="5">
        <v>102.77553219525998</v>
      </c>
      <c r="D250" s="5">
        <v>102.77553219525998</v>
      </c>
      <c r="E250">
        <f t="shared" si="4"/>
        <v>4.6325473110265305</v>
      </c>
    </row>
    <row r="251" spans="1:5" x14ac:dyDescent="0.35">
      <c r="A251" s="1">
        <v>44105</v>
      </c>
      <c r="B251" s="2"/>
      <c r="C251" s="5">
        <v>105.37313731174966</v>
      </c>
      <c r="D251" s="5">
        <v>105.37313731174966</v>
      </c>
      <c r="E251">
        <f t="shared" si="4"/>
        <v>4.6575077394089597</v>
      </c>
    </row>
    <row r="252" spans="1:5" x14ac:dyDescent="0.35">
      <c r="A252" s="1">
        <v>44136</v>
      </c>
      <c r="B252" s="2"/>
      <c r="C252" s="5">
        <v>106.10937978297581</v>
      </c>
      <c r="D252" s="5">
        <v>106.10937978297581</v>
      </c>
      <c r="E252">
        <f t="shared" si="4"/>
        <v>4.6644704468300207</v>
      </c>
    </row>
    <row r="253" spans="1:5" x14ac:dyDescent="0.35">
      <c r="A253" s="1">
        <v>44166</v>
      </c>
      <c r="B253" s="2"/>
      <c r="C253" s="5">
        <v>108.06121359678482</v>
      </c>
      <c r="D253" s="5">
        <v>108.06121359678482</v>
      </c>
      <c r="E253">
        <f t="shared" si="4"/>
        <v>4.6826978591208066</v>
      </c>
    </row>
    <row r="254" spans="1:5" x14ac:dyDescent="0.35">
      <c r="A254" s="1">
        <v>44197</v>
      </c>
      <c r="B254" s="2"/>
      <c r="C254" s="5">
        <v>107.64759083692599</v>
      </c>
      <c r="D254" s="5">
        <v>107.64759083692599</v>
      </c>
      <c r="E254">
        <f t="shared" si="4"/>
        <v>4.6788628439679893</v>
      </c>
    </row>
    <row r="255" spans="1:5" x14ac:dyDescent="0.35">
      <c r="A255" s="1">
        <v>44228</v>
      </c>
      <c r="B255" s="2"/>
      <c r="C255" s="5">
        <v>109.86291717094936</v>
      </c>
      <c r="D255" s="5">
        <v>109.86291717094936</v>
      </c>
      <c r="E255">
        <f t="shared" si="4"/>
        <v>4.6992333810932427</v>
      </c>
    </row>
    <row r="256" spans="1:5" x14ac:dyDescent="0.35">
      <c r="A256" s="1">
        <v>44256</v>
      </c>
      <c r="B256" s="2"/>
      <c r="C256" s="5">
        <v>111.86098534879865</v>
      </c>
      <c r="D256" s="5">
        <v>111.86098534879865</v>
      </c>
      <c r="E256">
        <f t="shared" si="4"/>
        <v>4.7172568981227361</v>
      </c>
    </row>
    <row r="257" spans="1:5" x14ac:dyDescent="0.35">
      <c r="A257" s="1">
        <v>44287</v>
      </c>
      <c r="B257" s="2"/>
      <c r="C257" s="5">
        <v>108.70790247253474</v>
      </c>
      <c r="D257" s="5">
        <v>108.70790247253474</v>
      </c>
      <c r="E257">
        <f t="shared" si="4"/>
        <v>4.6886644913239843</v>
      </c>
    </row>
    <row r="258" spans="1:5" x14ac:dyDescent="0.35">
      <c r="A258" s="1">
        <v>44317</v>
      </c>
      <c r="B258" s="2"/>
      <c r="C258" s="5">
        <v>102.83655103655613</v>
      </c>
      <c r="D258" s="5">
        <v>102.83655103655613</v>
      </c>
      <c r="E258">
        <f t="shared" si="4"/>
        <v>4.6331408446567375</v>
      </c>
    </row>
    <row r="259" spans="1:5" x14ac:dyDescent="0.35">
      <c r="A259" s="1">
        <v>44348</v>
      </c>
      <c r="B259" s="2"/>
      <c r="C259" s="5">
        <v>110.57161136382715</v>
      </c>
      <c r="D259" s="5">
        <v>110.57161136382715</v>
      </c>
      <c r="E259">
        <f t="shared" ref="E259:E313" si="5">LN(D259)</f>
        <v>4.7056633776942745</v>
      </c>
    </row>
    <row r="260" spans="1:5" x14ac:dyDescent="0.35">
      <c r="A260" s="1">
        <v>44378</v>
      </c>
      <c r="B260" s="2"/>
      <c r="C260" s="5">
        <v>111.92846004904355</v>
      </c>
      <c r="D260" s="5">
        <v>111.92846004904355</v>
      </c>
      <c r="E260">
        <f t="shared" si="5"/>
        <v>4.71785991764557</v>
      </c>
    </row>
    <row r="261" spans="1:5" x14ac:dyDescent="0.35">
      <c r="A261" s="1">
        <v>44409</v>
      </c>
      <c r="B261" s="2"/>
      <c r="C261" s="5">
        <v>110.94191124158969</v>
      </c>
      <c r="D261" s="5">
        <v>110.94191124158969</v>
      </c>
      <c r="E261">
        <f t="shared" si="5"/>
        <v>4.7090067421836661</v>
      </c>
    </row>
    <row r="262" spans="1:5" x14ac:dyDescent="0.35">
      <c r="A262" s="1">
        <v>44440</v>
      </c>
      <c r="B262" s="2"/>
      <c r="C262" s="5">
        <v>116.73797341493675</v>
      </c>
      <c r="D262" s="5">
        <v>116.73797341493675</v>
      </c>
      <c r="E262">
        <f t="shared" si="5"/>
        <v>4.7599318798077332</v>
      </c>
    </row>
    <row r="263" spans="1:5" x14ac:dyDescent="0.35">
      <c r="A263" s="1">
        <v>44470</v>
      </c>
      <c r="B263" s="2"/>
      <c r="C263" s="5">
        <v>115.90547092508841</v>
      </c>
      <c r="D263" s="5">
        <v>115.90547092508841</v>
      </c>
      <c r="E263">
        <f t="shared" si="5"/>
        <v>4.7527749530719197</v>
      </c>
    </row>
    <row r="264" spans="1:5" x14ac:dyDescent="0.35">
      <c r="A264" s="1">
        <v>44501</v>
      </c>
      <c r="B264" s="2"/>
      <c r="C264" s="5">
        <v>117.26163111304623</v>
      </c>
      <c r="D264" s="5">
        <v>117.26163111304623</v>
      </c>
      <c r="E264">
        <f t="shared" si="5"/>
        <v>4.7644076016648578</v>
      </c>
    </row>
    <row r="265" spans="1:5" x14ac:dyDescent="0.35">
      <c r="A265" s="1">
        <v>44531</v>
      </c>
      <c r="B265" s="2"/>
      <c r="C265" s="5">
        <v>118.98277248264984</v>
      </c>
      <c r="D265" s="5">
        <v>118.98277248264984</v>
      </c>
      <c r="E265">
        <f t="shared" si="5"/>
        <v>4.7789787135781161</v>
      </c>
    </row>
    <row r="266" spans="1:5" x14ac:dyDescent="0.35">
      <c r="A266" s="1">
        <v>44562</v>
      </c>
      <c r="B266" s="2"/>
      <c r="C266" s="5">
        <v>115.88294211247559</v>
      </c>
      <c r="D266" s="5">
        <v>115.88294211247559</v>
      </c>
      <c r="E266">
        <f t="shared" si="5"/>
        <v>4.7525805618822261</v>
      </c>
    </row>
    <row r="267" spans="1:5" x14ac:dyDescent="0.35">
      <c r="A267" s="1">
        <v>44593</v>
      </c>
      <c r="B267" s="2"/>
      <c r="C267" s="5">
        <v>117.38366909408664</v>
      </c>
      <c r="D267" s="5">
        <v>117.38366909408664</v>
      </c>
      <c r="E267">
        <f t="shared" si="5"/>
        <v>4.7654477928976364</v>
      </c>
    </row>
    <row r="268" spans="1:5" x14ac:dyDescent="0.35">
      <c r="A268" s="1">
        <v>44621</v>
      </c>
      <c r="B268" s="2"/>
      <c r="C268" s="5">
        <v>119.44468149192491</v>
      </c>
      <c r="D268" s="5">
        <v>119.44468149192491</v>
      </c>
      <c r="E268">
        <f t="shared" si="5"/>
        <v>4.7828533478071318</v>
      </c>
    </row>
    <row r="269" spans="1:5" x14ac:dyDescent="0.35">
      <c r="A269" s="1">
        <v>44652</v>
      </c>
      <c r="B269" s="2"/>
      <c r="C269" s="5">
        <v>119.65019519752684</v>
      </c>
      <c r="D269" s="5">
        <v>119.65019519752684</v>
      </c>
      <c r="E269">
        <f t="shared" si="5"/>
        <v>4.7845724457573713</v>
      </c>
    </row>
    <row r="270" spans="1:5" x14ac:dyDescent="0.35">
      <c r="A270" s="1">
        <v>44682</v>
      </c>
      <c r="B270" s="2"/>
      <c r="C270" s="5">
        <v>119.82022795184642</v>
      </c>
      <c r="D270" s="5">
        <v>119.82022795184642</v>
      </c>
      <c r="E270">
        <f t="shared" si="5"/>
        <v>4.7859925191063679</v>
      </c>
    </row>
    <row r="271" spans="1:5" x14ac:dyDescent="0.35">
      <c r="A271" s="1">
        <v>44713</v>
      </c>
      <c r="B271" s="2"/>
      <c r="C271" s="5">
        <v>119.38011568994069</v>
      </c>
      <c r="D271" s="5">
        <v>119.38011568994069</v>
      </c>
      <c r="E271">
        <f t="shared" si="5"/>
        <v>4.7823126518298373</v>
      </c>
    </row>
    <row r="272" spans="1:5" x14ac:dyDescent="0.35">
      <c r="A272" s="1">
        <v>44743</v>
      </c>
      <c r="B272" s="2"/>
      <c r="C272" s="5">
        <v>118.52848287637005</v>
      </c>
      <c r="D272" s="5">
        <v>118.52848287637005</v>
      </c>
      <c r="E272">
        <f t="shared" si="5"/>
        <v>4.7751532935188177</v>
      </c>
    </row>
    <row r="273" spans="1:5" x14ac:dyDescent="0.35">
      <c r="A273" s="1">
        <v>44774</v>
      </c>
      <c r="B273" s="2"/>
      <c r="C273" s="5">
        <v>120.43103099215256</v>
      </c>
      <c r="D273" s="5">
        <v>120.43103099215256</v>
      </c>
      <c r="E273">
        <f t="shared" si="5"/>
        <v>4.7910772321603687</v>
      </c>
    </row>
    <row r="274" spans="1:5" x14ac:dyDescent="0.35">
      <c r="A274" s="1">
        <v>44805</v>
      </c>
      <c r="B274" s="2"/>
      <c r="C274" s="5">
        <v>121.73612789167709</v>
      </c>
      <c r="D274" s="5">
        <v>121.73612789167709</v>
      </c>
      <c r="E274">
        <f t="shared" si="5"/>
        <v>4.8018558161830525</v>
      </c>
    </row>
    <row r="275" spans="1:5" x14ac:dyDescent="0.35">
      <c r="A275" s="1">
        <v>44835</v>
      </c>
      <c r="B275" s="2"/>
      <c r="C275" s="5">
        <v>120.46311996434386</v>
      </c>
      <c r="D275" s="5">
        <v>120.46311996434386</v>
      </c>
      <c r="E275">
        <f t="shared" si="5"/>
        <v>4.7913436476980955</v>
      </c>
    </row>
    <row r="276" spans="1:5" x14ac:dyDescent="0.35">
      <c r="A276" s="1">
        <v>44866</v>
      </c>
      <c r="B276" s="2"/>
      <c r="C276" s="5">
        <v>117.35373600801364</v>
      </c>
      <c r="D276" s="5">
        <v>117.35373600801364</v>
      </c>
      <c r="E276">
        <f t="shared" si="5"/>
        <v>4.765192758245429</v>
      </c>
    </row>
    <row r="277" spans="1:5" x14ac:dyDescent="0.35">
      <c r="A277" s="1">
        <v>44896</v>
      </c>
      <c r="B277" s="2"/>
      <c r="C277" s="5">
        <v>119.34789502034052</v>
      </c>
      <c r="D277" s="5">
        <v>119.34789502034052</v>
      </c>
      <c r="E277">
        <f t="shared" si="5"/>
        <v>4.7820427155982239</v>
      </c>
    </row>
    <row r="278" spans="1:5" x14ac:dyDescent="0.35">
      <c r="A278" s="1">
        <v>44927</v>
      </c>
      <c r="B278" s="2"/>
      <c r="C278" s="5">
        <v>120.51104967085055</v>
      </c>
      <c r="D278" s="5">
        <v>120.51104967085055</v>
      </c>
      <c r="E278">
        <f t="shared" si="5"/>
        <v>4.7917414472399402</v>
      </c>
    </row>
    <row r="279" spans="1:5" x14ac:dyDescent="0.35">
      <c r="A279" s="1">
        <v>44958</v>
      </c>
      <c r="B279" s="2"/>
      <c r="C279" s="5">
        <v>120.45049550982966</v>
      </c>
      <c r="D279" s="5">
        <v>120.45049550982966</v>
      </c>
      <c r="E279">
        <f t="shared" si="5"/>
        <v>4.7912388428741677</v>
      </c>
    </row>
    <row r="280" spans="1:5" x14ac:dyDescent="0.35">
      <c r="A280" s="1">
        <v>44986</v>
      </c>
      <c r="B280" s="2"/>
      <c r="C280" s="5">
        <v>120.96362708457586</v>
      </c>
      <c r="D280" s="5">
        <v>120.96362708457586</v>
      </c>
      <c r="E280">
        <f t="shared" si="5"/>
        <v>4.7954898977999099</v>
      </c>
    </row>
    <row r="281" spans="1:5" x14ac:dyDescent="0.35">
      <c r="A281" s="1">
        <v>45017</v>
      </c>
      <c r="B281" s="2"/>
      <c r="C281" s="5">
        <v>118.46475297897763</v>
      </c>
      <c r="D281" s="5">
        <v>118.46475297897763</v>
      </c>
      <c r="E281">
        <f t="shared" si="5"/>
        <v>4.7746154731148005</v>
      </c>
    </row>
    <row r="282" spans="1:5" x14ac:dyDescent="0.35">
      <c r="A282" s="1">
        <v>45047</v>
      </c>
      <c r="B282" s="2"/>
      <c r="C282" s="5">
        <v>120.02411047806865</v>
      </c>
      <c r="D282" s="5">
        <v>120.02411047806865</v>
      </c>
      <c r="E282">
        <f t="shared" si="5"/>
        <v>4.7876926432507672</v>
      </c>
    </row>
    <row r="283" spans="1:5" x14ac:dyDescent="0.35">
      <c r="A283" s="1">
        <v>45078</v>
      </c>
      <c r="B283" s="2"/>
      <c r="C283" s="5">
        <v>122.6278302624257</v>
      </c>
      <c r="D283" s="5">
        <v>122.6278302624257</v>
      </c>
      <c r="E283">
        <f t="shared" si="5"/>
        <v>4.8091539982505758</v>
      </c>
    </row>
    <row r="284" spans="1:5" x14ac:dyDescent="0.35">
      <c r="A284" s="1">
        <v>45108</v>
      </c>
      <c r="B284" s="2"/>
      <c r="C284" s="5">
        <v>119.25839309304918</v>
      </c>
      <c r="D284" s="5">
        <v>119.25839309304918</v>
      </c>
      <c r="E284">
        <f t="shared" si="5"/>
        <v>4.7812925096233796</v>
      </c>
    </row>
    <row r="285" spans="1:5" x14ac:dyDescent="0.35">
      <c r="A285" s="1">
        <v>45139</v>
      </c>
      <c r="B285" s="2"/>
      <c r="C285" s="5">
        <v>121.16276550119505</v>
      </c>
      <c r="D285" s="5">
        <v>121.16276550119505</v>
      </c>
      <c r="E285">
        <f t="shared" si="5"/>
        <v>4.7971348110982408</v>
      </c>
    </row>
    <row r="286" spans="1:5" x14ac:dyDescent="0.35">
      <c r="A286" s="1">
        <v>45170</v>
      </c>
      <c r="B286" s="2"/>
      <c r="C286" s="5">
        <v>121.25271028535632</v>
      </c>
      <c r="D286" s="5">
        <v>121.25271028535632</v>
      </c>
      <c r="E286">
        <f t="shared" si="5"/>
        <v>4.7978768824366886</v>
      </c>
    </row>
    <row r="287" spans="1:5" x14ac:dyDescent="0.35">
      <c r="A287" s="1">
        <v>45200</v>
      </c>
      <c r="B287" s="2"/>
      <c r="C287" s="5">
        <v>119.53515139428373</v>
      </c>
      <c r="D287" s="5">
        <v>119.53515139428373</v>
      </c>
      <c r="E287">
        <f t="shared" si="5"/>
        <v>4.7836104820438416</v>
      </c>
    </row>
    <row r="288" spans="1:5" x14ac:dyDescent="0.35">
      <c r="A288" s="1">
        <v>45231</v>
      </c>
      <c r="B288" s="2"/>
      <c r="C288" s="5">
        <v>121.95954266593485</v>
      </c>
      <c r="D288" s="5">
        <v>121.95954266593485</v>
      </c>
      <c r="E288">
        <f t="shared" si="5"/>
        <v>4.8036893722436798</v>
      </c>
    </row>
    <row r="289" spans="1:5" x14ac:dyDescent="0.35">
      <c r="A289" s="1">
        <v>45261</v>
      </c>
      <c r="B289" s="2"/>
      <c r="C289" s="5">
        <v>120.65635372890237</v>
      </c>
      <c r="D289" s="5">
        <v>120.65635372890237</v>
      </c>
      <c r="E289">
        <f t="shared" si="5"/>
        <v>4.7929464531701429</v>
      </c>
    </row>
    <row r="290" spans="1:5" x14ac:dyDescent="0.35">
      <c r="A290" s="1">
        <v>45292</v>
      </c>
      <c r="B290" s="2"/>
      <c r="C290" s="5">
        <v>122.26076273113569</v>
      </c>
      <c r="D290" s="5">
        <v>122.26076273113569</v>
      </c>
      <c r="E290">
        <f t="shared" si="5"/>
        <v>4.8061561631802991</v>
      </c>
    </row>
    <row r="291" spans="1:5" x14ac:dyDescent="0.35">
      <c r="A291" s="1">
        <v>45323</v>
      </c>
      <c r="B291" s="2"/>
      <c r="C291" s="5">
        <v>122.05207831630167</v>
      </c>
      <c r="D291" s="5">
        <v>122.05207831630167</v>
      </c>
      <c r="E291">
        <f t="shared" si="5"/>
        <v>4.8044478250946563</v>
      </c>
    </row>
    <row r="292" spans="1:5" x14ac:dyDescent="0.35">
      <c r="A292" s="1">
        <v>45352</v>
      </c>
      <c r="B292" s="2"/>
      <c r="C292" s="5">
        <v>120.57890172668984</v>
      </c>
      <c r="D292" s="5">
        <v>120.57890172668984</v>
      </c>
      <c r="E292">
        <f t="shared" si="5"/>
        <v>4.792304324765424</v>
      </c>
    </row>
    <row r="293" spans="1:5" x14ac:dyDescent="0.35">
      <c r="A293" s="1">
        <v>45383</v>
      </c>
      <c r="B293" s="2"/>
      <c r="C293" s="5">
        <v>123.29508328806466</v>
      </c>
      <c r="D293" s="5">
        <v>123.29508328806466</v>
      </c>
      <c r="E293">
        <f t="shared" si="5"/>
        <v>4.8145805333660219</v>
      </c>
    </row>
    <row r="294" spans="1:5" x14ac:dyDescent="0.35">
      <c r="A294" s="1">
        <v>45413</v>
      </c>
      <c r="B294" s="2"/>
      <c r="C294" s="5">
        <v>122.76438785762713</v>
      </c>
      <c r="D294" s="5">
        <v>122.76438785762713</v>
      </c>
      <c r="E294">
        <f t="shared" si="5"/>
        <v>4.8102669724951861</v>
      </c>
    </row>
    <row r="295" spans="1:5" x14ac:dyDescent="0.35">
      <c r="A295" s="1">
        <v>45444</v>
      </c>
      <c r="B295" s="2"/>
      <c r="C295" s="5">
        <v>120.44408065602168</v>
      </c>
      <c r="D295" s="5">
        <v>120.44408065602168</v>
      </c>
      <c r="E295">
        <f t="shared" si="5"/>
        <v>4.7911855842752269</v>
      </c>
    </row>
    <row r="296" spans="1:5" x14ac:dyDescent="0.35">
      <c r="A296" s="1">
        <v>45474</v>
      </c>
      <c r="B296" s="2"/>
      <c r="C296" s="5">
        <v>122.96186683143593</v>
      </c>
      <c r="D296" s="5">
        <v>122.96186683143593</v>
      </c>
      <c r="E296">
        <f t="shared" si="5"/>
        <v>4.8118742815438127</v>
      </c>
    </row>
    <row r="297" spans="1:5" x14ac:dyDescent="0.35">
      <c r="A297" s="1">
        <v>45505</v>
      </c>
      <c r="B297" s="2"/>
      <c r="C297" s="5">
        <v>122.72229320513614</v>
      </c>
      <c r="D297" s="5">
        <v>122.72229320513614</v>
      </c>
      <c r="E297">
        <f t="shared" si="5"/>
        <v>4.8099240239268868</v>
      </c>
    </row>
    <row r="298" spans="1:5" x14ac:dyDescent="0.35">
      <c r="A298" s="1">
        <v>45536</v>
      </c>
      <c r="B298" s="2"/>
      <c r="C298" s="5">
        <v>122.23062275566035</v>
      </c>
      <c r="D298" s="5">
        <v>122.23062275566035</v>
      </c>
      <c r="E298">
        <f t="shared" si="5"/>
        <v>4.8059096107255526</v>
      </c>
    </row>
    <row r="299" spans="1:5" x14ac:dyDescent="0.35">
      <c r="A299" s="1">
        <v>45566</v>
      </c>
      <c r="B299" s="2"/>
      <c r="C299" s="5">
        <v>123.82133634445776</v>
      </c>
      <c r="D299" s="5">
        <v>123.82133634445776</v>
      </c>
      <c r="E299">
        <f t="shared" si="5"/>
        <v>4.8188396906710125</v>
      </c>
    </row>
    <row r="300" spans="1:5" x14ac:dyDescent="0.35">
      <c r="A300" s="1">
        <v>45597</v>
      </c>
      <c r="B300" s="2"/>
      <c r="C300" s="5">
        <v>122.34260522271502</v>
      </c>
      <c r="D300" s="5">
        <v>122.34260522271502</v>
      </c>
      <c r="E300">
        <f t="shared" si="5"/>
        <v>4.8068253485256855</v>
      </c>
    </row>
    <row r="301" spans="1:5" x14ac:dyDescent="0.35">
      <c r="A301" s="1">
        <v>45627</v>
      </c>
      <c r="B301" s="2"/>
      <c r="C301" s="5">
        <v>124.55033281406895</v>
      </c>
      <c r="D301" s="5">
        <v>124.55033281406895</v>
      </c>
      <c r="E301">
        <f t="shared" si="5"/>
        <v>4.8247099138368466</v>
      </c>
    </row>
    <row r="302" spans="1:5" x14ac:dyDescent="0.35">
      <c r="A302" s="1">
        <v>45658</v>
      </c>
      <c r="B302" s="2"/>
      <c r="C302" s="5">
        <v>124.70149572545904</v>
      </c>
      <c r="D302" s="5">
        <v>124.70149572545904</v>
      </c>
      <c r="E302">
        <f t="shared" si="5"/>
        <v>4.8259228472047466</v>
      </c>
    </row>
    <row r="303" spans="1:5" x14ac:dyDescent="0.35">
      <c r="A303" s="1">
        <v>45689</v>
      </c>
      <c r="B303" s="2"/>
      <c r="C303" s="5">
        <v>125.01010474570758</v>
      </c>
      <c r="D303" s="5">
        <v>125.01010474570758</v>
      </c>
      <c r="E303">
        <f t="shared" si="5"/>
        <v>4.8283945720007493</v>
      </c>
    </row>
    <row r="304" spans="1:5" x14ac:dyDescent="0.35">
      <c r="A304" s="1">
        <v>45717</v>
      </c>
      <c r="B304" s="2"/>
      <c r="C304" s="5">
        <v>124.01542649090327</v>
      </c>
      <c r="D304" s="5">
        <v>124.01542649090327</v>
      </c>
      <c r="E304">
        <f t="shared" si="5"/>
        <v>4.8204059650518083</v>
      </c>
    </row>
    <row r="305" spans="1:5" x14ac:dyDescent="0.35">
      <c r="A305" s="1">
        <v>45748</v>
      </c>
      <c r="B305" s="2"/>
      <c r="C305" s="5">
        <v>125.17505815327911</v>
      </c>
      <c r="D305" s="5">
        <v>125.17505815327911</v>
      </c>
      <c r="E305">
        <f t="shared" si="5"/>
        <v>4.8297132227917272</v>
      </c>
    </row>
    <row r="306" spans="1:5" x14ac:dyDescent="0.35">
      <c r="A306" s="1">
        <v>45778</v>
      </c>
      <c r="B306" s="2"/>
      <c r="C306" s="5">
        <v>125.65799212193211</v>
      </c>
      <c r="D306" s="5">
        <v>125.65799212193211</v>
      </c>
      <c r="E306">
        <f t="shared" si="5"/>
        <v>4.8335638681899082</v>
      </c>
    </row>
    <row r="307" spans="1:5" x14ac:dyDescent="0.35">
      <c r="A307" s="1">
        <v>45809</v>
      </c>
      <c r="B307" s="2"/>
      <c r="C307" s="5">
        <v>124.75228597990713</v>
      </c>
      <c r="D307" s="5">
        <v>124.75228597990713</v>
      </c>
      <c r="E307">
        <f t="shared" si="5"/>
        <v>4.82633005895197</v>
      </c>
    </row>
    <row r="308" spans="1:5" x14ac:dyDescent="0.35">
      <c r="A308" s="1">
        <v>45839</v>
      </c>
      <c r="B308" s="2"/>
      <c r="C308" s="5">
        <v>128.5122426708771</v>
      </c>
      <c r="D308" s="5">
        <v>128.5122426708771</v>
      </c>
      <c r="E308">
        <f t="shared" si="5"/>
        <v>4.8560241735003471</v>
      </c>
    </row>
    <row r="309" spans="1:5" x14ac:dyDescent="0.35">
      <c r="A309" s="1">
        <v>45870</v>
      </c>
      <c r="B309" s="2"/>
      <c r="C309" s="5">
        <v>125.60866810011792</v>
      </c>
      <c r="D309" s="5">
        <v>125.60866810011792</v>
      </c>
      <c r="E309">
        <f t="shared" si="5"/>
        <v>4.8331712651887448</v>
      </c>
    </row>
    <row r="310" spans="1:5" x14ac:dyDescent="0.35">
      <c r="A310" s="1">
        <v>45901</v>
      </c>
      <c r="B310" s="2"/>
      <c r="C310" s="5">
        <v>126.86672100101117</v>
      </c>
      <c r="D310" s="5">
        <v>126.86672100101117</v>
      </c>
      <c r="E310">
        <f t="shared" si="5"/>
        <v>4.8431370944729686</v>
      </c>
    </row>
    <row r="311" spans="1:5" x14ac:dyDescent="0.35">
      <c r="A311" s="1">
        <v>45931</v>
      </c>
      <c r="B311" s="2"/>
      <c r="C311" s="5">
        <v>126.95701249303231</v>
      </c>
      <c r="D311" s="5">
        <v>126.95701249303231</v>
      </c>
      <c r="E311">
        <f t="shared" si="5"/>
        <v>4.8438485448530155</v>
      </c>
    </row>
    <row r="312" spans="1:5" x14ac:dyDescent="0.35">
      <c r="A312" s="1">
        <v>45962</v>
      </c>
      <c r="B312" s="2"/>
      <c r="C312" s="5">
        <v>125.38589231930415</v>
      </c>
      <c r="D312" s="5">
        <v>125.38589231930415</v>
      </c>
      <c r="E312">
        <f t="shared" si="5"/>
        <v>4.8313961204291029</v>
      </c>
    </row>
    <row r="313" spans="1:5" x14ac:dyDescent="0.35">
      <c r="A313" s="1">
        <v>45992</v>
      </c>
      <c r="B313" s="2"/>
      <c r="C313" s="5">
        <v>126.47965308218119</v>
      </c>
      <c r="D313" s="5">
        <v>126.47965308218119</v>
      </c>
      <c r="E313">
        <f t="shared" si="5"/>
        <v>4.8400814500304499</v>
      </c>
    </row>
    <row r="314" spans="1:5" x14ac:dyDescent="0.35">
      <c r="A314" s="1"/>
      <c r="B314" s="2"/>
      <c r="C314" s="2"/>
      <c r="D314" s="2"/>
    </row>
    <row r="315" spans="1:5" x14ac:dyDescent="0.35">
      <c r="A315" s="1"/>
      <c r="B315" s="2"/>
      <c r="C315" s="2"/>
      <c r="D315" s="2"/>
    </row>
    <row r="316" spans="1:5" x14ac:dyDescent="0.35">
      <c r="A316" s="1"/>
      <c r="B316" s="2"/>
      <c r="C316" s="2"/>
      <c r="D316" s="2"/>
    </row>
    <row r="317" spans="1:5" x14ac:dyDescent="0.35">
      <c r="A317" s="1"/>
      <c r="B317" s="2"/>
      <c r="C317" s="2"/>
      <c r="D317" s="2"/>
    </row>
    <row r="318" spans="1:5" x14ac:dyDescent="0.35">
      <c r="A318" s="1"/>
      <c r="B318" s="2"/>
      <c r="C318" s="2"/>
      <c r="D318" s="2"/>
    </row>
    <row r="319" spans="1:5" x14ac:dyDescent="0.35">
      <c r="A319" s="1"/>
      <c r="B319" s="2"/>
      <c r="C319" s="2"/>
      <c r="D319" s="2"/>
    </row>
    <row r="320" spans="1:5" x14ac:dyDescent="0.35">
      <c r="A320" s="1"/>
      <c r="B320" s="2"/>
      <c r="C320" s="2"/>
      <c r="D320" s="2"/>
    </row>
    <row r="321" spans="1:4" x14ac:dyDescent="0.35">
      <c r="A321" s="1"/>
      <c r="B321" s="2"/>
      <c r="C321" s="2"/>
      <c r="D321" s="2"/>
    </row>
    <row r="322" spans="1:4" x14ac:dyDescent="0.35">
      <c r="A322" s="1"/>
      <c r="B322" s="2"/>
      <c r="C322" s="2"/>
      <c r="D322" s="2"/>
    </row>
    <row r="323" spans="1:4" x14ac:dyDescent="0.35">
      <c r="A323" s="1"/>
      <c r="B323" s="2"/>
      <c r="C323" s="2"/>
      <c r="D323" s="2"/>
    </row>
    <row r="324" spans="1:4" x14ac:dyDescent="0.35">
      <c r="A324" s="1"/>
      <c r="B324" s="2"/>
      <c r="C324" s="2"/>
      <c r="D324" s="2"/>
    </row>
    <row r="325" spans="1:4" x14ac:dyDescent="0.35">
      <c r="A325" s="1"/>
      <c r="B325" s="2"/>
      <c r="C325" s="2"/>
      <c r="D325" s="2"/>
    </row>
    <row r="326" spans="1:4" x14ac:dyDescent="0.35">
      <c r="A326" s="1"/>
      <c r="B326" s="2"/>
      <c r="C326" s="2"/>
      <c r="D326" s="2"/>
    </row>
    <row r="327" spans="1:4" x14ac:dyDescent="0.35">
      <c r="A327" s="1"/>
      <c r="B327" s="2"/>
      <c r="C327" s="2"/>
      <c r="D327" s="2"/>
    </row>
    <row r="328" spans="1:4" x14ac:dyDescent="0.35">
      <c r="A328" s="1"/>
      <c r="B328" s="2"/>
      <c r="C328" s="2"/>
      <c r="D328" s="2"/>
    </row>
    <row r="329" spans="1:4" x14ac:dyDescent="0.35">
      <c r="A329" s="1"/>
      <c r="B329" s="2"/>
      <c r="C329" s="2"/>
      <c r="D329" s="2"/>
    </row>
    <row r="330" spans="1:4" x14ac:dyDescent="0.35">
      <c r="A330" s="1"/>
      <c r="B330" s="2"/>
      <c r="C330" s="2"/>
      <c r="D330" s="2"/>
    </row>
    <row r="331" spans="1:4" x14ac:dyDescent="0.35">
      <c r="A331" s="1"/>
      <c r="B331" s="2"/>
      <c r="C331" s="2"/>
      <c r="D331" s="2"/>
    </row>
    <row r="332" spans="1:4" x14ac:dyDescent="0.35">
      <c r="A332" s="1"/>
      <c r="B332" s="2"/>
      <c r="C332" s="2"/>
      <c r="D332" s="2"/>
    </row>
    <row r="333" spans="1:4" x14ac:dyDescent="0.35">
      <c r="A333" s="1"/>
      <c r="B333" s="2"/>
      <c r="C333" s="2"/>
      <c r="D333" s="2"/>
    </row>
    <row r="334" spans="1:4" x14ac:dyDescent="0.35">
      <c r="A334" s="1"/>
      <c r="B334" s="2"/>
      <c r="C334" s="2"/>
      <c r="D334" s="2"/>
    </row>
    <row r="335" spans="1:4" x14ac:dyDescent="0.35">
      <c r="A335" s="1"/>
      <c r="B335" s="2"/>
      <c r="C335" s="2"/>
      <c r="D335" s="2"/>
    </row>
    <row r="336" spans="1:4" x14ac:dyDescent="0.35">
      <c r="A336" s="1"/>
      <c r="B336" s="2"/>
      <c r="C336" s="2"/>
      <c r="D336" s="2"/>
    </row>
    <row r="337" spans="1:4" x14ac:dyDescent="0.35">
      <c r="A337" s="1"/>
      <c r="B337" s="2"/>
      <c r="C337" s="2"/>
      <c r="D337" s="2"/>
    </row>
    <row r="338" spans="1:4" x14ac:dyDescent="0.35">
      <c r="A338" s="1"/>
      <c r="B338" s="2"/>
      <c r="C338" s="2"/>
      <c r="D338" s="2"/>
    </row>
    <row r="339" spans="1:4" x14ac:dyDescent="0.35">
      <c r="A339" s="1"/>
      <c r="B339" s="2"/>
      <c r="C339" s="2"/>
      <c r="D339" s="2"/>
    </row>
    <row r="340" spans="1:4" x14ac:dyDescent="0.35">
      <c r="A340" s="1"/>
      <c r="B340" s="2"/>
      <c r="C340" s="2"/>
      <c r="D340" s="2"/>
    </row>
    <row r="341" spans="1:4" x14ac:dyDescent="0.35">
      <c r="A341" s="1"/>
      <c r="B341" s="2"/>
      <c r="C341" s="2"/>
      <c r="D341" s="2"/>
    </row>
    <row r="342" spans="1:4" x14ac:dyDescent="0.35">
      <c r="A342" s="1"/>
      <c r="B342" s="2"/>
      <c r="C342" s="2"/>
      <c r="D342" s="2"/>
    </row>
    <row r="343" spans="1:4" x14ac:dyDescent="0.35">
      <c r="A343" s="1"/>
      <c r="B343" s="2"/>
      <c r="C343" s="2"/>
      <c r="D343" s="2"/>
    </row>
    <row r="344" spans="1:4" x14ac:dyDescent="0.35">
      <c r="A344" s="1"/>
      <c r="B344" s="2"/>
      <c r="C344" s="2"/>
      <c r="D344" s="2"/>
    </row>
    <row r="345" spans="1:4" x14ac:dyDescent="0.35">
      <c r="A345" s="1"/>
      <c r="B345" s="2"/>
      <c r="C345" s="2"/>
      <c r="D345" s="2"/>
    </row>
    <row r="346" spans="1:4" x14ac:dyDescent="0.35">
      <c r="A346" s="1"/>
      <c r="B346" s="2"/>
      <c r="C346" s="2"/>
      <c r="D346" s="2"/>
    </row>
    <row r="347" spans="1:4" x14ac:dyDescent="0.35">
      <c r="A347" s="1"/>
      <c r="B347" s="2"/>
      <c r="C347" s="2"/>
      <c r="D347" s="2"/>
    </row>
    <row r="348" spans="1:4" x14ac:dyDescent="0.35">
      <c r="A348" s="1"/>
      <c r="B348" s="2"/>
      <c r="C348" s="2"/>
      <c r="D348" s="2"/>
    </row>
    <row r="349" spans="1:4" x14ac:dyDescent="0.35">
      <c r="A349" s="1"/>
      <c r="B349" s="2"/>
      <c r="C349" s="2"/>
      <c r="D349" s="2"/>
    </row>
    <row r="350" spans="1:4" x14ac:dyDescent="0.35">
      <c r="A350" s="1"/>
      <c r="B350" s="2"/>
      <c r="C350" s="2"/>
      <c r="D350" s="2"/>
    </row>
    <row r="351" spans="1:4" x14ac:dyDescent="0.35">
      <c r="A351" s="1"/>
      <c r="B351" s="2"/>
      <c r="C351" s="2"/>
      <c r="D351" s="2"/>
    </row>
    <row r="352" spans="1:4" x14ac:dyDescent="0.35">
      <c r="A352" s="1"/>
      <c r="B352" s="2"/>
      <c r="C352" s="2"/>
      <c r="D352" s="2"/>
    </row>
    <row r="353" spans="1:4" x14ac:dyDescent="0.35">
      <c r="A353" s="1"/>
      <c r="B353" s="2"/>
      <c r="C353" s="2"/>
      <c r="D353" s="2"/>
    </row>
    <row r="354" spans="1:4" x14ac:dyDescent="0.35">
      <c r="A354" s="1"/>
      <c r="B354" s="2"/>
      <c r="C354" s="2"/>
      <c r="D354" s="2"/>
    </row>
    <row r="355" spans="1:4" x14ac:dyDescent="0.35">
      <c r="A355" s="1"/>
      <c r="B355" s="2"/>
      <c r="C355" s="2"/>
      <c r="D355" s="2"/>
    </row>
    <row r="356" spans="1:4" x14ac:dyDescent="0.35">
      <c r="A356" s="1"/>
      <c r="B356" s="2"/>
      <c r="C356" s="2"/>
      <c r="D356" s="2"/>
    </row>
    <row r="357" spans="1:4" x14ac:dyDescent="0.35">
      <c r="A357" s="1"/>
      <c r="B357" s="2"/>
      <c r="C357" s="2"/>
      <c r="D357" s="2"/>
    </row>
    <row r="358" spans="1:4" x14ac:dyDescent="0.35">
      <c r="A358" s="1"/>
      <c r="B358" s="2"/>
      <c r="C358" s="2"/>
      <c r="D358" s="2"/>
    </row>
    <row r="359" spans="1:4" x14ac:dyDescent="0.35">
      <c r="A359" s="1"/>
      <c r="B359" s="2"/>
      <c r="C359" s="2"/>
      <c r="D359" s="2"/>
    </row>
    <row r="360" spans="1:4" x14ac:dyDescent="0.35">
      <c r="A360" s="1"/>
      <c r="C360" s="2"/>
      <c r="D360" s="2"/>
    </row>
    <row r="361" spans="1:4" x14ac:dyDescent="0.35">
      <c r="A361" s="1"/>
      <c r="C361" s="2"/>
      <c r="D361" s="2"/>
    </row>
    <row r="362" spans="1:4" x14ac:dyDescent="0.35">
      <c r="A362" s="1"/>
      <c r="C362" s="2"/>
      <c r="D362" s="2"/>
    </row>
    <row r="363" spans="1:4" x14ac:dyDescent="0.35">
      <c r="A363" s="1"/>
      <c r="C363" s="2"/>
      <c r="D363" s="2"/>
    </row>
    <row r="364" spans="1:4" x14ac:dyDescent="0.35">
      <c r="A364" s="1"/>
      <c r="C364" s="2"/>
      <c r="D364" s="2"/>
    </row>
    <row r="365" spans="1:4" x14ac:dyDescent="0.35">
      <c r="A365" s="1"/>
      <c r="C365" s="2"/>
      <c r="D365" s="2"/>
    </row>
    <row r="366" spans="1:4" x14ac:dyDescent="0.35">
      <c r="A366" s="1"/>
      <c r="C366" s="2"/>
      <c r="D366" s="2"/>
    </row>
    <row r="367" spans="1:4" x14ac:dyDescent="0.35">
      <c r="A367" s="1"/>
      <c r="C367" s="2"/>
      <c r="D367" s="2"/>
    </row>
    <row r="368" spans="1:4" x14ac:dyDescent="0.35">
      <c r="A368" s="1"/>
      <c r="C368" s="2"/>
      <c r="D368" s="2"/>
    </row>
    <row r="369" spans="1:4" x14ac:dyDescent="0.35">
      <c r="A369" s="1"/>
      <c r="C369" s="2"/>
      <c r="D369" s="2"/>
    </row>
    <row r="370" spans="1:4" x14ac:dyDescent="0.35">
      <c r="A370" s="1"/>
      <c r="C370" s="2"/>
      <c r="D370" s="2"/>
    </row>
    <row r="371" spans="1:4" x14ac:dyDescent="0.35">
      <c r="A371" s="1"/>
      <c r="C371" s="2"/>
      <c r="D371" s="2"/>
    </row>
    <row r="372" spans="1:4" x14ac:dyDescent="0.35">
      <c r="A372" s="1"/>
      <c r="C372" s="2"/>
      <c r="D372" s="2"/>
    </row>
    <row r="373" spans="1:4" x14ac:dyDescent="0.35">
      <c r="A373" s="1"/>
      <c r="C373" s="2"/>
      <c r="D373" s="2"/>
    </row>
    <row r="374" spans="1:4" x14ac:dyDescent="0.35">
      <c r="A374" s="1"/>
      <c r="C374" s="2"/>
      <c r="D374" s="2"/>
    </row>
    <row r="375" spans="1:4" x14ac:dyDescent="0.35">
      <c r="A375" s="1"/>
      <c r="C375" s="2"/>
      <c r="D375" s="2"/>
    </row>
    <row r="376" spans="1:4" x14ac:dyDescent="0.35">
      <c r="A376" s="1"/>
      <c r="C376" s="2"/>
      <c r="D376" s="2"/>
    </row>
    <row r="377" spans="1:4" x14ac:dyDescent="0.35">
      <c r="A377" s="1"/>
      <c r="C377" s="2"/>
      <c r="D377" s="2"/>
    </row>
    <row r="378" spans="1:4" x14ac:dyDescent="0.35">
      <c r="A378" s="1"/>
      <c r="C378" s="2"/>
      <c r="D378" s="2"/>
    </row>
    <row r="379" spans="1:4" x14ac:dyDescent="0.35">
      <c r="A379" s="1"/>
      <c r="C379" s="2"/>
      <c r="D379" s="2"/>
    </row>
    <row r="380" spans="1:4" x14ac:dyDescent="0.35">
      <c r="A380" s="1"/>
      <c r="C380" s="2"/>
      <c r="D380" s="2"/>
    </row>
    <row r="381" spans="1:4" x14ac:dyDescent="0.35">
      <c r="A381" s="1"/>
      <c r="C381" s="2"/>
      <c r="D381" s="2"/>
    </row>
    <row r="382" spans="1:4" x14ac:dyDescent="0.35">
      <c r="A382" s="1"/>
      <c r="C382" s="2"/>
      <c r="D382" s="2"/>
    </row>
    <row r="383" spans="1:4" x14ac:dyDescent="0.35">
      <c r="A383" s="1"/>
      <c r="C383" s="2"/>
      <c r="D383" s="2"/>
    </row>
    <row r="384" spans="1:4" x14ac:dyDescent="0.35">
      <c r="A384" s="1"/>
      <c r="C384" s="2"/>
      <c r="D384" s="2"/>
    </row>
    <row r="385" spans="1:4" x14ac:dyDescent="0.35">
      <c r="A385" s="1"/>
      <c r="C385" s="2"/>
      <c r="D385" s="2"/>
    </row>
    <row r="386" spans="1:4" x14ac:dyDescent="0.35">
      <c r="A386" s="1"/>
      <c r="C386" s="2"/>
      <c r="D386" s="2"/>
    </row>
    <row r="387" spans="1:4" x14ac:dyDescent="0.35">
      <c r="A387" s="1"/>
      <c r="C387" s="2"/>
      <c r="D387" s="2"/>
    </row>
    <row r="388" spans="1:4" x14ac:dyDescent="0.35">
      <c r="A388" s="1"/>
      <c r="C388" s="2"/>
      <c r="D388" s="2"/>
    </row>
    <row r="389" spans="1:4" x14ac:dyDescent="0.35">
      <c r="A389" s="1"/>
      <c r="C389" s="2"/>
      <c r="D389" s="2"/>
    </row>
    <row r="390" spans="1:4" x14ac:dyDescent="0.35">
      <c r="A390" s="1"/>
      <c r="C390" s="2"/>
      <c r="D390" s="2"/>
    </row>
    <row r="391" spans="1:4" x14ac:dyDescent="0.35">
      <c r="A391" s="1"/>
      <c r="C391" s="2"/>
      <c r="D391" s="2"/>
    </row>
    <row r="392" spans="1:4" x14ac:dyDescent="0.35">
      <c r="A392" s="1"/>
      <c r="C392" s="2"/>
      <c r="D392" s="2"/>
    </row>
    <row r="393" spans="1:4" x14ac:dyDescent="0.35">
      <c r="A393" s="1"/>
      <c r="C393" s="2"/>
      <c r="D393" s="2"/>
    </row>
    <row r="394" spans="1:4" x14ac:dyDescent="0.35">
      <c r="A394" s="1"/>
      <c r="C394" s="2"/>
      <c r="D394" s="2"/>
    </row>
    <row r="395" spans="1:4" x14ac:dyDescent="0.35">
      <c r="A395" s="1"/>
      <c r="C395" s="2"/>
      <c r="D395" s="2"/>
    </row>
    <row r="396" spans="1:4" x14ac:dyDescent="0.35">
      <c r="A396" s="1"/>
      <c r="C396" s="2"/>
      <c r="D396" s="2"/>
    </row>
    <row r="397" spans="1:4" x14ac:dyDescent="0.35">
      <c r="A397" s="1"/>
      <c r="C397" s="2"/>
      <c r="D397" s="2"/>
    </row>
    <row r="398" spans="1:4" x14ac:dyDescent="0.35">
      <c r="A398" s="1"/>
      <c r="C398" s="2"/>
      <c r="D398" s="2"/>
    </row>
    <row r="399" spans="1:4" x14ac:dyDescent="0.35">
      <c r="A399" s="1"/>
      <c r="C399" s="2"/>
      <c r="D399" s="2"/>
    </row>
    <row r="400" spans="1:4" x14ac:dyDescent="0.35">
      <c r="A400" s="1"/>
      <c r="C400" s="2"/>
      <c r="D400" s="2"/>
    </row>
    <row r="401" spans="1:4" x14ac:dyDescent="0.35">
      <c r="A401" s="1"/>
      <c r="C401" s="2"/>
      <c r="D401" s="2"/>
    </row>
    <row r="402" spans="1:4" x14ac:dyDescent="0.35">
      <c r="A402" s="1"/>
      <c r="C402" s="2"/>
      <c r="D402" s="2"/>
    </row>
    <row r="403" spans="1:4" x14ac:dyDescent="0.35">
      <c r="A403" s="1"/>
      <c r="C403" s="2"/>
      <c r="D403" s="2"/>
    </row>
    <row r="404" spans="1:4" x14ac:dyDescent="0.35">
      <c r="A404" s="1"/>
      <c r="C404" s="2"/>
      <c r="D404" s="2"/>
    </row>
    <row r="405" spans="1:4" x14ac:dyDescent="0.35">
      <c r="A405" s="1"/>
      <c r="C405" s="2"/>
      <c r="D405" s="2"/>
    </row>
    <row r="406" spans="1:4" x14ac:dyDescent="0.35">
      <c r="A406" s="1"/>
      <c r="C406" s="2"/>
      <c r="D406" s="2"/>
    </row>
    <row r="407" spans="1:4" x14ac:dyDescent="0.35">
      <c r="A407" s="1"/>
      <c r="C407" s="2"/>
      <c r="D407" s="2"/>
    </row>
    <row r="408" spans="1:4" x14ac:dyDescent="0.35">
      <c r="A408" s="1"/>
      <c r="C408" s="2"/>
      <c r="D408" s="2"/>
    </row>
    <row r="409" spans="1:4" x14ac:dyDescent="0.35">
      <c r="A409" s="1"/>
      <c r="C409" s="2"/>
      <c r="D409" s="2"/>
    </row>
    <row r="410" spans="1:4" x14ac:dyDescent="0.35">
      <c r="A410" s="1"/>
      <c r="C410" s="2"/>
      <c r="D410" s="2"/>
    </row>
    <row r="411" spans="1:4" x14ac:dyDescent="0.35">
      <c r="A411" s="1"/>
      <c r="C411" s="2"/>
      <c r="D411" s="2"/>
    </row>
    <row r="412" spans="1:4" x14ac:dyDescent="0.35">
      <c r="A412" s="1"/>
      <c r="C412" s="2"/>
      <c r="D412" s="2"/>
    </row>
    <row r="413" spans="1:4" x14ac:dyDescent="0.35">
      <c r="A413" s="1"/>
      <c r="C413" s="2"/>
      <c r="D413" s="2"/>
    </row>
    <row r="414" spans="1:4" x14ac:dyDescent="0.35">
      <c r="A414" s="1"/>
      <c r="C414" s="2"/>
      <c r="D414" s="2"/>
    </row>
    <row r="415" spans="1:4" x14ac:dyDescent="0.35">
      <c r="A415" s="1"/>
      <c r="C415" s="2"/>
      <c r="D415" s="2"/>
    </row>
    <row r="416" spans="1:4" x14ac:dyDescent="0.35">
      <c r="A416" s="1"/>
      <c r="C416" s="2"/>
      <c r="D416" s="2"/>
    </row>
    <row r="417" spans="1:4" x14ac:dyDescent="0.35">
      <c r="A417" s="1"/>
      <c r="C417" s="2"/>
      <c r="D417" s="2"/>
    </row>
    <row r="418" spans="1:4" x14ac:dyDescent="0.35">
      <c r="A418" s="1"/>
      <c r="C418" s="2"/>
      <c r="D418" s="2"/>
    </row>
    <row r="419" spans="1:4" x14ac:dyDescent="0.35">
      <c r="A419" s="1"/>
      <c r="C419" s="2"/>
      <c r="D419" s="2"/>
    </row>
    <row r="420" spans="1:4" x14ac:dyDescent="0.35">
      <c r="A420" s="1"/>
      <c r="C420" s="2"/>
      <c r="D420" s="2"/>
    </row>
    <row r="421" spans="1:4" x14ac:dyDescent="0.35">
      <c r="A421" s="1"/>
      <c r="C421" s="2"/>
      <c r="D421" s="2"/>
    </row>
    <row r="422" spans="1:4" x14ac:dyDescent="0.35">
      <c r="A422" s="1"/>
      <c r="C422" s="2"/>
      <c r="D422" s="2"/>
    </row>
    <row r="423" spans="1:4" x14ac:dyDescent="0.35">
      <c r="A423" s="1"/>
      <c r="C423" s="2"/>
      <c r="D423" s="2"/>
    </row>
    <row r="424" spans="1:4" x14ac:dyDescent="0.35">
      <c r="A424" s="1"/>
      <c r="C424" s="2"/>
      <c r="D424" s="2"/>
    </row>
    <row r="425" spans="1:4" x14ac:dyDescent="0.35">
      <c r="A425" s="1"/>
      <c r="C425" s="2"/>
      <c r="D425" s="2"/>
    </row>
    <row r="426" spans="1:4" x14ac:dyDescent="0.35">
      <c r="A426" s="1"/>
      <c r="C426" s="2"/>
      <c r="D426" s="2"/>
    </row>
    <row r="427" spans="1:4" x14ac:dyDescent="0.35">
      <c r="A427" s="1"/>
      <c r="C427" s="2"/>
      <c r="D427" s="2"/>
    </row>
    <row r="428" spans="1:4" x14ac:dyDescent="0.35">
      <c r="A428" s="1"/>
      <c r="C428" s="2"/>
      <c r="D428" s="2"/>
    </row>
    <row r="429" spans="1:4" x14ac:dyDescent="0.35">
      <c r="A429" s="1"/>
      <c r="C429" s="2"/>
      <c r="D429" s="2"/>
    </row>
    <row r="430" spans="1:4" x14ac:dyDescent="0.35">
      <c r="A430" s="1"/>
      <c r="C430" s="2"/>
      <c r="D430" s="2"/>
    </row>
    <row r="431" spans="1:4" x14ac:dyDescent="0.35">
      <c r="A431" s="1"/>
      <c r="C431" s="2"/>
      <c r="D431" s="2"/>
    </row>
    <row r="432" spans="1:4" x14ac:dyDescent="0.35">
      <c r="A432" s="1"/>
      <c r="C432" s="2"/>
      <c r="D432" s="2"/>
    </row>
    <row r="433" spans="1:4" x14ac:dyDescent="0.35">
      <c r="A433" s="1"/>
      <c r="C433" s="2"/>
      <c r="D433" s="2"/>
    </row>
    <row r="434" spans="1:4" x14ac:dyDescent="0.35">
      <c r="A434" s="1"/>
      <c r="C434" s="2"/>
      <c r="D434" s="2"/>
    </row>
    <row r="435" spans="1:4" x14ac:dyDescent="0.35">
      <c r="A435" s="1"/>
      <c r="C435" s="2"/>
      <c r="D435" s="2"/>
    </row>
    <row r="436" spans="1:4" x14ac:dyDescent="0.35">
      <c r="A436" s="1"/>
      <c r="C436" s="2"/>
      <c r="D436" s="2"/>
    </row>
    <row r="437" spans="1:4" x14ac:dyDescent="0.35">
      <c r="A437" s="1"/>
      <c r="C437" s="2"/>
      <c r="D437" s="2"/>
    </row>
    <row r="438" spans="1:4" x14ac:dyDescent="0.35">
      <c r="A438" s="1"/>
      <c r="C438" s="2"/>
    </row>
    <row r="439" spans="1:4" x14ac:dyDescent="0.35">
      <c r="A439" s="1"/>
    </row>
    <row r="440" spans="1:4" x14ac:dyDescent="0.35">
      <c r="A440" s="1"/>
    </row>
    <row r="441" spans="1:4" x14ac:dyDescent="0.35">
      <c r="A441" s="1"/>
    </row>
    <row r="442" spans="1:4" x14ac:dyDescent="0.35">
      <c r="A442" s="1"/>
    </row>
    <row r="443" spans="1:4" x14ac:dyDescent="0.35">
      <c r="A443" s="1"/>
    </row>
    <row r="444" spans="1:4" x14ac:dyDescent="0.35">
      <c r="A444" s="1"/>
    </row>
    <row r="445" spans="1:4" x14ac:dyDescent="0.35">
      <c r="A445" s="1"/>
    </row>
    <row r="446" spans="1:4" x14ac:dyDescent="0.35">
      <c r="A446" s="1"/>
    </row>
    <row r="447" spans="1:4" x14ac:dyDescent="0.35">
      <c r="A447" s="1"/>
    </row>
    <row r="448" spans="1:4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D8A8-5823-4032-971B-B71F8AB67DF7}">
  <dimension ref="A1:C313"/>
  <sheetViews>
    <sheetView tabSelected="1" topLeftCell="A276" workbookViewId="0">
      <selection activeCell="F295" sqref="F295"/>
    </sheetView>
  </sheetViews>
  <sheetFormatPr baseColWidth="10" defaultRowHeight="14.5" x14ac:dyDescent="0.35"/>
  <sheetData>
    <row r="1" spans="1:3" x14ac:dyDescent="0.35">
      <c r="A1" t="s">
        <v>10</v>
      </c>
      <c r="B1" t="s">
        <v>9</v>
      </c>
      <c r="C1" t="s">
        <v>11</v>
      </c>
    </row>
    <row r="2" spans="1:3" x14ac:dyDescent="0.35">
      <c r="A2" s="1">
        <v>36526</v>
      </c>
      <c r="B2">
        <v>34494.016843972597</v>
      </c>
      <c r="C2">
        <f>+LN(B2)</f>
        <v>10.44854116316724</v>
      </c>
    </row>
    <row r="3" spans="1:3" x14ac:dyDescent="0.35">
      <c r="A3" s="1">
        <v>36557</v>
      </c>
      <c r="B3">
        <v>36225.954810975898</v>
      </c>
      <c r="C3">
        <f t="shared" ref="C3:C66" si="0">+LN(B3)</f>
        <v>10.497531124632438</v>
      </c>
    </row>
    <row r="4" spans="1:3" x14ac:dyDescent="0.35">
      <c r="A4" s="1">
        <v>36586</v>
      </c>
      <c r="B4">
        <v>36475.285245051498</v>
      </c>
      <c r="C4">
        <f t="shared" si="0"/>
        <v>10.504390193649689</v>
      </c>
    </row>
    <row r="5" spans="1:3" x14ac:dyDescent="0.35">
      <c r="A5" s="1">
        <v>36617</v>
      </c>
      <c r="B5">
        <v>35738.418163008697</v>
      </c>
      <c r="C5">
        <f t="shared" si="0"/>
        <v>10.483981528165069</v>
      </c>
    </row>
    <row r="6" spans="1:3" x14ac:dyDescent="0.35">
      <c r="A6" s="1">
        <v>36647</v>
      </c>
      <c r="B6">
        <v>35555.721882037498</v>
      </c>
      <c r="C6">
        <f t="shared" si="0"/>
        <v>10.478856375361053</v>
      </c>
    </row>
    <row r="7" spans="1:3" x14ac:dyDescent="0.35">
      <c r="A7" s="1">
        <v>36678</v>
      </c>
      <c r="B7">
        <v>35934.3336549538</v>
      </c>
      <c r="C7">
        <f t="shared" si="0"/>
        <v>10.489448486665466</v>
      </c>
    </row>
    <row r="8" spans="1:3" x14ac:dyDescent="0.35">
      <c r="A8" s="1">
        <v>36708</v>
      </c>
      <c r="B8">
        <v>36382.940071314501</v>
      </c>
      <c r="C8">
        <f t="shared" si="0"/>
        <v>10.50185526440084</v>
      </c>
    </row>
    <row r="9" spans="1:3" x14ac:dyDescent="0.35">
      <c r="A9" s="1">
        <v>36739</v>
      </c>
      <c r="B9">
        <v>35729.646253345301</v>
      </c>
      <c r="C9">
        <f t="shared" si="0"/>
        <v>10.483736050418354</v>
      </c>
    </row>
    <row r="10" spans="1:3" x14ac:dyDescent="0.35">
      <c r="A10" s="1">
        <v>36770</v>
      </c>
      <c r="B10">
        <v>35718.319975340099</v>
      </c>
      <c r="C10">
        <f t="shared" si="0"/>
        <v>10.48341900071917</v>
      </c>
    </row>
    <row r="11" spans="1:3" x14ac:dyDescent="0.35">
      <c r="A11" s="1">
        <v>36800</v>
      </c>
      <c r="B11">
        <v>35302.039906561004</v>
      </c>
      <c r="C11">
        <f t="shared" si="0"/>
        <v>10.471696028973017</v>
      </c>
    </row>
    <row r="12" spans="1:3" x14ac:dyDescent="0.35">
      <c r="A12" s="1">
        <v>36831</v>
      </c>
      <c r="B12">
        <v>36263.402155064701</v>
      </c>
      <c r="C12">
        <f t="shared" si="0"/>
        <v>10.498564306577684</v>
      </c>
    </row>
    <row r="13" spans="1:3" x14ac:dyDescent="0.35">
      <c r="A13" s="1">
        <v>36861</v>
      </c>
      <c r="B13">
        <v>36128.067338374298</v>
      </c>
      <c r="C13">
        <f t="shared" si="0"/>
        <v>10.494825330830908</v>
      </c>
    </row>
    <row r="14" spans="1:3" x14ac:dyDescent="0.35">
      <c r="A14" s="1">
        <v>36892</v>
      </c>
      <c r="B14">
        <v>36312.070249644297</v>
      </c>
      <c r="C14">
        <f t="shared" si="0"/>
        <v>10.499905478746799</v>
      </c>
    </row>
    <row r="15" spans="1:3" x14ac:dyDescent="0.35">
      <c r="A15" s="1">
        <v>36923</v>
      </c>
      <c r="B15">
        <v>36031.0380307913</v>
      </c>
      <c r="C15">
        <f t="shared" si="0"/>
        <v>10.492136013507297</v>
      </c>
    </row>
    <row r="16" spans="1:3" x14ac:dyDescent="0.35">
      <c r="A16" s="1">
        <v>36951</v>
      </c>
      <c r="B16">
        <v>36130.996719564399</v>
      </c>
      <c r="C16">
        <f t="shared" si="0"/>
        <v>10.49490641079589</v>
      </c>
    </row>
    <row r="17" spans="1:3" x14ac:dyDescent="0.35">
      <c r="A17" s="1">
        <v>36982</v>
      </c>
      <c r="B17">
        <v>36150.898033612997</v>
      </c>
      <c r="C17">
        <f t="shared" si="0"/>
        <v>10.495457069148703</v>
      </c>
    </row>
    <row r="18" spans="1:3" x14ac:dyDescent="0.35">
      <c r="A18" s="1">
        <v>37012</v>
      </c>
      <c r="B18">
        <v>36220.948265082901</v>
      </c>
      <c r="C18">
        <f t="shared" si="0"/>
        <v>10.497392911798254</v>
      </c>
    </row>
    <row r="19" spans="1:3" x14ac:dyDescent="0.35">
      <c r="A19" s="1">
        <v>37043</v>
      </c>
      <c r="B19">
        <v>36372.523001303998</v>
      </c>
      <c r="C19">
        <f t="shared" si="0"/>
        <v>10.501568905971061</v>
      </c>
    </row>
    <row r="20" spans="1:3" x14ac:dyDescent="0.35">
      <c r="A20" s="1">
        <v>37073</v>
      </c>
      <c r="B20">
        <v>36371.012033698898</v>
      </c>
      <c r="C20">
        <f t="shared" si="0"/>
        <v>10.501527363651057</v>
      </c>
    </row>
    <row r="21" spans="1:3" x14ac:dyDescent="0.35">
      <c r="A21" s="1">
        <v>37104</v>
      </c>
      <c r="B21">
        <v>36597.879568858203</v>
      </c>
      <c r="C21">
        <f t="shared" si="0"/>
        <v>10.507745582434046</v>
      </c>
    </row>
    <row r="22" spans="1:3" x14ac:dyDescent="0.35">
      <c r="A22" s="1">
        <v>37135</v>
      </c>
      <c r="B22">
        <v>36666.292797442897</v>
      </c>
      <c r="C22">
        <f t="shared" si="0"/>
        <v>10.509613159621084</v>
      </c>
    </row>
    <row r="23" spans="1:3" x14ac:dyDescent="0.35">
      <c r="A23" s="1">
        <v>37165</v>
      </c>
      <c r="B23">
        <v>36747.944888886697</v>
      </c>
      <c r="C23">
        <f t="shared" si="0"/>
        <v>10.511837581686486</v>
      </c>
    </row>
    <row r="24" spans="1:3" x14ac:dyDescent="0.35">
      <c r="A24" s="1">
        <v>37196</v>
      </c>
      <c r="B24">
        <v>36807.571444784997</v>
      </c>
      <c r="C24">
        <f t="shared" si="0"/>
        <v>10.513458848776462</v>
      </c>
    </row>
    <row r="25" spans="1:3" x14ac:dyDescent="0.35">
      <c r="A25" s="1">
        <v>37226</v>
      </c>
      <c r="B25">
        <v>36753.063866328303</v>
      </c>
      <c r="C25">
        <f t="shared" si="0"/>
        <v>10.51197687167819</v>
      </c>
    </row>
    <row r="26" spans="1:3" x14ac:dyDescent="0.35">
      <c r="A26" s="1">
        <v>37257</v>
      </c>
      <c r="B26">
        <v>36263.209524633297</v>
      </c>
      <c r="C26">
        <f t="shared" si="0"/>
        <v>10.498558994584558</v>
      </c>
    </row>
    <row r="27" spans="1:3" x14ac:dyDescent="0.35">
      <c r="A27" s="1">
        <v>37288</v>
      </c>
      <c r="B27">
        <v>36438.719389661499</v>
      </c>
      <c r="C27">
        <f t="shared" si="0"/>
        <v>10.503387207772324</v>
      </c>
    </row>
    <row r="28" spans="1:3" x14ac:dyDescent="0.35">
      <c r="A28" s="1">
        <v>37316</v>
      </c>
      <c r="B28">
        <v>36631.284285705202</v>
      </c>
      <c r="C28">
        <f t="shared" si="0"/>
        <v>10.50865791619305</v>
      </c>
    </row>
    <row r="29" spans="1:3" x14ac:dyDescent="0.35">
      <c r="A29" s="1">
        <v>37347</v>
      </c>
      <c r="B29">
        <v>37349.081631775698</v>
      </c>
      <c r="C29">
        <f t="shared" si="0"/>
        <v>10.528063602086666</v>
      </c>
    </row>
    <row r="30" spans="1:3" x14ac:dyDescent="0.35">
      <c r="A30" s="1">
        <v>37377</v>
      </c>
      <c r="B30">
        <v>38006.145922640899</v>
      </c>
      <c r="C30">
        <f t="shared" si="0"/>
        <v>10.545503160437198</v>
      </c>
    </row>
    <row r="31" spans="1:3" x14ac:dyDescent="0.35">
      <c r="A31" s="1">
        <v>37408</v>
      </c>
      <c r="B31">
        <v>37743.566845583402</v>
      </c>
      <c r="C31">
        <f t="shared" si="0"/>
        <v>10.538570325468406</v>
      </c>
    </row>
    <row r="32" spans="1:3" x14ac:dyDescent="0.35">
      <c r="A32" s="1">
        <v>37438</v>
      </c>
      <c r="B32">
        <v>37634.840622817297</v>
      </c>
      <c r="C32">
        <f t="shared" si="0"/>
        <v>10.535685512646786</v>
      </c>
    </row>
    <row r="33" spans="1:3" x14ac:dyDescent="0.35">
      <c r="A33" s="1">
        <v>37469</v>
      </c>
      <c r="B33">
        <v>37541.607106588403</v>
      </c>
      <c r="C33">
        <f t="shared" si="0"/>
        <v>10.533205119735301</v>
      </c>
    </row>
    <row r="34" spans="1:3" x14ac:dyDescent="0.35">
      <c r="A34" s="1">
        <v>37500</v>
      </c>
      <c r="B34">
        <v>37511.6657705943</v>
      </c>
      <c r="C34">
        <f t="shared" si="0"/>
        <v>10.532407250796755</v>
      </c>
    </row>
    <row r="35" spans="1:3" x14ac:dyDescent="0.35">
      <c r="A35" s="1">
        <v>37530</v>
      </c>
      <c r="B35">
        <v>37719.272349946899</v>
      </c>
      <c r="C35">
        <f t="shared" si="0"/>
        <v>10.537926445732769</v>
      </c>
    </row>
    <row r="36" spans="1:3" x14ac:dyDescent="0.35">
      <c r="A36" s="1">
        <v>37561</v>
      </c>
      <c r="B36">
        <v>37607.620600798902</v>
      </c>
      <c r="C36">
        <f t="shared" si="0"/>
        <v>10.534961984395233</v>
      </c>
    </row>
    <row r="37" spans="1:3" x14ac:dyDescent="0.35">
      <c r="A37" s="1">
        <v>37591</v>
      </c>
      <c r="B37">
        <v>37661.681949254198</v>
      </c>
      <c r="C37">
        <f t="shared" si="0"/>
        <v>10.536398462638552</v>
      </c>
    </row>
    <row r="38" spans="1:3" x14ac:dyDescent="0.35">
      <c r="A38" s="1">
        <v>37622</v>
      </c>
      <c r="B38">
        <v>37814.971811571602</v>
      </c>
      <c r="C38">
        <f t="shared" si="0"/>
        <v>10.540460382860038</v>
      </c>
    </row>
    <row r="39" spans="1:3" x14ac:dyDescent="0.35">
      <c r="A39" s="1">
        <v>37653</v>
      </c>
      <c r="B39">
        <v>37993.835193468702</v>
      </c>
      <c r="C39">
        <f t="shared" si="0"/>
        <v>10.545179193796706</v>
      </c>
    </row>
    <row r="40" spans="1:3" x14ac:dyDescent="0.35">
      <c r="A40" s="1">
        <v>37681</v>
      </c>
      <c r="B40">
        <v>38102.289994959698</v>
      </c>
      <c r="C40">
        <f t="shared" si="0"/>
        <v>10.548029664163153</v>
      </c>
    </row>
    <row r="41" spans="1:3" x14ac:dyDescent="0.35">
      <c r="A41" s="1">
        <v>37712</v>
      </c>
      <c r="B41">
        <v>38533.877193072098</v>
      </c>
      <c r="C41">
        <f t="shared" si="0"/>
        <v>10.559293060459764</v>
      </c>
    </row>
    <row r="42" spans="1:3" x14ac:dyDescent="0.35">
      <c r="A42" s="1">
        <v>37742</v>
      </c>
      <c r="B42">
        <v>38730.762642980299</v>
      </c>
      <c r="C42">
        <f t="shared" si="0"/>
        <v>10.564389463587334</v>
      </c>
    </row>
    <row r="43" spans="1:3" x14ac:dyDescent="0.35">
      <c r="A43" s="1">
        <v>37773</v>
      </c>
      <c r="B43">
        <v>38570.013863947599</v>
      </c>
      <c r="C43">
        <f t="shared" si="0"/>
        <v>10.560230410651201</v>
      </c>
    </row>
    <row r="44" spans="1:3" x14ac:dyDescent="0.35">
      <c r="A44" s="1">
        <v>37803</v>
      </c>
      <c r="B44">
        <v>39330.673274500201</v>
      </c>
      <c r="C44">
        <f t="shared" si="0"/>
        <v>10.579759983878372</v>
      </c>
    </row>
    <row r="45" spans="1:3" x14ac:dyDescent="0.35">
      <c r="A45" s="1">
        <v>37834</v>
      </c>
      <c r="B45">
        <v>38633.887286667901</v>
      </c>
      <c r="C45">
        <f t="shared" si="0"/>
        <v>10.561885079297261</v>
      </c>
    </row>
    <row r="46" spans="1:3" x14ac:dyDescent="0.35">
      <c r="A46" s="1">
        <v>37865</v>
      </c>
      <c r="B46">
        <v>39254.631238831898</v>
      </c>
      <c r="C46">
        <f t="shared" si="0"/>
        <v>10.577824709595923</v>
      </c>
    </row>
    <row r="47" spans="1:3" x14ac:dyDescent="0.35">
      <c r="A47" s="1">
        <v>37895</v>
      </c>
      <c r="B47">
        <v>39394.302213830902</v>
      </c>
      <c r="C47">
        <f t="shared" si="0"/>
        <v>10.581376470966273</v>
      </c>
    </row>
    <row r="48" spans="1:3" x14ac:dyDescent="0.35">
      <c r="A48" s="1">
        <v>37926</v>
      </c>
      <c r="B48">
        <v>39475.225490029698</v>
      </c>
      <c r="C48">
        <f t="shared" si="0"/>
        <v>10.583428551331206</v>
      </c>
    </row>
    <row r="49" spans="1:3" x14ac:dyDescent="0.35">
      <c r="A49" s="1">
        <v>37956</v>
      </c>
      <c r="B49">
        <v>39832.3428961393</v>
      </c>
      <c r="C49">
        <f t="shared" si="0"/>
        <v>10.592434496844398</v>
      </c>
    </row>
    <row r="50" spans="1:3" x14ac:dyDescent="0.35">
      <c r="A50" s="1">
        <v>37987</v>
      </c>
      <c r="B50">
        <v>40249.508229179002</v>
      </c>
      <c r="C50">
        <f t="shared" si="0"/>
        <v>10.602853064863474</v>
      </c>
    </row>
    <row r="51" spans="1:3" x14ac:dyDescent="0.35">
      <c r="A51" s="1">
        <v>38018</v>
      </c>
      <c r="B51">
        <v>40134.333728225203</v>
      </c>
      <c r="C51">
        <f t="shared" si="0"/>
        <v>10.599987449661102</v>
      </c>
    </row>
    <row r="52" spans="1:3" x14ac:dyDescent="0.35">
      <c r="A52" s="1">
        <v>38047</v>
      </c>
      <c r="B52">
        <v>40567.714242595801</v>
      </c>
      <c r="C52">
        <f t="shared" si="0"/>
        <v>10.610727813538485</v>
      </c>
    </row>
    <row r="53" spans="1:3" x14ac:dyDescent="0.35">
      <c r="A53" s="1">
        <v>38078</v>
      </c>
      <c r="B53">
        <v>39965.1392251824</v>
      </c>
      <c r="C53">
        <f t="shared" si="0"/>
        <v>10.595762833731829</v>
      </c>
    </row>
    <row r="54" spans="1:3" x14ac:dyDescent="0.35">
      <c r="A54" s="1">
        <v>38108</v>
      </c>
      <c r="B54">
        <v>40399.491123760898</v>
      </c>
      <c r="C54">
        <f t="shared" si="0"/>
        <v>10.606572467923399</v>
      </c>
    </row>
    <row r="55" spans="1:3" x14ac:dyDescent="0.35">
      <c r="A55" s="1">
        <v>38139</v>
      </c>
      <c r="B55">
        <v>40564.278051056703</v>
      </c>
      <c r="C55">
        <f t="shared" si="0"/>
        <v>10.610643107334582</v>
      </c>
    </row>
    <row r="56" spans="1:3" x14ac:dyDescent="0.35">
      <c r="A56" s="1">
        <v>38169</v>
      </c>
      <c r="B56">
        <v>40768.860873347701</v>
      </c>
      <c r="C56">
        <f t="shared" si="0"/>
        <v>10.615673855107723</v>
      </c>
    </row>
    <row r="57" spans="1:3" x14ac:dyDescent="0.35">
      <c r="A57" s="1">
        <v>38200</v>
      </c>
      <c r="B57">
        <v>40644.142230625599</v>
      </c>
      <c r="C57">
        <f t="shared" si="0"/>
        <v>10.612610002024548</v>
      </c>
    </row>
    <row r="58" spans="1:3" x14ac:dyDescent="0.35">
      <c r="A58" s="1">
        <v>38231</v>
      </c>
      <c r="B58">
        <v>40947.248896026802</v>
      </c>
      <c r="C58">
        <f t="shared" si="0"/>
        <v>10.620039904998194</v>
      </c>
    </row>
    <row r="59" spans="1:3" x14ac:dyDescent="0.35">
      <c r="A59" s="1">
        <v>38261</v>
      </c>
      <c r="B59">
        <v>41730.636216845698</v>
      </c>
      <c r="C59">
        <f t="shared" si="0"/>
        <v>10.638990819499709</v>
      </c>
    </row>
    <row r="60" spans="1:3" x14ac:dyDescent="0.35">
      <c r="A60" s="1">
        <v>38292</v>
      </c>
      <c r="B60">
        <v>42206.478094748301</v>
      </c>
      <c r="C60">
        <f t="shared" si="0"/>
        <v>10.650328997596974</v>
      </c>
    </row>
    <row r="61" spans="1:3" x14ac:dyDescent="0.35">
      <c r="A61" s="1">
        <v>38322</v>
      </c>
      <c r="B61">
        <v>42323.096088405997</v>
      </c>
      <c r="C61">
        <f t="shared" si="0"/>
        <v>10.653088222844993</v>
      </c>
    </row>
    <row r="62" spans="1:3" x14ac:dyDescent="0.35">
      <c r="A62" s="1">
        <v>38353</v>
      </c>
      <c r="B62">
        <v>41666.310641333002</v>
      </c>
      <c r="C62">
        <f t="shared" si="0"/>
        <v>10.637448182971815</v>
      </c>
    </row>
    <row r="63" spans="1:3" x14ac:dyDescent="0.35">
      <c r="A63" s="1">
        <v>38384</v>
      </c>
      <c r="B63">
        <v>42108.203655692902</v>
      </c>
      <c r="C63">
        <f t="shared" si="0"/>
        <v>10.647997861867854</v>
      </c>
    </row>
    <row r="64" spans="1:3" x14ac:dyDescent="0.35">
      <c r="A64" s="1">
        <v>38412</v>
      </c>
      <c r="B64">
        <v>42222.981202974101</v>
      </c>
      <c r="C64">
        <f t="shared" si="0"/>
        <v>10.650719930064698</v>
      </c>
    </row>
    <row r="65" spans="1:3" x14ac:dyDescent="0.35">
      <c r="A65" s="1">
        <v>38443</v>
      </c>
      <c r="B65">
        <v>43235.0596552477</v>
      </c>
      <c r="C65">
        <f t="shared" si="0"/>
        <v>10.674407011184204</v>
      </c>
    </row>
    <row r="66" spans="1:3" x14ac:dyDescent="0.35">
      <c r="A66" s="1">
        <v>38473</v>
      </c>
      <c r="B66">
        <v>42752.787652738298</v>
      </c>
      <c r="C66">
        <f t="shared" si="0"/>
        <v>10.663189680490129</v>
      </c>
    </row>
    <row r="67" spans="1:3" x14ac:dyDescent="0.35">
      <c r="A67" s="1">
        <v>38504</v>
      </c>
      <c r="B67">
        <v>43123.333092014102</v>
      </c>
      <c r="C67">
        <f t="shared" ref="C67:C130" si="1">+LN(B67)</f>
        <v>10.671819500647814</v>
      </c>
    </row>
    <row r="68" spans="1:3" x14ac:dyDescent="0.35">
      <c r="A68" s="1">
        <v>38534</v>
      </c>
      <c r="B68">
        <v>42540.521891436001</v>
      </c>
      <c r="C68">
        <f t="shared" si="1"/>
        <v>10.658212356930878</v>
      </c>
    </row>
    <row r="69" spans="1:3" x14ac:dyDescent="0.35">
      <c r="A69" s="1">
        <v>38565</v>
      </c>
      <c r="B69">
        <v>43129.923796996103</v>
      </c>
      <c r="C69">
        <f t="shared" si="1"/>
        <v>10.671972322819</v>
      </c>
    </row>
    <row r="70" spans="1:3" x14ac:dyDescent="0.35">
      <c r="A70" s="1">
        <v>38596</v>
      </c>
      <c r="B70">
        <v>43025.782611567898</v>
      </c>
      <c r="C70">
        <f t="shared" si="1"/>
        <v>10.669554810607927</v>
      </c>
    </row>
    <row r="71" spans="1:3" x14ac:dyDescent="0.35">
      <c r="A71" s="1">
        <v>38626</v>
      </c>
      <c r="B71">
        <v>43152.695370381603</v>
      </c>
      <c r="C71">
        <f t="shared" si="1"/>
        <v>10.672500159691221</v>
      </c>
    </row>
    <row r="72" spans="1:3" x14ac:dyDescent="0.35">
      <c r="A72" s="1">
        <v>38657</v>
      </c>
      <c r="B72">
        <v>43383.873568272298</v>
      </c>
      <c r="C72">
        <f t="shared" si="1"/>
        <v>10.677843074268823</v>
      </c>
    </row>
    <row r="73" spans="1:3" x14ac:dyDescent="0.35">
      <c r="A73" s="1">
        <v>38687</v>
      </c>
      <c r="B73">
        <v>44511.526861346101</v>
      </c>
      <c r="C73">
        <f t="shared" si="1"/>
        <v>10.703503465203747</v>
      </c>
    </row>
    <row r="74" spans="1:3" x14ac:dyDescent="0.35">
      <c r="A74" s="1">
        <v>38718</v>
      </c>
      <c r="B74">
        <v>44338.517008521303</v>
      </c>
      <c r="C74">
        <f t="shared" si="1"/>
        <v>10.699609036704825</v>
      </c>
    </row>
    <row r="75" spans="1:3" x14ac:dyDescent="0.35">
      <c r="A75" s="1">
        <v>38749</v>
      </c>
      <c r="B75">
        <v>44657.005061145202</v>
      </c>
      <c r="C75">
        <f t="shared" si="1"/>
        <v>10.706766462266497</v>
      </c>
    </row>
    <row r="76" spans="1:3" x14ac:dyDescent="0.35">
      <c r="A76" s="1">
        <v>38777</v>
      </c>
      <c r="B76">
        <v>45116.147530333503</v>
      </c>
      <c r="C76">
        <f t="shared" si="1"/>
        <v>10.716995499776925</v>
      </c>
    </row>
    <row r="77" spans="1:3" x14ac:dyDescent="0.35">
      <c r="A77" s="1">
        <v>38808</v>
      </c>
      <c r="B77">
        <v>44983.897918223098</v>
      </c>
      <c r="C77">
        <f t="shared" si="1"/>
        <v>10.714059880678672</v>
      </c>
    </row>
    <row r="78" spans="1:3" x14ac:dyDescent="0.35">
      <c r="A78" s="1">
        <v>38838</v>
      </c>
      <c r="B78">
        <v>45650.417709092602</v>
      </c>
      <c r="C78">
        <f t="shared" si="1"/>
        <v>10.728768036235197</v>
      </c>
    </row>
    <row r="79" spans="1:3" x14ac:dyDescent="0.35">
      <c r="A79" s="1">
        <v>38869</v>
      </c>
      <c r="B79">
        <v>45313.127672684299</v>
      </c>
      <c r="C79">
        <f t="shared" si="1"/>
        <v>10.721352063587917</v>
      </c>
    </row>
    <row r="80" spans="1:3" x14ac:dyDescent="0.35">
      <c r="A80" s="1">
        <v>38899</v>
      </c>
      <c r="B80">
        <v>45660.329935220099</v>
      </c>
      <c r="C80">
        <f t="shared" si="1"/>
        <v>10.728985145971391</v>
      </c>
    </row>
    <row r="81" spans="1:3" x14ac:dyDescent="0.35">
      <c r="A81" s="1">
        <v>38930</v>
      </c>
      <c r="B81">
        <v>46238.0355208279</v>
      </c>
      <c r="C81">
        <f t="shared" si="1"/>
        <v>10.74155801803261</v>
      </c>
    </row>
    <row r="82" spans="1:3" x14ac:dyDescent="0.35">
      <c r="A82" s="1">
        <v>38961</v>
      </c>
      <c r="B82">
        <v>46692.423243951998</v>
      </c>
      <c r="C82">
        <f t="shared" si="1"/>
        <v>10.75133718732395</v>
      </c>
    </row>
    <row r="83" spans="1:3" x14ac:dyDescent="0.35">
      <c r="A83" s="1">
        <v>38991</v>
      </c>
      <c r="B83">
        <v>46653.995823099998</v>
      </c>
      <c r="C83">
        <f t="shared" si="1"/>
        <v>10.750513857979197</v>
      </c>
    </row>
    <row r="84" spans="1:3" x14ac:dyDescent="0.35">
      <c r="A84" s="1">
        <v>39022</v>
      </c>
      <c r="B84">
        <v>47235.949500630297</v>
      </c>
      <c r="C84">
        <f t="shared" si="1"/>
        <v>10.762910523634105</v>
      </c>
    </row>
    <row r="85" spans="1:3" x14ac:dyDescent="0.35">
      <c r="A85" s="1">
        <v>39052</v>
      </c>
      <c r="B85">
        <v>46895.152976269703</v>
      </c>
      <c r="C85">
        <f t="shared" si="1"/>
        <v>10.755669601039642</v>
      </c>
    </row>
    <row r="86" spans="1:3" x14ac:dyDescent="0.35">
      <c r="A86" s="1">
        <v>39083</v>
      </c>
      <c r="B86">
        <v>47248.741106018097</v>
      </c>
      <c r="C86">
        <f t="shared" si="1"/>
        <v>10.763181289308074</v>
      </c>
    </row>
    <row r="87" spans="1:3" x14ac:dyDescent="0.35">
      <c r="A87" s="1">
        <v>39114</v>
      </c>
      <c r="B87">
        <v>47826.999650526202</v>
      </c>
      <c r="C87">
        <f t="shared" si="1"/>
        <v>10.775345605259272</v>
      </c>
    </row>
    <row r="88" spans="1:3" x14ac:dyDescent="0.35">
      <c r="A88" s="1">
        <v>39142</v>
      </c>
      <c r="B88">
        <v>48152.070543455702</v>
      </c>
      <c r="C88">
        <f t="shared" si="1"/>
        <v>10.782119418242644</v>
      </c>
    </row>
    <row r="89" spans="1:3" x14ac:dyDescent="0.35">
      <c r="A89" s="1">
        <v>39173</v>
      </c>
      <c r="B89">
        <v>47745.460829336698</v>
      </c>
      <c r="C89">
        <f t="shared" si="1"/>
        <v>10.773639280224554</v>
      </c>
    </row>
    <row r="90" spans="1:3" x14ac:dyDescent="0.35">
      <c r="A90" s="1">
        <v>39203</v>
      </c>
      <c r="B90">
        <v>48519.950033357301</v>
      </c>
      <c r="C90">
        <f t="shared" si="1"/>
        <v>10.789730333242067</v>
      </c>
    </row>
    <row r="91" spans="1:3" x14ac:dyDescent="0.35">
      <c r="A91" s="1">
        <v>39234</v>
      </c>
      <c r="B91">
        <v>48862.153037306001</v>
      </c>
      <c r="C91">
        <f t="shared" si="1"/>
        <v>10.796758409278988</v>
      </c>
    </row>
    <row r="92" spans="1:3" x14ac:dyDescent="0.35">
      <c r="A92" s="1">
        <v>39264</v>
      </c>
      <c r="B92">
        <v>48885.6973519776</v>
      </c>
      <c r="C92">
        <f t="shared" si="1"/>
        <v>10.797240144990477</v>
      </c>
    </row>
    <row r="93" spans="1:3" x14ac:dyDescent="0.35">
      <c r="A93" s="1">
        <v>39295</v>
      </c>
      <c r="B93">
        <v>49491.420865761997</v>
      </c>
      <c r="C93">
        <f t="shared" si="1"/>
        <v>10.809554617692664</v>
      </c>
    </row>
    <row r="94" spans="1:3" x14ac:dyDescent="0.35">
      <c r="A94" s="1">
        <v>39326</v>
      </c>
      <c r="B94">
        <v>49764.300382260502</v>
      </c>
      <c r="C94">
        <f t="shared" si="1"/>
        <v>10.815053146151936</v>
      </c>
    </row>
    <row r="95" spans="1:3" x14ac:dyDescent="0.35">
      <c r="A95" s="1">
        <v>39356</v>
      </c>
      <c r="B95">
        <v>49832.901244599998</v>
      </c>
      <c r="C95">
        <f t="shared" si="1"/>
        <v>10.816430712430256</v>
      </c>
    </row>
    <row r="96" spans="1:3" x14ac:dyDescent="0.35">
      <c r="A96" s="1">
        <v>39387</v>
      </c>
      <c r="B96">
        <v>50200.297908340603</v>
      </c>
      <c r="C96">
        <f t="shared" si="1"/>
        <v>10.823776240091307</v>
      </c>
    </row>
    <row r="97" spans="1:3" x14ac:dyDescent="0.35">
      <c r="A97" s="1">
        <v>39417</v>
      </c>
      <c r="B97">
        <v>49927.006947059403</v>
      </c>
      <c r="C97">
        <f t="shared" si="1"/>
        <v>10.818317356716097</v>
      </c>
    </row>
    <row r="98" spans="1:3" x14ac:dyDescent="0.35">
      <c r="A98" s="1">
        <v>39448</v>
      </c>
      <c r="B98">
        <v>50393.164264696999</v>
      </c>
      <c r="C98">
        <f t="shared" si="1"/>
        <v>10.827610815192214</v>
      </c>
    </row>
    <row r="99" spans="1:3" x14ac:dyDescent="0.35">
      <c r="A99" s="1">
        <v>39479</v>
      </c>
      <c r="B99">
        <v>50450.516862948301</v>
      </c>
      <c r="C99">
        <f t="shared" si="1"/>
        <v>10.828748270782759</v>
      </c>
    </row>
    <row r="100" spans="1:3" x14ac:dyDescent="0.35">
      <c r="A100" s="1">
        <v>39508</v>
      </c>
      <c r="B100">
        <v>49751.205772354697</v>
      </c>
      <c r="C100">
        <f t="shared" si="1"/>
        <v>10.814789978923281</v>
      </c>
    </row>
    <row r="101" spans="1:3" x14ac:dyDescent="0.35">
      <c r="A101" s="1">
        <v>39539</v>
      </c>
      <c r="B101">
        <v>50792.4944202103</v>
      </c>
      <c r="C101">
        <f t="shared" si="1"/>
        <v>10.83550387501716</v>
      </c>
    </row>
    <row r="102" spans="1:3" x14ac:dyDescent="0.35">
      <c r="A102" s="1">
        <v>39569</v>
      </c>
      <c r="B102">
        <v>50353.6734704548</v>
      </c>
      <c r="C102">
        <f t="shared" si="1"/>
        <v>10.82682685418356</v>
      </c>
    </row>
    <row r="103" spans="1:3" x14ac:dyDescent="0.35">
      <c r="A103" s="1">
        <v>39600</v>
      </c>
      <c r="B103">
        <v>50545.226309334903</v>
      </c>
      <c r="C103">
        <f t="shared" si="1"/>
        <v>10.830623784961356</v>
      </c>
    </row>
    <row r="104" spans="1:3" x14ac:dyDescent="0.35">
      <c r="A104" s="1">
        <v>39630</v>
      </c>
      <c r="B104">
        <v>51133.538527990902</v>
      </c>
      <c r="C104">
        <f t="shared" si="1"/>
        <v>10.842195892172461</v>
      </c>
    </row>
    <row r="105" spans="1:3" x14ac:dyDescent="0.35">
      <c r="A105" s="1">
        <v>39661</v>
      </c>
      <c r="B105">
        <v>50807.595035887098</v>
      </c>
      <c r="C105">
        <f t="shared" si="1"/>
        <v>10.835801130971735</v>
      </c>
    </row>
    <row r="106" spans="1:3" x14ac:dyDescent="0.35">
      <c r="A106" s="1">
        <v>39692</v>
      </c>
      <c r="B106">
        <v>51060.021436121999</v>
      </c>
      <c r="C106">
        <f t="shared" si="1"/>
        <v>10.840757110617595</v>
      </c>
    </row>
    <row r="107" spans="1:3" x14ac:dyDescent="0.35">
      <c r="A107" s="1">
        <v>39722</v>
      </c>
      <c r="B107">
        <v>50769.984304741403</v>
      </c>
      <c r="C107">
        <f t="shared" si="1"/>
        <v>10.835060598797043</v>
      </c>
    </row>
    <row r="108" spans="1:3" x14ac:dyDescent="0.35">
      <c r="A108" s="1">
        <v>39753</v>
      </c>
      <c r="B108">
        <v>49544.980791055299</v>
      </c>
      <c r="C108">
        <f t="shared" si="1"/>
        <v>10.810636238785897</v>
      </c>
    </row>
    <row r="109" spans="1:3" x14ac:dyDescent="0.35">
      <c r="A109" s="1">
        <v>39783</v>
      </c>
      <c r="B109">
        <v>50110.598804203299</v>
      </c>
      <c r="C109">
        <f t="shared" si="1"/>
        <v>10.82198781767689</v>
      </c>
    </row>
    <row r="110" spans="1:3" x14ac:dyDescent="0.35">
      <c r="A110" s="1">
        <v>39814</v>
      </c>
      <c r="B110">
        <v>49691.343994827301</v>
      </c>
      <c r="C110">
        <f t="shared" si="1"/>
        <v>10.813586031822201</v>
      </c>
    </row>
    <row r="111" spans="1:3" x14ac:dyDescent="0.35">
      <c r="A111" s="1">
        <v>39845</v>
      </c>
      <c r="B111">
        <v>50679.2501686373</v>
      </c>
      <c r="C111">
        <f t="shared" si="1"/>
        <v>10.833271838915939</v>
      </c>
    </row>
    <row r="112" spans="1:3" x14ac:dyDescent="0.35">
      <c r="A112" s="1">
        <v>39873</v>
      </c>
      <c r="B112">
        <v>50457.181436535298</v>
      </c>
      <c r="C112">
        <f t="shared" si="1"/>
        <v>10.828880363253582</v>
      </c>
    </row>
    <row r="113" spans="1:3" x14ac:dyDescent="0.35">
      <c r="A113" s="1">
        <v>39904</v>
      </c>
      <c r="B113">
        <v>50901.695672696696</v>
      </c>
      <c r="C113">
        <f t="shared" si="1"/>
        <v>10.837651515789158</v>
      </c>
    </row>
    <row r="114" spans="1:3" x14ac:dyDescent="0.35">
      <c r="A114" s="1">
        <v>39934</v>
      </c>
      <c r="B114">
        <v>50869.668664759898</v>
      </c>
      <c r="C114">
        <f t="shared" si="1"/>
        <v>10.837022124423472</v>
      </c>
    </row>
    <row r="115" spans="1:3" x14ac:dyDescent="0.35">
      <c r="A115" s="1">
        <v>39965</v>
      </c>
      <c r="B115">
        <v>50721.888962543402</v>
      </c>
      <c r="C115">
        <f t="shared" si="1"/>
        <v>10.834112831369961</v>
      </c>
    </row>
    <row r="116" spans="1:3" x14ac:dyDescent="0.35">
      <c r="A116" s="1">
        <v>39995</v>
      </c>
      <c r="B116">
        <v>51951.286703274003</v>
      </c>
      <c r="C116">
        <f t="shared" si="1"/>
        <v>10.85806176432987</v>
      </c>
    </row>
    <row r="117" spans="1:3" x14ac:dyDescent="0.35">
      <c r="A117" s="1">
        <v>40026</v>
      </c>
      <c r="B117">
        <v>50714.969547289802</v>
      </c>
      <c r="C117">
        <f t="shared" si="1"/>
        <v>10.833976403342398</v>
      </c>
    </row>
    <row r="118" spans="1:3" x14ac:dyDescent="0.35">
      <c r="A118" s="1">
        <v>40057</v>
      </c>
      <c r="B118">
        <v>51383.702449436103</v>
      </c>
      <c r="C118">
        <f t="shared" si="1"/>
        <v>10.847076328196826</v>
      </c>
    </row>
    <row r="119" spans="1:3" x14ac:dyDescent="0.35">
      <c r="A119" s="1">
        <v>40087</v>
      </c>
      <c r="B119">
        <v>51517.644896698999</v>
      </c>
      <c r="C119">
        <f t="shared" si="1"/>
        <v>10.849679647324599</v>
      </c>
    </row>
    <row r="120" spans="1:3" x14ac:dyDescent="0.35">
      <c r="A120" s="1">
        <v>40118</v>
      </c>
      <c r="B120">
        <v>51446.501613515502</v>
      </c>
      <c r="C120">
        <f t="shared" si="1"/>
        <v>10.848297743100334</v>
      </c>
    </row>
    <row r="121" spans="1:3" x14ac:dyDescent="0.35">
      <c r="A121" s="1">
        <v>40148</v>
      </c>
      <c r="B121">
        <v>52280.865889785498</v>
      </c>
      <c r="C121">
        <f t="shared" si="1"/>
        <v>10.864385730144717</v>
      </c>
    </row>
    <row r="122" spans="1:3" x14ac:dyDescent="0.35">
      <c r="A122" s="1">
        <v>40179</v>
      </c>
      <c r="B122">
        <v>51581.886716439301</v>
      </c>
      <c r="C122">
        <f t="shared" si="1"/>
        <v>10.850925857216133</v>
      </c>
    </row>
    <row r="123" spans="1:3" x14ac:dyDescent="0.35">
      <c r="A123" s="1">
        <v>40210</v>
      </c>
      <c r="B123">
        <v>52399.661297835803</v>
      </c>
      <c r="C123">
        <f t="shared" si="1"/>
        <v>10.866655406506483</v>
      </c>
    </row>
    <row r="124" spans="1:3" x14ac:dyDescent="0.35">
      <c r="A124" s="1">
        <v>40238</v>
      </c>
      <c r="B124">
        <v>52705.358085724904</v>
      </c>
      <c r="C124">
        <f t="shared" si="1"/>
        <v>10.872472400817141</v>
      </c>
    </row>
    <row r="125" spans="1:3" x14ac:dyDescent="0.35">
      <c r="A125" s="1">
        <v>40269</v>
      </c>
      <c r="B125">
        <v>53085.018010207103</v>
      </c>
      <c r="C125">
        <f t="shared" si="1"/>
        <v>10.87965002071873</v>
      </c>
    </row>
    <row r="126" spans="1:3" x14ac:dyDescent="0.35">
      <c r="A126" s="1">
        <v>40299</v>
      </c>
      <c r="B126">
        <v>52981.4981099859</v>
      </c>
      <c r="C126">
        <f t="shared" si="1"/>
        <v>10.877698039322953</v>
      </c>
    </row>
    <row r="127" spans="1:3" x14ac:dyDescent="0.35">
      <c r="A127" s="1">
        <v>40330</v>
      </c>
      <c r="B127">
        <v>53178.360379807003</v>
      </c>
      <c r="C127">
        <f t="shared" si="1"/>
        <v>10.881406832802472</v>
      </c>
    </row>
    <row r="128" spans="1:3" x14ac:dyDescent="0.35">
      <c r="A128" s="1">
        <v>40360</v>
      </c>
      <c r="B128">
        <v>53244.737745188097</v>
      </c>
      <c r="C128">
        <f t="shared" si="1"/>
        <v>10.882654257001878</v>
      </c>
    </row>
    <row r="129" spans="1:3" x14ac:dyDescent="0.35">
      <c r="A129" s="1">
        <v>40391</v>
      </c>
      <c r="B129">
        <v>53244.817571067302</v>
      </c>
      <c r="C129">
        <f t="shared" si="1"/>
        <v>10.882655756226454</v>
      </c>
    </row>
    <row r="130" spans="1:3" x14ac:dyDescent="0.35">
      <c r="A130" s="1">
        <v>40422</v>
      </c>
      <c r="B130">
        <v>53935.043083744597</v>
      </c>
      <c r="C130">
        <f t="shared" si="1"/>
        <v>10.895535695617861</v>
      </c>
    </row>
    <row r="131" spans="1:3" x14ac:dyDescent="0.35">
      <c r="A131" s="1">
        <v>40452</v>
      </c>
      <c r="B131">
        <v>54255.542301070302</v>
      </c>
      <c r="C131">
        <f t="shared" ref="C131:C194" si="2">+LN(B131)</f>
        <v>10.901460428416211</v>
      </c>
    </row>
    <row r="132" spans="1:3" x14ac:dyDescent="0.35">
      <c r="A132" s="1">
        <v>40483</v>
      </c>
      <c r="B132">
        <v>54240.4964312027</v>
      </c>
      <c r="C132">
        <f t="shared" si="2"/>
        <v>10.901183075065068</v>
      </c>
    </row>
    <row r="133" spans="1:3" x14ac:dyDescent="0.35">
      <c r="A133" s="1">
        <v>40513</v>
      </c>
      <c r="B133">
        <v>55298.580267726997</v>
      </c>
      <c r="C133">
        <f t="shared" si="2"/>
        <v>10.92050251390287</v>
      </c>
    </row>
    <row r="134" spans="1:3" x14ac:dyDescent="0.35">
      <c r="A134" s="1">
        <v>40544</v>
      </c>
      <c r="B134">
        <v>55491.7991109328</v>
      </c>
      <c r="C134">
        <f t="shared" si="2"/>
        <v>10.923990525049408</v>
      </c>
    </row>
    <row r="135" spans="1:3" x14ac:dyDescent="0.35">
      <c r="A135" s="1">
        <v>40575</v>
      </c>
      <c r="B135">
        <v>55574.7009410994</v>
      </c>
      <c r="C135">
        <f t="shared" si="2"/>
        <v>10.92548335764112</v>
      </c>
    </row>
    <row r="136" spans="1:3" x14ac:dyDescent="0.35">
      <c r="A136" s="1">
        <v>40603</v>
      </c>
      <c r="B136">
        <v>56156.568047967798</v>
      </c>
      <c r="C136">
        <f t="shared" si="2"/>
        <v>10.935898926575401</v>
      </c>
    </row>
    <row r="137" spans="1:3" x14ac:dyDescent="0.35">
      <c r="A137" s="1">
        <v>40634</v>
      </c>
      <c r="B137">
        <v>56342.550511217902</v>
      </c>
      <c r="C137">
        <f t="shared" si="2"/>
        <v>10.939205310395376</v>
      </c>
    </row>
    <row r="138" spans="1:3" x14ac:dyDescent="0.35">
      <c r="A138" s="1">
        <v>40664</v>
      </c>
      <c r="B138">
        <v>56624.7999406565</v>
      </c>
      <c r="C138">
        <f t="shared" si="2"/>
        <v>10.944202329722255</v>
      </c>
    </row>
    <row r="139" spans="1:3" x14ac:dyDescent="0.35">
      <c r="A139" s="1">
        <v>40695</v>
      </c>
      <c r="B139">
        <v>56842.952748125601</v>
      </c>
      <c r="C139">
        <f t="shared" si="2"/>
        <v>10.948047529280583</v>
      </c>
    </row>
    <row r="140" spans="1:3" x14ac:dyDescent="0.35">
      <c r="A140" s="1">
        <v>40725</v>
      </c>
      <c r="B140">
        <v>57144.133208364801</v>
      </c>
      <c r="C140">
        <f t="shared" si="2"/>
        <v>10.953332007931854</v>
      </c>
    </row>
    <row r="141" spans="1:3" x14ac:dyDescent="0.35">
      <c r="A141" s="1">
        <v>40756</v>
      </c>
      <c r="B141">
        <v>58236.491326896903</v>
      </c>
      <c r="C141">
        <f t="shared" si="2"/>
        <v>10.972267435981875</v>
      </c>
    </row>
    <row r="142" spans="1:3" x14ac:dyDescent="0.35">
      <c r="A142" s="1">
        <v>40787</v>
      </c>
      <c r="B142">
        <v>57874.526564738298</v>
      </c>
      <c r="C142">
        <f t="shared" si="2"/>
        <v>10.966032611048179</v>
      </c>
    </row>
    <row r="143" spans="1:3" x14ac:dyDescent="0.35">
      <c r="A143" s="1">
        <v>40817</v>
      </c>
      <c r="B143">
        <v>57956.5878764562</v>
      </c>
      <c r="C143">
        <f t="shared" si="2"/>
        <v>10.967449524385202</v>
      </c>
    </row>
    <row r="144" spans="1:3" x14ac:dyDescent="0.35">
      <c r="A144" s="1">
        <v>40848</v>
      </c>
      <c r="B144">
        <v>58150.825692293402</v>
      </c>
      <c r="C144">
        <f t="shared" si="2"/>
        <v>10.970795357197565</v>
      </c>
    </row>
    <row r="145" spans="1:3" x14ac:dyDescent="0.35">
      <c r="A145" s="1">
        <v>40878</v>
      </c>
      <c r="B145">
        <v>58232.064031250302</v>
      </c>
      <c r="C145">
        <f t="shared" si="2"/>
        <v>10.972191410386209</v>
      </c>
    </row>
    <row r="146" spans="1:3" x14ac:dyDescent="0.35">
      <c r="A146" s="1">
        <v>40909</v>
      </c>
      <c r="B146">
        <v>58802.531653100203</v>
      </c>
      <c r="C146">
        <f t="shared" si="2"/>
        <v>10.981940188284698</v>
      </c>
    </row>
    <row r="147" spans="1:3" x14ac:dyDescent="0.35">
      <c r="A147" s="1">
        <v>40940</v>
      </c>
      <c r="B147">
        <v>58999.791386710502</v>
      </c>
      <c r="C147">
        <f t="shared" si="2"/>
        <v>10.98528918706314</v>
      </c>
    </row>
    <row r="148" spans="1:3" x14ac:dyDescent="0.35">
      <c r="A148" s="1">
        <v>40969</v>
      </c>
      <c r="B148">
        <v>59465.638060189303</v>
      </c>
      <c r="C148">
        <f t="shared" si="2"/>
        <v>10.993153913116211</v>
      </c>
    </row>
    <row r="149" spans="1:3" x14ac:dyDescent="0.35">
      <c r="A149" s="1">
        <v>41000</v>
      </c>
      <c r="B149">
        <v>58952.914745654001</v>
      </c>
      <c r="C149">
        <f t="shared" si="2"/>
        <v>10.984494349113906</v>
      </c>
    </row>
    <row r="150" spans="1:3" x14ac:dyDescent="0.35">
      <c r="A150" s="1">
        <v>41030</v>
      </c>
      <c r="B150">
        <v>59442.035478580598</v>
      </c>
      <c r="C150">
        <f t="shared" si="2"/>
        <v>10.992756923061386</v>
      </c>
    </row>
    <row r="151" spans="1:3" x14ac:dyDescent="0.35">
      <c r="A151" s="1">
        <v>41061</v>
      </c>
      <c r="B151">
        <v>59480.505375765402</v>
      </c>
      <c r="C151">
        <f t="shared" si="2"/>
        <v>10.993403897104328</v>
      </c>
    </row>
    <row r="152" spans="1:3" x14ac:dyDescent="0.35">
      <c r="A152" s="1">
        <v>41091</v>
      </c>
      <c r="B152">
        <v>59149.414856783398</v>
      </c>
      <c r="C152">
        <f t="shared" si="2"/>
        <v>10.987821976826467</v>
      </c>
    </row>
    <row r="153" spans="1:3" x14ac:dyDescent="0.35">
      <c r="A153" s="1">
        <v>41122</v>
      </c>
      <c r="B153">
        <v>58318.117432254898</v>
      </c>
      <c r="C153">
        <f t="shared" si="2"/>
        <v>10.973668086193335</v>
      </c>
    </row>
    <row r="154" spans="1:3" x14ac:dyDescent="0.35">
      <c r="A154" s="1">
        <v>41153</v>
      </c>
      <c r="B154">
        <v>59552.011810961703</v>
      </c>
      <c r="C154">
        <f t="shared" si="2"/>
        <v>10.994605357772185</v>
      </c>
    </row>
    <row r="155" spans="1:3" x14ac:dyDescent="0.35">
      <c r="A155" s="1">
        <v>41183</v>
      </c>
      <c r="B155">
        <v>59613.667599071399</v>
      </c>
      <c r="C155">
        <f t="shared" si="2"/>
        <v>10.995640148895211</v>
      </c>
    </row>
    <row r="156" spans="1:3" x14ac:dyDescent="0.35">
      <c r="A156" s="1">
        <v>41214</v>
      </c>
      <c r="B156">
        <v>59974.523772618399</v>
      </c>
      <c r="C156">
        <f t="shared" si="2"/>
        <v>11.00167514724483</v>
      </c>
    </row>
    <row r="157" spans="1:3" x14ac:dyDescent="0.35">
      <c r="A157" s="1">
        <v>41244</v>
      </c>
      <c r="B157">
        <v>59663.847828310099</v>
      </c>
      <c r="C157">
        <f t="shared" si="2"/>
        <v>10.996481551937844</v>
      </c>
    </row>
    <row r="158" spans="1:3" x14ac:dyDescent="0.35">
      <c r="A158" s="1">
        <v>41275</v>
      </c>
      <c r="B158">
        <v>60825.677271974098</v>
      </c>
      <c r="C158">
        <f t="shared" si="2"/>
        <v>11.015767302352973</v>
      </c>
    </row>
    <row r="159" spans="1:3" x14ac:dyDescent="0.35">
      <c r="A159" s="1">
        <v>41306</v>
      </c>
      <c r="B159">
        <v>60337.859170435302</v>
      </c>
      <c r="C159">
        <f t="shared" si="2"/>
        <v>11.007715032641071</v>
      </c>
    </row>
    <row r="160" spans="1:3" x14ac:dyDescent="0.35">
      <c r="A160" s="1">
        <v>41334</v>
      </c>
      <c r="B160">
        <v>60308.3333575906</v>
      </c>
      <c r="C160">
        <f t="shared" si="2"/>
        <v>11.007225571468439</v>
      </c>
    </row>
    <row r="161" spans="1:3" x14ac:dyDescent="0.35">
      <c r="A161" s="1">
        <v>41365</v>
      </c>
      <c r="B161">
        <v>62230.126459954299</v>
      </c>
      <c r="C161">
        <f t="shared" si="2"/>
        <v>11.038594509699305</v>
      </c>
    </row>
    <row r="162" spans="1:3" x14ac:dyDescent="0.35">
      <c r="A162" s="1">
        <v>41395</v>
      </c>
      <c r="B162">
        <v>62909.897301663303</v>
      </c>
      <c r="C162">
        <f t="shared" si="2"/>
        <v>11.049458780098321</v>
      </c>
    </row>
    <row r="163" spans="1:3" x14ac:dyDescent="0.35">
      <c r="A163" s="1">
        <v>41426</v>
      </c>
      <c r="B163">
        <v>62436.2889383824</v>
      </c>
      <c r="C163">
        <f t="shared" si="2"/>
        <v>11.041901938820534</v>
      </c>
    </row>
    <row r="164" spans="1:3" x14ac:dyDescent="0.35">
      <c r="A164" s="1">
        <v>41456</v>
      </c>
      <c r="B164">
        <v>63231.235340145802</v>
      </c>
      <c r="C164">
        <f t="shared" si="2"/>
        <v>11.054553688109094</v>
      </c>
    </row>
    <row r="165" spans="1:3" x14ac:dyDescent="0.35">
      <c r="A165" s="1">
        <v>41487</v>
      </c>
      <c r="B165">
        <v>61986.660184187502</v>
      </c>
      <c r="C165">
        <f t="shared" si="2"/>
        <v>11.034674482557801</v>
      </c>
    </row>
    <row r="166" spans="1:3" x14ac:dyDescent="0.35">
      <c r="A166" s="1">
        <v>41518</v>
      </c>
      <c r="B166">
        <v>62868.689075666698</v>
      </c>
      <c r="C166">
        <f t="shared" si="2"/>
        <v>11.048803529810369</v>
      </c>
    </row>
    <row r="167" spans="1:3" x14ac:dyDescent="0.35">
      <c r="A167" s="1">
        <v>41548</v>
      </c>
      <c r="B167">
        <v>63251.455206535204</v>
      </c>
      <c r="C167">
        <f t="shared" si="2"/>
        <v>11.054873413543053</v>
      </c>
    </row>
    <row r="168" spans="1:3" x14ac:dyDescent="0.35">
      <c r="A168" s="1">
        <v>41579</v>
      </c>
      <c r="B168">
        <v>63556.9810094364</v>
      </c>
      <c r="C168">
        <f t="shared" si="2"/>
        <v>11.059692121244355</v>
      </c>
    </row>
    <row r="169" spans="1:3" x14ac:dyDescent="0.35">
      <c r="A169" s="1">
        <v>41609</v>
      </c>
      <c r="B169">
        <v>63995.796684028399</v>
      </c>
      <c r="C169">
        <f t="shared" si="2"/>
        <v>11.066572683372936</v>
      </c>
    </row>
    <row r="170" spans="1:3" x14ac:dyDescent="0.35">
      <c r="A170" s="1">
        <v>41640</v>
      </c>
      <c r="B170">
        <v>64100.482463404798</v>
      </c>
      <c r="C170">
        <f t="shared" si="2"/>
        <v>11.06820716961062</v>
      </c>
    </row>
    <row r="171" spans="1:3" x14ac:dyDescent="0.35">
      <c r="A171" s="1">
        <v>41671</v>
      </c>
      <c r="B171">
        <v>65065.984044733297</v>
      </c>
      <c r="C171">
        <f t="shared" si="2"/>
        <v>11.083157173122208</v>
      </c>
    </row>
    <row r="172" spans="1:3" x14ac:dyDescent="0.35">
      <c r="A172" s="1">
        <v>41699</v>
      </c>
      <c r="B172">
        <v>64386.463291861903</v>
      </c>
      <c r="C172">
        <f t="shared" si="2"/>
        <v>11.072658692666552</v>
      </c>
    </row>
    <row r="173" spans="1:3" x14ac:dyDescent="0.35">
      <c r="A173" s="1">
        <v>41730</v>
      </c>
      <c r="B173">
        <v>64811.932432324698</v>
      </c>
      <c r="C173">
        <f t="shared" si="2"/>
        <v>11.079245007862369</v>
      </c>
    </row>
    <row r="174" spans="1:3" x14ac:dyDescent="0.35">
      <c r="A174" s="1">
        <v>41760</v>
      </c>
      <c r="B174">
        <v>64761.314122969103</v>
      </c>
      <c r="C174">
        <f t="shared" si="2"/>
        <v>11.078463699787187</v>
      </c>
    </row>
    <row r="175" spans="1:3" x14ac:dyDescent="0.35">
      <c r="A175" s="1">
        <v>41791</v>
      </c>
      <c r="B175">
        <v>64462.447844706199</v>
      </c>
      <c r="C175">
        <f t="shared" si="2"/>
        <v>11.073838129279286</v>
      </c>
    </row>
    <row r="176" spans="1:3" x14ac:dyDescent="0.35">
      <c r="A176" s="1">
        <v>41821</v>
      </c>
      <c r="B176">
        <v>65237.306521367304</v>
      </c>
      <c r="C176">
        <f t="shared" si="2"/>
        <v>11.085786770189344</v>
      </c>
    </row>
    <row r="177" spans="1:3" x14ac:dyDescent="0.35">
      <c r="A177" s="1">
        <v>41852</v>
      </c>
      <c r="B177">
        <v>64795.220642016597</v>
      </c>
      <c r="C177">
        <f t="shared" si="2"/>
        <v>11.078987124095859</v>
      </c>
    </row>
    <row r="178" spans="1:3" x14ac:dyDescent="0.35">
      <c r="A178" s="1">
        <v>41883</v>
      </c>
      <c r="B178">
        <v>65965.250736616101</v>
      </c>
      <c r="C178">
        <f t="shared" si="2"/>
        <v>11.096883378366002</v>
      </c>
    </row>
    <row r="179" spans="1:3" x14ac:dyDescent="0.35">
      <c r="A179" s="1">
        <v>41913</v>
      </c>
      <c r="B179">
        <v>66236.117741520095</v>
      </c>
      <c r="C179">
        <f t="shared" si="2"/>
        <v>11.100981178366933</v>
      </c>
    </row>
    <row r="180" spans="1:3" x14ac:dyDescent="0.35">
      <c r="A180" s="1">
        <v>41944</v>
      </c>
      <c r="B180">
        <v>65443.472906180599</v>
      </c>
      <c r="C180">
        <f t="shared" si="2"/>
        <v>11.088942039950684</v>
      </c>
    </row>
    <row r="181" spans="1:3" x14ac:dyDescent="0.35">
      <c r="A181" s="1">
        <v>41974</v>
      </c>
      <c r="B181">
        <v>66323.007152299193</v>
      </c>
      <c r="C181">
        <f t="shared" si="2"/>
        <v>11.102292131849655</v>
      </c>
    </row>
    <row r="182" spans="1:3" x14ac:dyDescent="0.35">
      <c r="A182" s="1">
        <v>42005</v>
      </c>
      <c r="B182">
        <v>66256.796679379797</v>
      </c>
      <c r="C182">
        <f t="shared" si="2"/>
        <v>11.101293329973197</v>
      </c>
    </row>
    <row r="183" spans="1:3" x14ac:dyDescent="0.35">
      <c r="A183" s="1">
        <v>42036</v>
      </c>
      <c r="B183">
        <v>66620.387461215505</v>
      </c>
      <c r="C183">
        <f t="shared" si="2"/>
        <v>11.106765927720183</v>
      </c>
    </row>
    <row r="184" spans="1:3" x14ac:dyDescent="0.35">
      <c r="A184" s="1">
        <v>42064</v>
      </c>
      <c r="B184">
        <v>66297.595959404702</v>
      </c>
      <c r="C184">
        <f t="shared" si="2"/>
        <v>11.101908915477399</v>
      </c>
    </row>
    <row r="185" spans="1:3" x14ac:dyDescent="0.35">
      <c r="A185" s="1">
        <v>42095</v>
      </c>
      <c r="B185">
        <v>67026.029913674094</v>
      </c>
      <c r="C185">
        <f t="shared" si="2"/>
        <v>11.112836329098361</v>
      </c>
    </row>
    <row r="186" spans="1:3" x14ac:dyDescent="0.35">
      <c r="A186" s="1">
        <v>42125</v>
      </c>
      <c r="B186">
        <v>66918.403944482896</v>
      </c>
      <c r="C186">
        <f t="shared" si="2"/>
        <v>11.111229304614351</v>
      </c>
    </row>
    <row r="187" spans="1:3" x14ac:dyDescent="0.35">
      <c r="A187" s="1">
        <v>42156</v>
      </c>
      <c r="B187">
        <v>66770.616941843007</v>
      </c>
      <c r="C187">
        <f t="shared" si="2"/>
        <v>11.109018396615173</v>
      </c>
    </row>
    <row r="188" spans="1:3" x14ac:dyDescent="0.35">
      <c r="A188" s="1">
        <v>42186</v>
      </c>
      <c r="B188">
        <v>67974.864697726007</v>
      </c>
      <c r="C188">
        <f t="shared" si="2"/>
        <v>11.126893279027577</v>
      </c>
    </row>
    <row r="189" spans="1:3" x14ac:dyDescent="0.35">
      <c r="A189" s="1">
        <v>42217</v>
      </c>
      <c r="B189">
        <v>66994.356400277204</v>
      </c>
      <c r="C189">
        <f t="shared" si="2"/>
        <v>11.112363661993635</v>
      </c>
    </row>
    <row r="190" spans="1:3" x14ac:dyDescent="0.35">
      <c r="A190" s="1">
        <v>42248</v>
      </c>
      <c r="B190">
        <v>67749.893201996805</v>
      </c>
      <c r="C190">
        <f t="shared" si="2"/>
        <v>11.123578162386414</v>
      </c>
    </row>
    <row r="191" spans="1:3" x14ac:dyDescent="0.35">
      <c r="A191" s="1">
        <v>42278</v>
      </c>
      <c r="B191">
        <v>67757.694035263397</v>
      </c>
      <c r="C191">
        <f t="shared" si="2"/>
        <v>11.123693297390059</v>
      </c>
    </row>
    <row r="192" spans="1:3" x14ac:dyDescent="0.35">
      <c r="A192" s="1">
        <v>42309</v>
      </c>
      <c r="B192">
        <v>66945.623521403002</v>
      </c>
      <c r="C192">
        <f t="shared" si="2"/>
        <v>11.11163597962347</v>
      </c>
    </row>
    <row r="193" spans="1:3" x14ac:dyDescent="0.35">
      <c r="A193" s="1">
        <v>42339</v>
      </c>
      <c r="B193">
        <v>67379.737243333599</v>
      </c>
      <c r="C193">
        <f t="shared" si="2"/>
        <v>11.118099617328921</v>
      </c>
    </row>
    <row r="194" spans="1:3" x14ac:dyDescent="0.35">
      <c r="A194" s="1">
        <v>42370</v>
      </c>
      <c r="B194">
        <v>67454.453474063295</v>
      </c>
      <c r="C194">
        <f t="shared" si="2"/>
        <v>11.119207885758163</v>
      </c>
    </row>
    <row r="195" spans="1:3" x14ac:dyDescent="0.35">
      <c r="A195" s="1">
        <v>42401</v>
      </c>
      <c r="B195">
        <v>68611.790548857301</v>
      </c>
      <c r="C195">
        <f t="shared" ref="C195:C258" si="3">+LN(B195)</f>
        <v>11.1362196728354</v>
      </c>
    </row>
    <row r="196" spans="1:3" x14ac:dyDescent="0.35">
      <c r="A196" s="1">
        <v>42430</v>
      </c>
      <c r="B196">
        <v>68094.977777079403</v>
      </c>
      <c r="C196">
        <f t="shared" si="3"/>
        <v>11.128658741651281</v>
      </c>
    </row>
    <row r="197" spans="1:3" x14ac:dyDescent="0.35">
      <c r="A197" s="1">
        <v>42461</v>
      </c>
      <c r="B197">
        <v>68100.021251354396</v>
      </c>
      <c r="C197">
        <f t="shared" si="3"/>
        <v>11.12873280419856</v>
      </c>
    </row>
    <row r="198" spans="1:3" x14ac:dyDescent="0.35">
      <c r="A198" s="1">
        <v>42491</v>
      </c>
      <c r="B198">
        <v>68431.582835851194</v>
      </c>
      <c r="C198">
        <f t="shared" si="3"/>
        <v>11.133589734408993</v>
      </c>
    </row>
    <row r="199" spans="1:3" x14ac:dyDescent="0.35">
      <c r="A199" s="1">
        <v>42522</v>
      </c>
      <c r="B199">
        <v>68442.8975127944</v>
      </c>
      <c r="C199">
        <f t="shared" si="3"/>
        <v>11.133755063649916</v>
      </c>
    </row>
    <row r="200" spans="1:3" x14ac:dyDescent="0.35">
      <c r="A200" s="1">
        <v>42552</v>
      </c>
      <c r="B200">
        <v>66872.923128557901</v>
      </c>
      <c r="C200">
        <f t="shared" si="3"/>
        <v>11.110549427694496</v>
      </c>
    </row>
    <row r="201" spans="1:3" x14ac:dyDescent="0.35">
      <c r="A201" s="1">
        <v>42583</v>
      </c>
      <c r="B201">
        <v>69228.897725973802</v>
      </c>
      <c r="C201">
        <f t="shared" si="3"/>
        <v>11.145173651632472</v>
      </c>
    </row>
    <row r="202" spans="1:3" x14ac:dyDescent="0.35">
      <c r="A202" s="1">
        <v>42614</v>
      </c>
      <c r="B202">
        <v>69417.397845468397</v>
      </c>
      <c r="C202">
        <f t="shared" si="3"/>
        <v>11.147892804493527</v>
      </c>
    </row>
    <row r="203" spans="1:3" x14ac:dyDescent="0.35">
      <c r="A203" s="1">
        <v>42644</v>
      </c>
      <c r="B203">
        <v>68509.049879016893</v>
      </c>
      <c r="C203">
        <f t="shared" si="3"/>
        <v>11.134721130546041</v>
      </c>
    </row>
    <row r="204" spans="1:3" x14ac:dyDescent="0.35">
      <c r="A204" s="1">
        <v>42675</v>
      </c>
      <c r="B204">
        <v>68897.020656443899</v>
      </c>
      <c r="C204">
        <f t="shared" si="3"/>
        <v>11.140368214505759</v>
      </c>
    </row>
    <row r="205" spans="1:3" x14ac:dyDescent="0.35">
      <c r="A205" s="1">
        <v>42705</v>
      </c>
      <c r="B205">
        <v>69427.987364539207</v>
      </c>
      <c r="C205">
        <f t="shared" si="3"/>
        <v>11.148045341347023</v>
      </c>
    </row>
    <row r="206" spans="1:3" x14ac:dyDescent="0.35">
      <c r="A206" s="1">
        <v>42736</v>
      </c>
      <c r="B206">
        <v>68602.965949132704</v>
      </c>
      <c r="C206">
        <f t="shared" si="3"/>
        <v>11.136091048189451</v>
      </c>
    </row>
    <row r="207" spans="1:3" x14ac:dyDescent="0.35">
      <c r="A207" s="1">
        <v>42767</v>
      </c>
      <c r="B207">
        <v>69275.931719922795</v>
      </c>
      <c r="C207">
        <f t="shared" si="3"/>
        <v>11.145852819224608</v>
      </c>
    </row>
    <row r="208" spans="1:3" x14ac:dyDescent="0.35">
      <c r="A208" s="1">
        <v>42795</v>
      </c>
      <c r="B208">
        <v>68687.779830944593</v>
      </c>
      <c r="C208">
        <f t="shared" si="3"/>
        <v>11.137326585109575</v>
      </c>
    </row>
    <row r="209" spans="1:3" x14ac:dyDescent="0.35">
      <c r="A209" s="1">
        <v>42826</v>
      </c>
      <c r="B209">
        <v>68623.1731707367</v>
      </c>
      <c r="C209">
        <f t="shared" si="3"/>
        <v>11.136385557994648</v>
      </c>
    </row>
    <row r="210" spans="1:3" x14ac:dyDescent="0.35">
      <c r="A210" s="1">
        <v>42856</v>
      </c>
      <c r="B210">
        <v>68992.897531972107</v>
      </c>
      <c r="C210">
        <f t="shared" si="3"/>
        <v>11.141758843962052</v>
      </c>
    </row>
    <row r="211" spans="1:3" x14ac:dyDescent="0.35">
      <c r="A211" s="1">
        <v>42887</v>
      </c>
      <c r="B211">
        <v>69913.987497291193</v>
      </c>
      <c r="C211">
        <f t="shared" si="3"/>
        <v>11.1550210154605</v>
      </c>
    </row>
    <row r="212" spans="1:3" x14ac:dyDescent="0.35">
      <c r="A212" s="1">
        <v>42917</v>
      </c>
      <c r="B212">
        <v>69049.760563878299</v>
      </c>
      <c r="C212">
        <f t="shared" si="3"/>
        <v>11.142582691255441</v>
      </c>
    </row>
    <row r="213" spans="1:3" x14ac:dyDescent="0.35">
      <c r="A213" s="1">
        <v>42948</v>
      </c>
      <c r="B213">
        <v>69843.784211079401</v>
      </c>
      <c r="C213">
        <f t="shared" si="3"/>
        <v>11.15401637305302</v>
      </c>
    </row>
    <row r="214" spans="1:3" x14ac:dyDescent="0.35">
      <c r="A214" s="1">
        <v>42979</v>
      </c>
      <c r="B214">
        <v>69902.000825042298</v>
      </c>
      <c r="C214">
        <f t="shared" si="3"/>
        <v>11.15484955191871</v>
      </c>
    </row>
    <row r="215" spans="1:3" x14ac:dyDescent="0.35">
      <c r="A215" s="1">
        <v>43009</v>
      </c>
      <c r="B215">
        <v>69486.687705905904</v>
      </c>
      <c r="C215">
        <f t="shared" si="3"/>
        <v>11.148890469406112</v>
      </c>
    </row>
    <row r="216" spans="1:3" x14ac:dyDescent="0.35">
      <c r="A216" s="1">
        <v>43040</v>
      </c>
      <c r="B216">
        <v>69715.579347138599</v>
      </c>
      <c r="C216">
        <f t="shared" si="3"/>
        <v>11.152179091816762</v>
      </c>
    </row>
    <row r="217" spans="1:3" x14ac:dyDescent="0.35">
      <c r="A217" s="1">
        <v>43070</v>
      </c>
      <c r="B217">
        <v>70561.451646955495</v>
      </c>
      <c r="C217">
        <f t="shared" si="3"/>
        <v>11.164239263696874</v>
      </c>
    </row>
    <row r="218" spans="1:3" x14ac:dyDescent="0.35">
      <c r="A218" s="1">
        <v>43101</v>
      </c>
      <c r="B218">
        <v>69450.735560745597</v>
      </c>
      <c r="C218">
        <f t="shared" si="3"/>
        <v>11.148372939353841</v>
      </c>
    </row>
    <row r="219" spans="1:3" x14ac:dyDescent="0.35">
      <c r="A219" s="1">
        <v>43132</v>
      </c>
      <c r="B219">
        <v>70056.912272884903</v>
      </c>
      <c r="C219">
        <f t="shared" si="3"/>
        <v>11.157063223169416</v>
      </c>
    </row>
    <row r="220" spans="1:3" x14ac:dyDescent="0.35">
      <c r="A220" s="1">
        <v>43160</v>
      </c>
      <c r="B220">
        <v>70730.311666369496</v>
      </c>
      <c r="C220">
        <f t="shared" si="3"/>
        <v>11.166629496444328</v>
      </c>
    </row>
    <row r="221" spans="1:3" x14ac:dyDescent="0.35">
      <c r="A221" s="1">
        <v>43191</v>
      </c>
      <c r="B221">
        <v>70562.725845082998</v>
      </c>
      <c r="C221">
        <f t="shared" si="3"/>
        <v>11.164257321525804</v>
      </c>
    </row>
    <row r="222" spans="1:3" x14ac:dyDescent="0.35">
      <c r="A222" s="1">
        <v>43221</v>
      </c>
      <c r="B222">
        <v>71087.819818933203</v>
      </c>
      <c r="C222">
        <f t="shared" si="3"/>
        <v>11.171671290552474</v>
      </c>
    </row>
    <row r="223" spans="1:3" x14ac:dyDescent="0.35">
      <c r="A223" s="1">
        <v>43252</v>
      </c>
      <c r="B223">
        <v>71486.129235983797</v>
      </c>
      <c r="C223">
        <f t="shared" si="3"/>
        <v>11.177258713162779</v>
      </c>
    </row>
    <row r="224" spans="1:3" x14ac:dyDescent="0.35">
      <c r="A224" s="1">
        <v>43282</v>
      </c>
      <c r="B224">
        <v>71056.956571657007</v>
      </c>
      <c r="C224">
        <f t="shared" si="3"/>
        <v>11.171237039663417</v>
      </c>
    </row>
    <row r="225" spans="1:3" x14ac:dyDescent="0.35">
      <c r="A225" s="1">
        <v>43313</v>
      </c>
      <c r="B225">
        <v>71964.624928688398</v>
      </c>
      <c r="C225">
        <f t="shared" si="3"/>
        <v>11.183929956825875</v>
      </c>
    </row>
    <row r="226" spans="1:3" x14ac:dyDescent="0.35">
      <c r="A226" s="1">
        <v>43344</v>
      </c>
      <c r="B226">
        <v>71658.135399654595</v>
      </c>
      <c r="C226">
        <f t="shared" si="3"/>
        <v>11.179661970420703</v>
      </c>
    </row>
    <row r="227" spans="1:3" x14ac:dyDescent="0.35">
      <c r="A227" s="1">
        <v>43374</v>
      </c>
      <c r="B227">
        <v>71852.410780831196</v>
      </c>
      <c r="C227">
        <f t="shared" si="3"/>
        <v>11.182369443913402</v>
      </c>
    </row>
    <row r="228" spans="1:3" x14ac:dyDescent="0.35">
      <c r="A228" s="1">
        <v>43405</v>
      </c>
      <c r="B228">
        <v>72132.393052755506</v>
      </c>
      <c r="C228">
        <f t="shared" si="3"/>
        <v>11.186258501888393</v>
      </c>
    </row>
    <row r="229" spans="1:3" x14ac:dyDescent="0.35">
      <c r="A229" s="1">
        <v>43435</v>
      </c>
      <c r="B229">
        <v>71968.844866413303</v>
      </c>
      <c r="C229">
        <f t="shared" si="3"/>
        <v>11.183988594163418</v>
      </c>
    </row>
    <row r="230" spans="1:3" x14ac:dyDescent="0.35">
      <c r="A230" s="1">
        <v>43466</v>
      </c>
      <c r="B230">
        <v>72457.154640025401</v>
      </c>
      <c r="C230">
        <f t="shared" si="3"/>
        <v>11.190750695668473</v>
      </c>
    </row>
    <row r="231" spans="1:3" x14ac:dyDescent="0.35">
      <c r="A231" s="1">
        <v>43497</v>
      </c>
      <c r="B231">
        <v>73097.515919314203</v>
      </c>
      <c r="C231">
        <f t="shared" si="3"/>
        <v>11.199549663208543</v>
      </c>
    </row>
    <row r="232" spans="1:3" x14ac:dyDescent="0.35">
      <c r="A232" s="1">
        <v>43525</v>
      </c>
      <c r="B232">
        <v>72114.625140660399</v>
      </c>
      <c r="C232">
        <f t="shared" si="3"/>
        <v>11.186012147926869</v>
      </c>
    </row>
    <row r="233" spans="1:3" x14ac:dyDescent="0.35">
      <c r="A233" s="1">
        <v>43556</v>
      </c>
      <c r="B233">
        <v>73012.161634449396</v>
      </c>
      <c r="C233">
        <f t="shared" si="3"/>
        <v>11.198381303986851</v>
      </c>
    </row>
    <row r="234" spans="1:3" x14ac:dyDescent="0.35">
      <c r="A234" s="1">
        <v>43586</v>
      </c>
      <c r="B234">
        <v>73698.5562404058</v>
      </c>
      <c r="C234">
        <f t="shared" si="3"/>
        <v>11.20773848830313</v>
      </c>
    </row>
    <row r="235" spans="1:3" x14ac:dyDescent="0.35">
      <c r="A235" s="1">
        <v>43617</v>
      </c>
      <c r="B235">
        <v>72868.016025144796</v>
      </c>
      <c r="C235">
        <f t="shared" si="3"/>
        <v>11.196405084070891</v>
      </c>
    </row>
    <row r="236" spans="1:3" x14ac:dyDescent="0.35">
      <c r="A236" s="1">
        <v>43647</v>
      </c>
      <c r="B236">
        <v>73967.631067930997</v>
      </c>
      <c r="C236">
        <f t="shared" si="3"/>
        <v>11.211382858490214</v>
      </c>
    </row>
    <row r="237" spans="1:3" x14ac:dyDescent="0.35">
      <c r="A237" s="1">
        <v>43678</v>
      </c>
      <c r="B237">
        <v>73956.648053286495</v>
      </c>
      <c r="C237">
        <f t="shared" si="3"/>
        <v>11.211234363398942</v>
      </c>
    </row>
    <row r="238" spans="1:3" x14ac:dyDescent="0.35">
      <c r="A238" s="1">
        <v>43709</v>
      </c>
      <c r="B238">
        <v>73388.134778782507</v>
      </c>
      <c r="C238">
        <f t="shared" si="3"/>
        <v>11.203517550020369</v>
      </c>
    </row>
    <row r="239" spans="1:3" x14ac:dyDescent="0.35">
      <c r="A239" s="1">
        <v>43739</v>
      </c>
      <c r="B239">
        <v>74253.130361129297</v>
      </c>
      <c r="C239">
        <f t="shared" si="3"/>
        <v>11.215235215522098</v>
      </c>
    </row>
    <row r="240" spans="1:3" x14ac:dyDescent="0.35">
      <c r="A240" s="1">
        <v>43770</v>
      </c>
      <c r="B240">
        <v>74039.349742886203</v>
      </c>
      <c r="C240">
        <f t="shared" si="3"/>
        <v>11.212351984137875</v>
      </c>
    </row>
    <row r="241" spans="1:3" x14ac:dyDescent="0.35">
      <c r="A241" s="1">
        <v>43800</v>
      </c>
      <c r="B241">
        <v>74371.076395984404</v>
      </c>
      <c r="C241">
        <f t="shared" si="3"/>
        <v>11.216822387116666</v>
      </c>
    </row>
    <row r="242" spans="1:3" x14ac:dyDescent="0.35">
      <c r="A242" s="1">
        <v>43831</v>
      </c>
      <c r="B242">
        <v>75238.977694358895</v>
      </c>
      <c r="C242">
        <f t="shared" si="3"/>
        <v>11.228424696060019</v>
      </c>
    </row>
    <row r="243" spans="1:3" x14ac:dyDescent="0.35">
      <c r="A243" s="1">
        <v>43862</v>
      </c>
      <c r="B243">
        <v>75402.3893576884</v>
      </c>
      <c r="C243">
        <f t="shared" si="3"/>
        <v>11.230594242587969</v>
      </c>
    </row>
    <row r="244" spans="1:3" x14ac:dyDescent="0.35">
      <c r="A244" s="1">
        <v>43891</v>
      </c>
      <c r="B244">
        <v>67753.641347952696</v>
      </c>
      <c r="C244">
        <f t="shared" si="3"/>
        <v>11.123633484130888</v>
      </c>
    </row>
    <row r="245" spans="1:3" x14ac:dyDescent="0.35">
      <c r="A245" s="1">
        <v>43922</v>
      </c>
      <c r="B245">
        <v>58115.857140606997</v>
      </c>
      <c r="C245">
        <f t="shared" si="3"/>
        <v>10.970193834011578</v>
      </c>
    </row>
    <row r="246" spans="1:3" x14ac:dyDescent="0.35">
      <c r="A246" s="1">
        <v>43952</v>
      </c>
      <c r="B246">
        <v>60818.977695499598</v>
      </c>
      <c r="C246">
        <f t="shared" si="3"/>
        <v>11.015657152400506</v>
      </c>
    </row>
    <row r="247" spans="1:3" x14ac:dyDescent="0.35">
      <c r="A247" s="1">
        <v>43983</v>
      </c>
      <c r="B247">
        <v>63894.799963893398</v>
      </c>
      <c r="C247">
        <f t="shared" si="3"/>
        <v>11.064993259337433</v>
      </c>
    </row>
    <row r="248" spans="1:3" x14ac:dyDescent="0.35">
      <c r="A248" s="1">
        <v>44013</v>
      </c>
      <c r="B248">
        <v>66057.286805412805</v>
      </c>
      <c r="C248">
        <f t="shared" si="3"/>
        <v>11.098277626430303</v>
      </c>
    </row>
    <row r="249" spans="1:3" x14ac:dyDescent="0.35">
      <c r="A249" s="1">
        <v>44044</v>
      </c>
      <c r="B249">
        <v>66326.927866888698</v>
      </c>
      <c r="C249">
        <f t="shared" si="3"/>
        <v>11.102351245555063</v>
      </c>
    </row>
    <row r="250" spans="1:3" x14ac:dyDescent="0.35">
      <c r="A250" s="1">
        <v>44075</v>
      </c>
      <c r="B250">
        <v>68872.2759276984</v>
      </c>
      <c r="C250">
        <f t="shared" si="3"/>
        <v>11.14000899471405</v>
      </c>
    </row>
    <row r="251" spans="1:3" x14ac:dyDescent="0.35">
      <c r="A251" s="1">
        <v>44105</v>
      </c>
      <c r="B251">
        <v>70935.779953856298</v>
      </c>
      <c r="C251">
        <f t="shared" si="3"/>
        <v>11.169530239017368</v>
      </c>
    </row>
    <row r="252" spans="1:3" x14ac:dyDescent="0.35">
      <c r="A252" s="1">
        <v>44136</v>
      </c>
      <c r="B252">
        <v>71569.520709566204</v>
      </c>
      <c r="C252">
        <f t="shared" si="3"/>
        <v>11.178424573903824</v>
      </c>
    </row>
    <row r="253" spans="1:3" x14ac:dyDescent="0.35">
      <c r="A253" s="1">
        <v>44166</v>
      </c>
      <c r="B253">
        <v>72913.565536577502</v>
      </c>
      <c r="C253">
        <f t="shared" si="3"/>
        <v>11.197029984863255</v>
      </c>
    </row>
    <row r="254" spans="1:3" x14ac:dyDescent="0.35">
      <c r="A254" s="1">
        <v>44197</v>
      </c>
      <c r="B254">
        <v>72504.810603288293</v>
      </c>
      <c r="C254">
        <f t="shared" si="3"/>
        <v>11.191408191790297</v>
      </c>
    </row>
    <row r="255" spans="1:3" x14ac:dyDescent="0.35">
      <c r="A255" s="1">
        <v>44228</v>
      </c>
      <c r="B255">
        <v>73967.284047002104</v>
      </c>
      <c r="C255">
        <f t="shared" si="3"/>
        <v>11.21137816695504</v>
      </c>
    </row>
    <row r="256" spans="1:3" x14ac:dyDescent="0.35">
      <c r="A256" s="1">
        <v>44256</v>
      </c>
      <c r="B256">
        <v>75331.788449709595</v>
      </c>
      <c r="C256">
        <f t="shared" si="3"/>
        <v>11.229657482071296</v>
      </c>
    </row>
    <row r="257" spans="1:3" x14ac:dyDescent="0.35">
      <c r="A257" s="1">
        <v>44287</v>
      </c>
      <c r="B257">
        <v>73202.522149997007</v>
      </c>
      <c r="C257">
        <f t="shared" si="3"/>
        <v>11.200985154956875</v>
      </c>
    </row>
    <row r="258" spans="1:3" x14ac:dyDescent="0.35">
      <c r="A258" s="1">
        <v>44317</v>
      </c>
      <c r="B258">
        <v>69146.716322986904</v>
      </c>
      <c r="C258">
        <f t="shared" si="3"/>
        <v>11.143985849674532</v>
      </c>
    </row>
    <row r="259" spans="1:3" x14ac:dyDescent="0.35">
      <c r="A259" s="1">
        <v>44348</v>
      </c>
      <c r="B259">
        <v>74390.804227016095</v>
      </c>
      <c r="C259">
        <f t="shared" ref="C259:C313" si="4">+LN(B259)</f>
        <v>11.217087614082939</v>
      </c>
    </row>
    <row r="260" spans="1:3" x14ac:dyDescent="0.35">
      <c r="A260" s="1">
        <v>44378</v>
      </c>
      <c r="B260">
        <v>75173.437899301105</v>
      </c>
      <c r="C260">
        <f t="shared" si="4"/>
        <v>11.227553228117069</v>
      </c>
    </row>
    <row r="261" spans="1:3" x14ac:dyDescent="0.35">
      <c r="A261" s="1">
        <v>44409</v>
      </c>
      <c r="B261">
        <v>74521.657637179494</v>
      </c>
      <c r="C261">
        <f t="shared" si="4"/>
        <v>11.218845068660015</v>
      </c>
    </row>
    <row r="262" spans="1:3" x14ac:dyDescent="0.35">
      <c r="A262" s="1">
        <v>44440</v>
      </c>
      <c r="B262">
        <v>78718.091463519406</v>
      </c>
      <c r="C262">
        <f t="shared" si="4"/>
        <v>11.273628286812304</v>
      </c>
    </row>
    <row r="263" spans="1:3" x14ac:dyDescent="0.35">
      <c r="A263" s="1">
        <v>44470</v>
      </c>
      <c r="B263">
        <v>78575.945755636407</v>
      </c>
      <c r="C263">
        <f t="shared" si="4"/>
        <v>11.271820897936143</v>
      </c>
    </row>
    <row r="264" spans="1:3" x14ac:dyDescent="0.35">
      <c r="A264" s="1">
        <v>44501</v>
      </c>
      <c r="B264">
        <v>79733.203435406598</v>
      </c>
      <c r="C264">
        <f t="shared" si="4"/>
        <v>11.286441383234578</v>
      </c>
    </row>
    <row r="265" spans="1:3" x14ac:dyDescent="0.35">
      <c r="A265" s="1">
        <v>44531</v>
      </c>
      <c r="B265">
        <v>80976.738008957007</v>
      </c>
      <c r="C265">
        <f t="shared" si="4"/>
        <v>11.301917207334441</v>
      </c>
    </row>
    <row r="266" spans="1:3" x14ac:dyDescent="0.35">
      <c r="A266" s="1">
        <v>44562</v>
      </c>
      <c r="B266">
        <v>78750.175412390396</v>
      </c>
      <c r="C266">
        <f t="shared" si="4"/>
        <v>11.274035784144324</v>
      </c>
    </row>
    <row r="267" spans="1:3" x14ac:dyDescent="0.35">
      <c r="A267" s="1">
        <v>44593</v>
      </c>
      <c r="B267">
        <v>79716.293750311801</v>
      </c>
      <c r="C267">
        <f t="shared" si="4"/>
        <v>11.286229282406959</v>
      </c>
    </row>
    <row r="268" spans="1:3" x14ac:dyDescent="0.35">
      <c r="A268" s="1">
        <v>44621</v>
      </c>
      <c r="B268">
        <v>81083.629137297903</v>
      </c>
      <c r="C268">
        <f t="shared" si="4"/>
        <v>11.303236359521046</v>
      </c>
    </row>
    <row r="269" spans="1:3" x14ac:dyDescent="0.35">
      <c r="A269" s="1">
        <v>44652</v>
      </c>
      <c r="B269">
        <v>81181.097738781697</v>
      </c>
      <c r="C269">
        <f t="shared" si="4"/>
        <v>11.304437712582589</v>
      </c>
    </row>
    <row r="270" spans="1:3" x14ac:dyDescent="0.35">
      <c r="A270" s="1">
        <v>44682</v>
      </c>
      <c r="B270">
        <v>81278.423160451406</v>
      </c>
      <c r="C270">
        <f t="shared" si="4"/>
        <v>11.305635862531252</v>
      </c>
    </row>
    <row r="271" spans="1:3" x14ac:dyDescent="0.35">
      <c r="A271" s="1">
        <v>44713</v>
      </c>
      <c r="B271">
        <v>80976.680100766898</v>
      </c>
      <c r="C271">
        <f t="shared" si="4"/>
        <v>11.301916492212886</v>
      </c>
    </row>
    <row r="272" spans="1:3" x14ac:dyDescent="0.35">
      <c r="A272" s="1">
        <v>44743</v>
      </c>
      <c r="B272">
        <v>80412.685464654205</v>
      </c>
      <c r="C272">
        <f t="shared" si="4"/>
        <v>11.294927222132317</v>
      </c>
    </row>
    <row r="273" spans="1:3" x14ac:dyDescent="0.35">
      <c r="A273" s="1">
        <v>44774</v>
      </c>
      <c r="B273">
        <v>81829.280007413399</v>
      </c>
      <c r="C273">
        <f t="shared" si="4"/>
        <v>11.312390404844242</v>
      </c>
    </row>
    <row r="274" spans="1:3" x14ac:dyDescent="0.35">
      <c r="A274" s="1">
        <v>44805</v>
      </c>
      <c r="B274">
        <v>82940.7972279323</v>
      </c>
      <c r="C274">
        <f t="shared" si="4"/>
        <v>11.325882345858496</v>
      </c>
    </row>
    <row r="275" spans="1:3" x14ac:dyDescent="0.35">
      <c r="A275" s="1">
        <v>44835</v>
      </c>
      <c r="B275">
        <v>82424.174488392106</v>
      </c>
      <c r="C275">
        <f t="shared" si="4"/>
        <v>11.319634052583647</v>
      </c>
    </row>
    <row r="276" spans="1:3" x14ac:dyDescent="0.35">
      <c r="A276" s="1">
        <v>44866</v>
      </c>
      <c r="B276">
        <v>80399.628825565596</v>
      </c>
      <c r="C276">
        <f t="shared" si="4"/>
        <v>11.294764838558958</v>
      </c>
    </row>
    <row r="277" spans="1:3" x14ac:dyDescent="0.35">
      <c r="A277" s="1">
        <v>44896</v>
      </c>
      <c r="B277">
        <v>81662.134786042196</v>
      </c>
      <c r="C277">
        <f t="shared" si="4"/>
        <v>11.310345706903183</v>
      </c>
    </row>
    <row r="278" spans="1:3" x14ac:dyDescent="0.35">
      <c r="A278" s="1">
        <v>44927</v>
      </c>
      <c r="B278">
        <v>82109.243825463505</v>
      </c>
      <c r="C278">
        <f t="shared" si="4"/>
        <v>11.315805881373661</v>
      </c>
    </row>
    <row r="279" spans="1:3" x14ac:dyDescent="0.35">
      <c r="A279" s="1">
        <v>44958</v>
      </c>
      <c r="B279">
        <v>81844.691011427698</v>
      </c>
      <c r="C279">
        <f t="shared" si="4"/>
        <v>11.31257871828179</v>
      </c>
    </row>
    <row r="280" spans="1:3" x14ac:dyDescent="0.35">
      <c r="A280" s="1">
        <v>44986</v>
      </c>
      <c r="B280">
        <v>82063.791863108694</v>
      </c>
      <c r="C280">
        <f t="shared" si="4"/>
        <v>11.315252173350594</v>
      </c>
    </row>
    <row r="281" spans="1:3" x14ac:dyDescent="0.35">
      <c r="A281" s="1">
        <v>45017</v>
      </c>
      <c r="B281">
        <v>80275.309619089297</v>
      </c>
      <c r="C281">
        <f t="shared" si="4"/>
        <v>11.293217375930523</v>
      </c>
    </row>
    <row r="282" spans="1:3" x14ac:dyDescent="0.35">
      <c r="A282" s="1">
        <v>45047</v>
      </c>
      <c r="B282">
        <v>81261.223320010395</v>
      </c>
      <c r="C282">
        <f t="shared" si="4"/>
        <v>11.305424223821834</v>
      </c>
    </row>
    <row r="283" spans="1:3" x14ac:dyDescent="0.35">
      <c r="A283" s="1">
        <v>45078</v>
      </c>
      <c r="B283">
        <v>82932.333960900301</v>
      </c>
      <c r="C283">
        <f t="shared" si="4"/>
        <v>11.325780300795758</v>
      </c>
    </row>
    <row r="284" spans="1:3" x14ac:dyDescent="0.35">
      <c r="A284" s="1">
        <v>45108</v>
      </c>
      <c r="B284">
        <v>80439.255364824305</v>
      </c>
      <c r="C284">
        <f t="shared" si="4"/>
        <v>11.295257586817689</v>
      </c>
    </row>
    <row r="285" spans="1:3" x14ac:dyDescent="0.35">
      <c r="A285" s="1">
        <v>45139</v>
      </c>
      <c r="B285">
        <v>81750.132147396798</v>
      </c>
      <c r="C285">
        <f t="shared" si="4"/>
        <v>11.311422705240112</v>
      </c>
    </row>
    <row r="286" spans="1:3" x14ac:dyDescent="0.35">
      <c r="A286" s="1">
        <v>45170</v>
      </c>
      <c r="B286">
        <v>81989.209087778901</v>
      </c>
      <c r="C286">
        <f t="shared" si="4"/>
        <v>11.31434292109631</v>
      </c>
    </row>
    <row r="287" spans="1:3" x14ac:dyDescent="0.35">
      <c r="A287" s="1">
        <v>45200</v>
      </c>
      <c r="B287">
        <v>81193.917196149094</v>
      </c>
      <c r="C287">
        <f t="shared" si="4"/>
        <v>11.304595611966297</v>
      </c>
    </row>
    <row r="288" spans="1:3" x14ac:dyDescent="0.35">
      <c r="A288" s="1">
        <v>45231</v>
      </c>
      <c r="B288">
        <v>82991.464941682701</v>
      </c>
      <c r="C288">
        <f t="shared" si="4"/>
        <v>11.32649304946324</v>
      </c>
    </row>
    <row r="289" spans="1:3" x14ac:dyDescent="0.35">
      <c r="A289" s="1">
        <v>45261</v>
      </c>
      <c r="B289">
        <v>81992.427662168193</v>
      </c>
      <c r="C289">
        <f t="shared" si="4"/>
        <v>11.31438217639896</v>
      </c>
    </row>
    <row r="290" spans="1:3" x14ac:dyDescent="0.35">
      <c r="A290" s="1">
        <v>45292</v>
      </c>
      <c r="B290">
        <v>82742.156475055497</v>
      </c>
      <c r="C290">
        <f t="shared" si="4"/>
        <v>11.323484502946918</v>
      </c>
    </row>
    <row r="291" spans="1:3" x14ac:dyDescent="0.35">
      <c r="A291" s="1">
        <v>45323</v>
      </c>
      <c r="B291">
        <v>82465.256416675504</v>
      </c>
      <c r="C291">
        <f t="shared" si="4"/>
        <v>11.320132349277474</v>
      </c>
    </row>
    <row r="292" spans="1:3" x14ac:dyDescent="0.35">
      <c r="A292" s="1">
        <v>45352</v>
      </c>
      <c r="B292">
        <v>81514.520908268998</v>
      </c>
      <c r="C292">
        <f t="shared" si="4"/>
        <v>11.308536454012055</v>
      </c>
    </row>
    <row r="293" spans="1:3" x14ac:dyDescent="0.35">
      <c r="A293" s="1">
        <v>45383</v>
      </c>
      <c r="B293">
        <v>83653.140393308597</v>
      </c>
      <c r="C293">
        <f t="shared" si="4"/>
        <v>11.33443424777016</v>
      </c>
    </row>
    <row r="294" spans="1:3" x14ac:dyDescent="0.35">
      <c r="A294" s="1">
        <v>45413</v>
      </c>
      <c r="B294">
        <v>83348.976367292693</v>
      </c>
      <c r="C294">
        <f t="shared" si="4"/>
        <v>11.330791606967265</v>
      </c>
    </row>
    <row r="295" spans="1:3" x14ac:dyDescent="0.35">
      <c r="A295" s="1">
        <v>45444</v>
      </c>
      <c r="B295">
        <v>81615.691139398798</v>
      </c>
      <c r="C295">
        <f t="shared" si="4"/>
        <v>11.309776815841182</v>
      </c>
    </row>
    <row r="296" spans="1:3" x14ac:dyDescent="0.35">
      <c r="A296" s="1">
        <v>45474</v>
      </c>
      <c r="B296">
        <v>82987.119470639198</v>
      </c>
      <c r="C296">
        <f t="shared" si="4"/>
        <v>11.326440687635237</v>
      </c>
    </row>
    <row r="297" spans="1:3" x14ac:dyDescent="0.35">
      <c r="A297" s="1">
        <v>45505</v>
      </c>
      <c r="B297">
        <v>82722.731544826893</v>
      </c>
      <c r="C297">
        <f t="shared" si="4"/>
        <v>11.323249710773784</v>
      </c>
    </row>
    <row r="298" spans="1:3" x14ac:dyDescent="0.35">
      <c r="A298" s="1">
        <v>45536</v>
      </c>
      <c r="B298">
        <v>82527.509884533894</v>
      </c>
      <c r="C298">
        <f t="shared" si="4"/>
        <v>11.320886969885493</v>
      </c>
    </row>
    <row r="299" spans="1:3" x14ac:dyDescent="0.35">
      <c r="A299" s="1">
        <v>45566</v>
      </c>
      <c r="B299">
        <v>84033.678208974103</v>
      </c>
      <c r="C299">
        <f t="shared" si="4"/>
        <v>11.338972928533286</v>
      </c>
    </row>
    <row r="300" spans="1:3" x14ac:dyDescent="0.35">
      <c r="A300" s="1">
        <v>45597</v>
      </c>
      <c r="B300">
        <v>83193.213255456605</v>
      </c>
      <c r="C300">
        <f t="shared" si="4"/>
        <v>11.32892105203333</v>
      </c>
    </row>
    <row r="301" spans="1:3" x14ac:dyDescent="0.35">
      <c r="A301" s="1">
        <v>45627</v>
      </c>
      <c r="B301">
        <v>84686.005835569304</v>
      </c>
      <c r="C301">
        <f t="shared" si="4"/>
        <v>11.346705646630483</v>
      </c>
    </row>
    <row r="302" spans="1:3" x14ac:dyDescent="0.35">
      <c r="A302" s="1">
        <v>45658</v>
      </c>
      <c r="B302">
        <v>84556.7249255395</v>
      </c>
      <c r="C302">
        <f t="shared" si="4"/>
        <v>11.345177889017567</v>
      </c>
    </row>
    <row r="303" spans="1:3" x14ac:dyDescent="0.35">
      <c r="A303" s="1">
        <v>45689</v>
      </c>
      <c r="B303">
        <v>84636.525542810094</v>
      </c>
      <c r="C303">
        <f t="shared" si="4"/>
        <v>11.346121196424537</v>
      </c>
    </row>
    <row r="304" spans="1:3" x14ac:dyDescent="0.35">
      <c r="A304" s="1">
        <v>45717</v>
      </c>
      <c r="B304">
        <v>83896.1614316505</v>
      </c>
      <c r="C304">
        <f t="shared" si="4"/>
        <v>11.33733513970008</v>
      </c>
    </row>
    <row r="305" spans="1:3" x14ac:dyDescent="0.35">
      <c r="A305" s="1">
        <v>45748</v>
      </c>
      <c r="B305">
        <v>84703.725370761895</v>
      </c>
      <c r="C305">
        <f t="shared" si="4"/>
        <v>11.346914862798794</v>
      </c>
    </row>
    <row r="306" spans="1:3" x14ac:dyDescent="0.35">
      <c r="A306" s="1">
        <v>45778</v>
      </c>
      <c r="B306">
        <v>84999.503012919304</v>
      </c>
      <c r="C306">
        <f t="shared" si="4"/>
        <v>11.350400688548529</v>
      </c>
    </row>
    <row r="307" spans="1:3" x14ac:dyDescent="0.35">
      <c r="A307" s="1">
        <v>45809</v>
      </c>
      <c r="B307">
        <v>84287.042016318796</v>
      </c>
      <c r="C307">
        <f t="shared" si="4"/>
        <v>11.341983419438501</v>
      </c>
    </row>
    <row r="308" spans="1:3" x14ac:dyDescent="0.35">
      <c r="A308" s="1">
        <v>45839</v>
      </c>
      <c r="B308">
        <v>86714.540524065</v>
      </c>
      <c r="C308">
        <f t="shared" si="4"/>
        <v>11.370376859480283</v>
      </c>
    </row>
    <row r="309" spans="1:3" x14ac:dyDescent="0.35">
      <c r="A309" s="1">
        <v>45870</v>
      </c>
      <c r="B309">
        <v>84723.838166955698</v>
      </c>
      <c r="C309">
        <f t="shared" si="4"/>
        <v>11.347152283391623</v>
      </c>
    </row>
    <row r="310" spans="1:3" x14ac:dyDescent="0.35">
      <c r="A310" s="1">
        <v>45901</v>
      </c>
      <c r="B310">
        <v>85762.661208979407</v>
      </c>
      <c r="C310">
        <f t="shared" si="4"/>
        <v>11.359339006711467</v>
      </c>
    </row>
    <row r="311" spans="1:3" x14ac:dyDescent="0.35">
      <c r="A311" s="1">
        <v>45931</v>
      </c>
      <c r="B311">
        <v>86196.954657789203</v>
      </c>
      <c r="C311">
        <f t="shared" si="4"/>
        <v>11.36439012723176</v>
      </c>
    </row>
    <row r="312" spans="1:3" x14ac:dyDescent="0.35">
      <c r="A312" s="1">
        <v>45962</v>
      </c>
      <c r="B312">
        <v>85283.6457664755</v>
      </c>
      <c r="C312">
        <f t="shared" si="4"/>
        <v>11.353737989030869</v>
      </c>
    </row>
    <row r="313" spans="1:3" x14ac:dyDescent="0.35">
      <c r="A313" s="1">
        <v>45992</v>
      </c>
      <c r="B313">
        <v>86029.611175735306</v>
      </c>
      <c r="C313">
        <f t="shared" si="4"/>
        <v>11.362446831969418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PIB Oferta Constantes Desesta</vt:lpstr>
      <vt:lpstr>ISE Desestacionalizada</vt:lpstr>
      <vt:lpstr>PIB Mensual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Avilan Torres Sergio Esteban</dc:creator>
  <cp:keywords/>
  <dc:description/>
  <cp:lastModifiedBy>Jaulín Méndez Oscar Fernando</cp:lastModifiedBy>
  <cp:revision/>
  <dcterms:created xsi:type="dcterms:W3CDTF">2026-03-11T13:21:47Z</dcterms:created>
  <dcterms:modified xsi:type="dcterms:W3CDTF">2026-06-24T16:32:33Z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2026-03-11T20:19:08Z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38fd8b6b-300d-47fe-9f43-33df94cde84f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