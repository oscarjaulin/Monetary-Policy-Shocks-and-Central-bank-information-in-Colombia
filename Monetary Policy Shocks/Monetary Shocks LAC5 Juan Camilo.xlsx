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 Policy Shocks/"/>
    </mc:Choice>
  </mc:AlternateContent>
  <xr:revisionPtr revIDLastSave="85" documentId="8_{42993F02-094E-4449-B2E3-32AD7B6C0559}" xr6:coauthVersionLast="47" xr6:coauthVersionMax="47" xr10:uidLastSave="{7BFE447E-8D5A-436D-8064-5C95FF04590B}"/>
  <bookViews>
    <workbookView xWindow="-110" yWindow="-110" windowWidth="19420" windowHeight="11500" xr2:uid="{1ED45408-8FF9-4C53-A402-187FA2FFCF32}"/>
  </bookViews>
  <sheets>
    <sheet name="Hoja4" sheetId="4" r:id="rId1"/>
    <sheet name="Hoja1" sheetId="1" r:id="rId2"/>
    <sheet name="Hoja2" sheetId="2" r:id="rId3"/>
    <sheet name="Hoja3" sheetId="3" r:id="rId4"/>
  </sheets>
  <definedNames>
    <definedName name="_xlnm._FilterDatabase" localSheetId="1" hidden="1">Hoja1!$A$1:$M$1338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4" i="4"/>
  <c r="I108" i="4"/>
  <c r="J108" i="4"/>
  <c r="K108" i="4"/>
  <c r="I109" i="4"/>
  <c r="J109" i="4"/>
  <c r="K109" i="4"/>
  <c r="I110" i="4"/>
  <c r="J110" i="4"/>
  <c r="K110" i="4"/>
  <c r="I111" i="4"/>
  <c r="J111" i="4"/>
  <c r="K111" i="4"/>
  <c r="I112" i="4"/>
  <c r="J112" i="4"/>
  <c r="K112" i="4"/>
  <c r="I113" i="4"/>
  <c r="J113" i="4"/>
  <c r="K113" i="4"/>
  <c r="I114" i="4"/>
  <c r="J114" i="4"/>
  <c r="K114" i="4"/>
  <c r="I115" i="4"/>
  <c r="J115" i="4"/>
  <c r="K115" i="4"/>
  <c r="I116" i="4"/>
  <c r="J116" i="4"/>
  <c r="K116" i="4"/>
  <c r="I117" i="4"/>
  <c r="J117" i="4"/>
  <c r="K117" i="4"/>
  <c r="I118" i="4"/>
  <c r="J118" i="4"/>
  <c r="K118" i="4"/>
  <c r="I119" i="4"/>
  <c r="J119" i="4"/>
  <c r="K119" i="4"/>
  <c r="I120" i="4"/>
  <c r="J120" i="4"/>
  <c r="K120" i="4"/>
  <c r="I121" i="4"/>
  <c r="J121" i="4"/>
  <c r="K121" i="4"/>
  <c r="I122" i="4"/>
  <c r="J122" i="4"/>
  <c r="K122" i="4"/>
  <c r="I123" i="4"/>
  <c r="J123" i="4"/>
  <c r="K123" i="4"/>
  <c r="I124" i="4"/>
  <c r="J124" i="4"/>
  <c r="K124" i="4"/>
  <c r="I125" i="4"/>
  <c r="J125" i="4"/>
  <c r="K125" i="4"/>
  <c r="I126" i="4"/>
  <c r="J126" i="4"/>
  <c r="K126" i="4"/>
  <c r="I127" i="4"/>
  <c r="J127" i="4"/>
  <c r="K127" i="4"/>
  <c r="I128" i="4"/>
  <c r="J128" i="4"/>
  <c r="K128" i="4"/>
  <c r="I129" i="4"/>
  <c r="J129" i="4"/>
  <c r="K129" i="4"/>
  <c r="I130" i="4"/>
  <c r="J130" i="4"/>
  <c r="K130" i="4"/>
  <c r="I131" i="4"/>
  <c r="J131" i="4"/>
  <c r="K131" i="4"/>
  <c r="I132" i="4"/>
  <c r="J132" i="4"/>
  <c r="K132" i="4"/>
  <c r="I133" i="4"/>
  <c r="J133" i="4"/>
  <c r="K133" i="4"/>
  <c r="I134" i="4"/>
  <c r="J134" i="4"/>
  <c r="K134" i="4"/>
  <c r="I135" i="4"/>
  <c r="J135" i="4"/>
  <c r="K135" i="4"/>
  <c r="I136" i="4"/>
  <c r="J136" i="4"/>
  <c r="K136" i="4"/>
  <c r="I137" i="4"/>
  <c r="J137" i="4"/>
  <c r="K137" i="4"/>
  <c r="I138" i="4"/>
  <c r="J138" i="4"/>
  <c r="K138" i="4"/>
  <c r="I139" i="4"/>
  <c r="J139" i="4"/>
  <c r="K139" i="4"/>
  <c r="I140" i="4"/>
  <c r="J140" i="4"/>
  <c r="K140" i="4"/>
  <c r="I141" i="4"/>
  <c r="J141" i="4"/>
  <c r="K141" i="4"/>
  <c r="I142" i="4"/>
  <c r="J142" i="4"/>
  <c r="K142" i="4"/>
  <c r="I143" i="4"/>
  <c r="J143" i="4"/>
  <c r="K143" i="4"/>
  <c r="I144" i="4"/>
  <c r="J144" i="4"/>
  <c r="K144" i="4"/>
  <c r="I145" i="4"/>
  <c r="J145" i="4"/>
  <c r="K145" i="4"/>
  <c r="I146" i="4"/>
  <c r="J146" i="4"/>
  <c r="K146" i="4"/>
  <c r="I147" i="4"/>
  <c r="J147" i="4"/>
  <c r="K147" i="4"/>
  <c r="I148" i="4"/>
  <c r="J148" i="4"/>
  <c r="K148" i="4"/>
  <c r="I149" i="4"/>
  <c r="J149" i="4"/>
  <c r="K149" i="4"/>
  <c r="I150" i="4"/>
  <c r="J150" i="4"/>
  <c r="K150" i="4"/>
  <c r="I151" i="4"/>
  <c r="J151" i="4"/>
  <c r="K151" i="4"/>
  <c r="I152" i="4"/>
  <c r="J152" i="4"/>
  <c r="K152" i="4"/>
  <c r="I153" i="4"/>
  <c r="J153" i="4"/>
  <c r="K153" i="4"/>
  <c r="I154" i="4"/>
  <c r="J154" i="4"/>
  <c r="K154" i="4"/>
  <c r="I155" i="4"/>
  <c r="J155" i="4"/>
  <c r="K155" i="4"/>
  <c r="I156" i="4"/>
  <c r="J156" i="4"/>
  <c r="K156" i="4"/>
  <c r="I157" i="4"/>
  <c r="J157" i="4"/>
  <c r="K157" i="4"/>
  <c r="I158" i="4"/>
  <c r="J158" i="4"/>
  <c r="K158" i="4"/>
  <c r="I159" i="4"/>
  <c r="J159" i="4"/>
  <c r="K159" i="4"/>
  <c r="I160" i="4"/>
  <c r="J160" i="4"/>
  <c r="K160" i="4"/>
  <c r="I161" i="4"/>
  <c r="J161" i="4"/>
  <c r="K161" i="4"/>
  <c r="I162" i="4"/>
  <c r="J162" i="4"/>
  <c r="K162" i="4"/>
  <c r="I163" i="4"/>
  <c r="J163" i="4"/>
  <c r="K163" i="4"/>
  <c r="I164" i="4"/>
  <c r="J164" i="4"/>
  <c r="K164" i="4"/>
  <c r="I165" i="4"/>
  <c r="J165" i="4"/>
  <c r="K165" i="4"/>
  <c r="I166" i="4"/>
  <c r="J166" i="4"/>
  <c r="K166" i="4"/>
  <c r="I167" i="4"/>
  <c r="J167" i="4"/>
  <c r="K167" i="4"/>
  <c r="I168" i="4"/>
  <c r="J168" i="4"/>
  <c r="K168" i="4"/>
  <c r="I169" i="4"/>
  <c r="J169" i="4"/>
  <c r="K169" i="4"/>
  <c r="I170" i="4"/>
  <c r="J170" i="4"/>
  <c r="K170" i="4"/>
  <c r="I171" i="4"/>
  <c r="J171" i="4"/>
  <c r="K171" i="4"/>
  <c r="I172" i="4"/>
  <c r="J172" i="4"/>
  <c r="K172" i="4"/>
  <c r="I173" i="4"/>
  <c r="J173" i="4"/>
  <c r="K173" i="4"/>
  <c r="I174" i="4"/>
  <c r="J174" i="4"/>
  <c r="K174" i="4"/>
  <c r="I175" i="4"/>
  <c r="J175" i="4"/>
  <c r="K175" i="4"/>
  <c r="I176" i="4"/>
  <c r="J176" i="4"/>
  <c r="K176" i="4"/>
  <c r="I177" i="4"/>
  <c r="J177" i="4"/>
  <c r="K177" i="4"/>
  <c r="I178" i="4"/>
  <c r="J178" i="4"/>
  <c r="K178" i="4"/>
  <c r="I179" i="4"/>
  <c r="J179" i="4"/>
  <c r="K179" i="4"/>
  <c r="I180" i="4"/>
  <c r="J180" i="4"/>
  <c r="K180" i="4"/>
  <c r="I181" i="4"/>
  <c r="J181" i="4"/>
  <c r="K181" i="4"/>
  <c r="I182" i="4"/>
  <c r="J182" i="4"/>
  <c r="K182" i="4"/>
  <c r="I183" i="4"/>
  <c r="J183" i="4"/>
  <c r="K183" i="4"/>
  <c r="I184" i="4"/>
  <c r="J184" i="4"/>
  <c r="K184" i="4"/>
  <c r="I185" i="4"/>
  <c r="J185" i="4"/>
  <c r="K185" i="4"/>
  <c r="I186" i="4"/>
  <c r="J186" i="4"/>
  <c r="K186" i="4"/>
  <c r="I187" i="4"/>
  <c r="J187" i="4"/>
  <c r="K187" i="4"/>
  <c r="I188" i="4"/>
  <c r="J188" i="4"/>
  <c r="K188" i="4"/>
  <c r="I189" i="4"/>
  <c r="J189" i="4"/>
  <c r="K189" i="4"/>
  <c r="I190" i="4"/>
  <c r="J190" i="4"/>
  <c r="K190" i="4"/>
  <c r="I191" i="4"/>
  <c r="J191" i="4"/>
  <c r="K191" i="4"/>
  <c r="I192" i="4"/>
  <c r="J192" i="4"/>
  <c r="K192" i="4"/>
  <c r="I193" i="4"/>
  <c r="J193" i="4"/>
  <c r="K193" i="4"/>
  <c r="I194" i="4"/>
  <c r="J194" i="4"/>
  <c r="K194" i="4"/>
  <c r="I195" i="4"/>
  <c r="J195" i="4"/>
  <c r="K195" i="4"/>
  <c r="I196" i="4"/>
  <c r="J196" i="4"/>
  <c r="K196" i="4"/>
  <c r="I197" i="4"/>
  <c r="J197" i="4"/>
  <c r="K197" i="4"/>
  <c r="I198" i="4"/>
  <c r="J198" i="4"/>
  <c r="K198" i="4"/>
  <c r="I199" i="4"/>
  <c r="J199" i="4"/>
  <c r="K199" i="4"/>
  <c r="I200" i="4"/>
  <c r="J200" i="4"/>
  <c r="K200" i="4"/>
  <c r="I201" i="4"/>
  <c r="J201" i="4"/>
  <c r="K201" i="4"/>
  <c r="I202" i="4"/>
  <c r="J202" i="4"/>
  <c r="K202" i="4"/>
  <c r="I203" i="4"/>
  <c r="J203" i="4"/>
  <c r="K203" i="4"/>
  <c r="I204" i="4"/>
  <c r="J204" i="4"/>
  <c r="K204" i="4"/>
  <c r="I205" i="4"/>
  <c r="J205" i="4"/>
  <c r="K205" i="4"/>
  <c r="I206" i="4"/>
  <c r="J206" i="4"/>
  <c r="K206" i="4"/>
  <c r="I207" i="4"/>
  <c r="J207" i="4"/>
  <c r="K207" i="4"/>
  <c r="I208" i="4"/>
  <c r="J208" i="4"/>
  <c r="K208" i="4"/>
  <c r="I209" i="4"/>
  <c r="J209" i="4"/>
  <c r="K209" i="4"/>
  <c r="I210" i="4"/>
  <c r="J210" i="4"/>
  <c r="K210" i="4"/>
  <c r="I211" i="4"/>
  <c r="J211" i="4"/>
  <c r="K211" i="4"/>
  <c r="I212" i="4"/>
  <c r="J212" i="4"/>
  <c r="K212" i="4"/>
  <c r="I213" i="4"/>
  <c r="J213" i="4"/>
  <c r="K213" i="4"/>
  <c r="I214" i="4"/>
  <c r="J214" i="4"/>
  <c r="K214" i="4"/>
  <c r="I215" i="4"/>
  <c r="J215" i="4"/>
  <c r="K215" i="4"/>
  <c r="I216" i="4"/>
  <c r="J216" i="4"/>
  <c r="K216" i="4"/>
  <c r="I217" i="4"/>
  <c r="J217" i="4"/>
  <c r="K217" i="4"/>
  <c r="I218" i="4"/>
  <c r="J218" i="4"/>
  <c r="K218" i="4"/>
  <c r="I219" i="4"/>
  <c r="J219" i="4"/>
  <c r="K219" i="4"/>
  <c r="I220" i="4"/>
  <c r="J220" i="4"/>
  <c r="K220" i="4"/>
  <c r="I221" i="4"/>
  <c r="J221" i="4"/>
  <c r="K221" i="4"/>
  <c r="I222" i="4"/>
  <c r="J222" i="4"/>
  <c r="K222" i="4"/>
  <c r="I223" i="4"/>
  <c r="J223" i="4"/>
  <c r="K223" i="4"/>
  <c r="I224" i="4"/>
  <c r="J224" i="4"/>
  <c r="K224" i="4"/>
  <c r="I225" i="4"/>
  <c r="J225" i="4"/>
  <c r="K225" i="4"/>
  <c r="I226" i="4"/>
  <c r="J226" i="4"/>
  <c r="K226" i="4"/>
  <c r="I227" i="4"/>
  <c r="J227" i="4"/>
  <c r="K227" i="4"/>
  <c r="I228" i="4"/>
  <c r="J228" i="4"/>
  <c r="K228" i="4"/>
  <c r="I229" i="4"/>
  <c r="J229" i="4"/>
  <c r="K229" i="4"/>
  <c r="I230" i="4"/>
  <c r="J230" i="4"/>
  <c r="K230" i="4"/>
  <c r="I231" i="4"/>
  <c r="J231" i="4"/>
  <c r="K231" i="4"/>
  <c r="I232" i="4"/>
  <c r="J232" i="4"/>
  <c r="K232" i="4"/>
  <c r="I233" i="4"/>
  <c r="J233" i="4"/>
  <c r="K233" i="4"/>
  <c r="I234" i="4"/>
  <c r="J234" i="4"/>
  <c r="K234" i="4"/>
  <c r="I235" i="4"/>
  <c r="J235" i="4"/>
  <c r="K235" i="4"/>
  <c r="I236" i="4"/>
  <c r="J236" i="4"/>
  <c r="K236" i="4"/>
  <c r="I237" i="4"/>
  <c r="J237" i="4"/>
  <c r="K237" i="4"/>
  <c r="I238" i="4"/>
  <c r="J238" i="4"/>
  <c r="K238" i="4"/>
  <c r="I239" i="4"/>
  <c r="J239" i="4"/>
  <c r="K239" i="4"/>
  <c r="I240" i="4"/>
  <c r="J240" i="4"/>
  <c r="K240" i="4"/>
  <c r="I241" i="4"/>
  <c r="J241" i="4"/>
  <c r="K241" i="4"/>
  <c r="I242" i="4"/>
  <c r="J242" i="4"/>
  <c r="K242" i="4"/>
  <c r="I243" i="4"/>
  <c r="J243" i="4"/>
  <c r="K243" i="4"/>
  <c r="I244" i="4"/>
  <c r="J244" i="4"/>
  <c r="K244" i="4"/>
  <c r="I245" i="4"/>
  <c r="J245" i="4"/>
  <c r="K245" i="4"/>
  <c r="I246" i="4"/>
  <c r="J246" i="4"/>
  <c r="K246" i="4"/>
  <c r="I247" i="4"/>
  <c r="J247" i="4"/>
  <c r="K247" i="4"/>
  <c r="I248" i="4"/>
  <c r="J248" i="4"/>
  <c r="K248" i="4"/>
  <c r="I249" i="4"/>
  <c r="J249" i="4"/>
  <c r="K249" i="4"/>
  <c r="I250" i="4"/>
  <c r="J250" i="4"/>
  <c r="K250" i="4"/>
  <c r="I251" i="4"/>
  <c r="J251" i="4"/>
  <c r="K251" i="4"/>
  <c r="I252" i="4"/>
  <c r="J252" i="4"/>
  <c r="K252" i="4"/>
  <c r="I253" i="4"/>
  <c r="J253" i="4"/>
  <c r="K253" i="4"/>
  <c r="I254" i="4"/>
  <c r="J254" i="4"/>
  <c r="K254" i="4"/>
  <c r="I255" i="4"/>
  <c r="J255" i="4"/>
  <c r="K255" i="4"/>
  <c r="I256" i="4"/>
  <c r="J256" i="4"/>
  <c r="K256" i="4"/>
  <c r="I257" i="4"/>
  <c r="J257" i="4"/>
  <c r="K257" i="4"/>
  <c r="I258" i="4"/>
  <c r="J258" i="4"/>
  <c r="K258" i="4"/>
  <c r="I259" i="4"/>
  <c r="J259" i="4"/>
  <c r="K259" i="4"/>
  <c r="I260" i="4"/>
  <c r="J260" i="4"/>
  <c r="K260" i="4"/>
  <c r="I261" i="4"/>
  <c r="J261" i="4"/>
  <c r="K261" i="4"/>
  <c r="I262" i="4"/>
  <c r="J262" i="4"/>
  <c r="K262" i="4"/>
  <c r="I263" i="4"/>
  <c r="J263" i="4"/>
  <c r="K263" i="4"/>
  <c r="I264" i="4"/>
  <c r="J264" i="4"/>
  <c r="K264" i="4"/>
  <c r="I265" i="4"/>
  <c r="J265" i="4"/>
  <c r="K265" i="4"/>
  <c r="I266" i="4"/>
  <c r="J266" i="4"/>
  <c r="K266" i="4"/>
  <c r="I267" i="4"/>
  <c r="J267" i="4"/>
  <c r="K267" i="4"/>
  <c r="I268" i="4"/>
  <c r="J268" i="4"/>
  <c r="K268" i="4"/>
  <c r="I269" i="4"/>
  <c r="J269" i="4"/>
  <c r="K269" i="4"/>
  <c r="I270" i="4"/>
  <c r="J270" i="4"/>
  <c r="K270" i="4"/>
  <c r="I271" i="4"/>
  <c r="J271" i="4"/>
  <c r="K271" i="4"/>
  <c r="I272" i="4"/>
  <c r="J272" i="4"/>
  <c r="K272" i="4"/>
  <c r="I273" i="4"/>
  <c r="J273" i="4"/>
  <c r="K273" i="4"/>
  <c r="I274" i="4"/>
  <c r="J274" i="4"/>
  <c r="K274" i="4"/>
  <c r="I275" i="4"/>
  <c r="J275" i="4"/>
  <c r="K275" i="4"/>
  <c r="I276" i="4"/>
  <c r="J276" i="4"/>
  <c r="K276" i="4"/>
  <c r="I277" i="4"/>
  <c r="J277" i="4"/>
  <c r="K277" i="4"/>
  <c r="I278" i="4"/>
  <c r="J278" i="4"/>
  <c r="K278" i="4"/>
  <c r="I279" i="4"/>
  <c r="J279" i="4"/>
  <c r="K279" i="4"/>
  <c r="I280" i="4"/>
  <c r="J280" i="4"/>
  <c r="K280" i="4"/>
  <c r="I281" i="4"/>
  <c r="J281" i="4"/>
  <c r="K281" i="4"/>
  <c r="I282" i="4"/>
  <c r="J282" i="4"/>
  <c r="K282" i="4"/>
  <c r="I283" i="4"/>
  <c r="J283" i="4"/>
  <c r="K283" i="4"/>
  <c r="I284" i="4"/>
  <c r="J284" i="4"/>
  <c r="K284" i="4"/>
  <c r="I285" i="4"/>
  <c r="J285" i="4"/>
  <c r="K285" i="4"/>
  <c r="I286" i="4"/>
  <c r="J286" i="4"/>
  <c r="K286" i="4"/>
  <c r="I287" i="4"/>
  <c r="J287" i="4"/>
  <c r="K287" i="4"/>
  <c r="I288" i="4"/>
  <c r="J288" i="4"/>
  <c r="K288" i="4"/>
  <c r="I289" i="4"/>
  <c r="J289" i="4"/>
  <c r="K289" i="4"/>
  <c r="I290" i="4"/>
  <c r="J290" i="4"/>
  <c r="K290" i="4"/>
  <c r="I291" i="4"/>
  <c r="J291" i="4"/>
  <c r="K291" i="4"/>
  <c r="I292" i="4"/>
  <c r="J292" i="4"/>
  <c r="K292" i="4"/>
  <c r="I293" i="4"/>
  <c r="J293" i="4"/>
  <c r="K293" i="4"/>
  <c r="I294" i="4"/>
  <c r="J294" i="4"/>
  <c r="K294" i="4"/>
  <c r="I295" i="4"/>
  <c r="J295" i="4"/>
  <c r="K295" i="4"/>
  <c r="I296" i="4"/>
  <c r="J296" i="4"/>
  <c r="K296" i="4"/>
  <c r="I297" i="4"/>
  <c r="J297" i="4"/>
  <c r="K297" i="4"/>
  <c r="I298" i="4"/>
  <c r="J298" i="4"/>
  <c r="K298" i="4"/>
  <c r="I299" i="4"/>
  <c r="J299" i="4"/>
  <c r="K299" i="4"/>
  <c r="I300" i="4"/>
  <c r="J300" i="4"/>
  <c r="K300" i="4"/>
  <c r="I301" i="4"/>
  <c r="J301" i="4"/>
  <c r="K301" i="4"/>
  <c r="I302" i="4"/>
  <c r="J302" i="4"/>
  <c r="K302" i="4"/>
  <c r="I303" i="4"/>
  <c r="J303" i="4"/>
  <c r="K303" i="4"/>
  <c r="I304" i="4"/>
  <c r="J304" i="4"/>
  <c r="K304" i="4"/>
  <c r="I305" i="4"/>
  <c r="J305" i="4"/>
  <c r="K305" i="4"/>
  <c r="I306" i="4"/>
  <c r="J306" i="4"/>
  <c r="K306" i="4"/>
  <c r="I307" i="4"/>
  <c r="J307" i="4"/>
  <c r="K307" i="4"/>
  <c r="I308" i="4"/>
  <c r="J308" i="4"/>
  <c r="K308" i="4"/>
  <c r="I309" i="4"/>
  <c r="J309" i="4"/>
  <c r="K309" i="4"/>
  <c r="I310" i="4"/>
  <c r="J310" i="4"/>
  <c r="K310" i="4"/>
  <c r="I311" i="4"/>
  <c r="J311" i="4"/>
  <c r="K311" i="4"/>
  <c r="I312" i="4"/>
  <c r="J312" i="4"/>
  <c r="K312" i="4"/>
  <c r="I313" i="4"/>
  <c r="J313" i="4"/>
  <c r="K313" i="4"/>
  <c r="I314" i="4"/>
  <c r="J314" i="4"/>
  <c r="K314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J4" i="4"/>
  <c r="I4" i="4"/>
  <c r="B3" i="1"/>
  <c r="C3" i="1"/>
  <c r="D3" i="1" s="1"/>
  <c r="B4" i="1"/>
  <c r="C4" i="1"/>
  <c r="D4" i="1" s="1"/>
  <c r="B5" i="1"/>
  <c r="C5" i="1"/>
  <c r="D5" i="1" s="1"/>
  <c r="B6" i="1"/>
  <c r="C6" i="1"/>
  <c r="D6" i="1"/>
  <c r="B7" i="1"/>
  <c r="C7" i="1"/>
  <c r="D7" i="1" s="1"/>
  <c r="B8" i="1"/>
  <c r="C8" i="1"/>
  <c r="D8" i="1" s="1"/>
  <c r="B9" i="1"/>
  <c r="C9" i="1"/>
  <c r="D9" i="1" s="1"/>
  <c r="B10" i="1"/>
  <c r="C10" i="1"/>
  <c r="D10" i="1" s="1"/>
  <c r="B11" i="1"/>
  <c r="C11" i="1"/>
  <c r="D11" i="1" s="1"/>
  <c r="B12" i="1"/>
  <c r="C12" i="1"/>
  <c r="D12" i="1" s="1"/>
  <c r="B13" i="1"/>
  <c r="C13" i="1"/>
  <c r="D13" i="1" s="1"/>
  <c r="B14" i="1"/>
  <c r="C14" i="1"/>
  <c r="D14" i="1" s="1"/>
  <c r="B15" i="1"/>
  <c r="C15" i="1"/>
  <c r="D15" i="1" s="1"/>
  <c r="B16" i="1"/>
  <c r="C16" i="1"/>
  <c r="D16" i="1" s="1"/>
  <c r="B17" i="1"/>
  <c r="C17" i="1"/>
  <c r="D17" i="1" s="1"/>
  <c r="B18" i="1"/>
  <c r="C18" i="1"/>
  <c r="D18" i="1" s="1"/>
  <c r="B19" i="1"/>
  <c r="C19" i="1"/>
  <c r="D19" i="1" s="1"/>
  <c r="B20" i="1"/>
  <c r="C20" i="1"/>
  <c r="D20" i="1" s="1"/>
  <c r="B21" i="1"/>
  <c r="C21" i="1"/>
  <c r="D21" i="1" s="1"/>
  <c r="B22" i="1"/>
  <c r="C22" i="1"/>
  <c r="D22" i="1" s="1"/>
  <c r="B23" i="1"/>
  <c r="C23" i="1"/>
  <c r="D23" i="1" s="1"/>
  <c r="B24" i="1"/>
  <c r="C24" i="1"/>
  <c r="D24" i="1"/>
  <c r="B25" i="1"/>
  <c r="C25" i="1"/>
  <c r="D25" i="1" s="1"/>
  <c r="B26" i="1"/>
  <c r="C26" i="1"/>
  <c r="D26" i="1" s="1"/>
  <c r="B27" i="1"/>
  <c r="C27" i="1"/>
  <c r="D27" i="1" s="1"/>
  <c r="B28" i="1"/>
  <c r="C28" i="1"/>
  <c r="D28" i="1"/>
  <c r="B29" i="1"/>
  <c r="C29" i="1"/>
  <c r="D29" i="1"/>
  <c r="B30" i="1"/>
  <c r="C30" i="1"/>
  <c r="D30" i="1" s="1"/>
  <c r="B31" i="1"/>
  <c r="C31" i="1"/>
  <c r="D31" i="1" s="1"/>
  <c r="B32" i="1"/>
  <c r="C32" i="1"/>
  <c r="D32" i="1" s="1"/>
  <c r="B33" i="1"/>
  <c r="C33" i="1"/>
  <c r="D33" i="1" s="1"/>
  <c r="B34" i="1"/>
  <c r="C34" i="1"/>
  <c r="D34" i="1"/>
  <c r="B35" i="1"/>
  <c r="C35" i="1"/>
  <c r="D35" i="1" s="1"/>
  <c r="B36" i="1"/>
  <c r="C36" i="1"/>
  <c r="D36" i="1" s="1"/>
  <c r="B37" i="1"/>
  <c r="C37" i="1"/>
  <c r="D37" i="1"/>
  <c r="B38" i="1"/>
  <c r="C38" i="1"/>
  <c r="D38" i="1" s="1"/>
  <c r="B39" i="1"/>
  <c r="C39" i="1"/>
  <c r="D39" i="1" s="1"/>
  <c r="B40" i="1"/>
  <c r="C40" i="1"/>
  <c r="D40" i="1" s="1"/>
  <c r="B41" i="1"/>
  <c r="C41" i="1"/>
  <c r="D41" i="1" s="1"/>
  <c r="B42" i="1"/>
  <c r="C42" i="1"/>
  <c r="D42" i="1"/>
  <c r="B43" i="1"/>
  <c r="C43" i="1"/>
  <c r="D43" i="1" s="1"/>
  <c r="B44" i="1"/>
  <c r="C44" i="1"/>
  <c r="D44" i="1"/>
  <c r="B45" i="1"/>
  <c r="C45" i="1"/>
  <c r="D45" i="1" s="1"/>
  <c r="B46" i="1"/>
  <c r="C46" i="1"/>
  <c r="D46" i="1" s="1"/>
  <c r="B47" i="1"/>
  <c r="C47" i="1"/>
  <c r="D47" i="1" s="1"/>
  <c r="B48" i="1"/>
  <c r="C48" i="1"/>
  <c r="D48" i="1" s="1"/>
  <c r="B49" i="1"/>
  <c r="C49" i="1"/>
  <c r="D49" i="1" s="1"/>
  <c r="B50" i="1"/>
  <c r="C50" i="1"/>
  <c r="D50" i="1" s="1"/>
  <c r="B51" i="1"/>
  <c r="C51" i="1"/>
  <c r="D51" i="1" s="1"/>
  <c r="B52" i="1"/>
  <c r="C52" i="1"/>
  <c r="D52" i="1"/>
  <c r="B53" i="1"/>
  <c r="C53" i="1"/>
  <c r="D53" i="1" s="1"/>
  <c r="B54" i="1"/>
  <c r="C54" i="1"/>
  <c r="D54" i="1"/>
  <c r="B55" i="1"/>
  <c r="C55" i="1"/>
  <c r="D55" i="1" s="1"/>
  <c r="B56" i="1"/>
  <c r="C56" i="1"/>
  <c r="D56" i="1" s="1"/>
  <c r="B57" i="1"/>
  <c r="C57" i="1"/>
  <c r="D57" i="1" s="1"/>
  <c r="B58" i="1"/>
  <c r="C58" i="1"/>
  <c r="D58" i="1" s="1"/>
  <c r="B59" i="1"/>
  <c r="C59" i="1"/>
  <c r="D59" i="1" s="1"/>
  <c r="B60" i="1"/>
  <c r="C60" i="1"/>
  <c r="D60" i="1" s="1"/>
  <c r="B61" i="1"/>
  <c r="C61" i="1"/>
  <c r="D61" i="1" s="1"/>
  <c r="B62" i="1"/>
  <c r="C62" i="1"/>
  <c r="D62" i="1" s="1"/>
  <c r="B63" i="1"/>
  <c r="C63" i="1"/>
  <c r="D63" i="1" s="1"/>
  <c r="B64" i="1"/>
  <c r="C64" i="1"/>
  <c r="D64" i="1"/>
  <c r="B65" i="1"/>
  <c r="C65" i="1"/>
  <c r="D65" i="1" s="1"/>
  <c r="B66" i="1"/>
  <c r="C66" i="1"/>
  <c r="D66" i="1" s="1"/>
  <c r="B67" i="1"/>
  <c r="C67" i="1"/>
  <c r="D67" i="1" s="1"/>
  <c r="B68" i="1"/>
  <c r="C68" i="1"/>
  <c r="D68" i="1" s="1"/>
  <c r="B69" i="1"/>
  <c r="C69" i="1"/>
  <c r="D69" i="1" s="1"/>
  <c r="B70" i="1"/>
  <c r="C70" i="1"/>
  <c r="D70" i="1" s="1"/>
  <c r="B71" i="1"/>
  <c r="C71" i="1"/>
  <c r="D71" i="1" s="1"/>
  <c r="B72" i="1"/>
  <c r="C72" i="1"/>
  <c r="D72" i="1" s="1"/>
  <c r="B73" i="1"/>
  <c r="C73" i="1"/>
  <c r="D73" i="1"/>
  <c r="B74" i="1"/>
  <c r="C74" i="1"/>
  <c r="D74" i="1" s="1"/>
  <c r="B75" i="1"/>
  <c r="C75" i="1"/>
  <c r="D75" i="1" s="1"/>
  <c r="B76" i="1"/>
  <c r="C76" i="1"/>
  <c r="D76" i="1" s="1"/>
  <c r="B77" i="1"/>
  <c r="C77" i="1"/>
  <c r="D77" i="1" s="1"/>
  <c r="B78" i="1"/>
  <c r="C78" i="1"/>
  <c r="D78" i="1" s="1"/>
  <c r="B79" i="1"/>
  <c r="C79" i="1"/>
  <c r="D79" i="1" s="1"/>
  <c r="B80" i="1"/>
  <c r="C80" i="1"/>
  <c r="D80" i="1" s="1"/>
  <c r="B81" i="1"/>
  <c r="C81" i="1"/>
  <c r="D81" i="1" s="1"/>
  <c r="B82" i="1"/>
  <c r="C82" i="1"/>
  <c r="D82" i="1" s="1"/>
  <c r="B83" i="1"/>
  <c r="C83" i="1"/>
  <c r="D83" i="1" s="1"/>
  <c r="B84" i="1"/>
  <c r="C84" i="1"/>
  <c r="D84" i="1" s="1"/>
  <c r="B85" i="1"/>
  <c r="C85" i="1"/>
  <c r="D85" i="1"/>
  <c r="B86" i="1"/>
  <c r="C86" i="1"/>
  <c r="D86" i="1" s="1"/>
  <c r="B87" i="1"/>
  <c r="C87" i="1"/>
  <c r="D87" i="1" s="1"/>
  <c r="B88" i="1"/>
  <c r="C88" i="1"/>
  <c r="D88" i="1" s="1"/>
  <c r="B89" i="1"/>
  <c r="C89" i="1"/>
  <c r="D89" i="1" s="1"/>
  <c r="B90" i="1"/>
  <c r="C90" i="1"/>
  <c r="D90" i="1" s="1"/>
  <c r="B91" i="1"/>
  <c r="C91" i="1"/>
  <c r="D91" i="1" s="1"/>
  <c r="B92" i="1"/>
  <c r="C92" i="1"/>
  <c r="D92" i="1" s="1"/>
  <c r="B93" i="1"/>
  <c r="C93" i="1"/>
  <c r="D93" i="1"/>
  <c r="B94" i="1"/>
  <c r="C94" i="1"/>
  <c r="D94" i="1" s="1"/>
  <c r="B95" i="1"/>
  <c r="C95" i="1"/>
  <c r="D95" i="1" s="1"/>
  <c r="B96" i="1"/>
  <c r="C96" i="1"/>
  <c r="D96" i="1"/>
  <c r="B97" i="1"/>
  <c r="C97" i="1"/>
  <c r="D97" i="1" s="1"/>
  <c r="B98" i="1"/>
  <c r="C98" i="1"/>
  <c r="D98" i="1"/>
  <c r="B99" i="1"/>
  <c r="C99" i="1"/>
  <c r="D99" i="1" s="1"/>
  <c r="B100" i="1"/>
  <c r="C100" i="1"/>
  <c r="D100" i="1" s="1"/>
  <c r="B101" i="1"/>
  <c r="C101" i="1"/>
  <c r="D101" i="1"/>
  <c r="B102" i="1"/>
  <c r="C102" i="1"/>
  <c r="D102" i="1" s="1"/>
  <c r="B103" i="1"/>
  <c r="C103" i="1"/>
  <c r="D103" i="1" s="1"/>
  <c r="B104" i="1"/>
  <c r="C104" i="1"/>
  <c r="D104" i="1" s="1"/>
  <c r="B105" i="1"/>
  <c r="C105" i="1"/>
  <c r="D105" i="1" s="1"/>
  <c r="B106" i="1"/>
  <c r="C106" i="1"/>
  <c r="D106" i="1" s="1"/>
  <c r="B107" i="1"/>
  <c r="C107" i="1"/>
  <c r="D107" i="1" s="1"/>
  <c r="B108" i="1"/>
  <c r="C108" i="1"/>
  <c r="D108" i="1"/>
  <c r="B109" i="1"/>
  <c r="C109" i="1"/>
  <c r="D109" i="1" s="1"/>
  <c r="B110" i="1"/>
  <c r="C110" i="1"/>
  <c r="D110" i="1" s="1"/>
  <c r="B111" i="1"/>
  <c r="C111" i="1"/>
  <c r="D111" i="1" s="1"/>
  <c r="B112" i="1"/>
  <c r="C112" i="1"/>
  <c r="D112" i="1" s="1"/>
  <c r="B113" i="1"/>
  <c r="C113" i="1"/>
  <c r="D113" i="1"/>
  <c r="B114" i="1"/>
  <c r="C114" i="1"/>
  <c r="D114" i="1"/>
  <c r="B115" i="1"/>
  <c r="C115" i="1"/>
  <c r="D115" i="1" s="1"/>
  <c r="B116" i="1"/>
  <c r="C116" i="1"/>
  <c r="D116" i="1" s="1"/>
  <c r="B117" i="1"/>
  <c r="C117" i="1"/>
  <c r="D117" i="1"/>
  <c r="B118" i="1"/>
  <c r="C118" i="1"/>
  <c r="D118" i="1" s="1"/>
  <c r="B119" i="1"/>
  <c r="C119" i="1"/>
  <c r="D119" i="1" s="1"/>
  <c r="B120" i="1"/>
  <c r="C120" i="1"/>
  <c r="D120" i="1" s="1"/>
  <c r="B121" i="1"/>
  <c r="C121" i="1"/>
  <c r="D121" i="1" s="1"/>
  <c r="B122" i="1"/>
  <c r="C122" i="1"/>
  <c r="D122" i="1"/>
  <c r="B123" i="1"/>
  <c r="C123" i="1"/>
  <c r="D123" i="1" s="1"/>
  <c r="B124" i="1"/>
  <c r="C124" i="1"/>
  <c r="D124" i="1" s="1"/>
  <c r="B125" i="1"/>
  <c r="C125" i="1"/>
  <c r="D125" i="1" s="1"/>
  <c r="B126" i="1"/>
  <c r="C126" i="1"/>
  <c r="D126" i="1" s="1"/>
  <c r="B127" i="1"/>
  <c r="C127" i="1"/>
  <c r="D127" i="1" s="1"/>
  <c r="B128" i="1"/>
  <c r="C128" i="1"/>
  <c r="D128" i="1"/>
  <c r="B129" i="1"/>
  <c r="C129" i="1"/>
  <c r="D129" i="1" s="1"/>
  <c r="B130" i="1"/>
  <c r="C130" i="1"/>
  <c r="D130" i="1" s="1"/>
  <c r="B131" i="1"/>
  <c r="C131" i="1"/>
  <c r="D131" i="1" s="1"/>
  <c r="B132" i="1"/>
  <c r="C132" i="1"/>
  <c r="D132" i="1" s="1"/>
  <c r="B133" i="1"/>
  <c r="C133" i="1"/>
  <c r="D133" i="1" s="1"/>
  <c r="B134" i="1"/>
  <c r="C134" i="1"/>
  <c r="D134" i="1" s="1"/>
  <c r="B135" i="1"/>
  <c r="C135" i="1"/>
  <c r="D135" i="1" s="1"/>
  <c r="B136" i="1"/>
  <c r="C136" i="1"/>
  <c r="D136" i="1" s="1"/>
  <c r="B137" i="1"/>
  <c r="C137" i="1"/>
  <c r="D137" i="1" s="1"/>
  <c r="B138" i="1"/>
  <c r="C138" i="1"/>
  <c r="D138" i="1" s="1"/>
  <c r="B139" i="1"/>
  <c r="C139" i="1"/>
  <c r="D139" i="1" s="1"/>
  <c r="B140" i="1"/>
  <c r="C140" i="1"/>
  <c r="D140" i="1" s="1"/>
  <c r="B141" i="1"/>
  <c r="C141" i="1"/>
  <c r="D141" i="1" s="1"/>
  <c r="B142" i="1"/>
  <c r="C142" i="1"/>
  <c r="D142" i="1" s="1"/>
  <c r="B143" i="1"/>
  <c r="C143" i="1"/>
  <c r="D143" i="1" s="1"/>
  <c r="B144" i="1"/>
  <c r="C144" i="1"/>
  <c r="D144" i="1" s="1"/>
  <c r="B145" i="1"/>
  <c r="C145" i="1"/>
  <c r="D145" i="1"/>
  <c r="B146" i="1"/>
  <c r="C146" i="1"/>
  <c r="D146" i="1" s="1"/>
  <c r="B147" i="1"/>
  <c r="C147" i="1"/>
  <c r="D147" i="1" s="1"/>
  <c r="B148" i="1"/>
  <c r="C148" i="1"/>
  <c r="D148" i="1" s="1"/>
  <c r="B149" i="1"/>
  <c r="C149" i="1"/>
  <c r="D149" i="1"/>
  <c r="B150" i="1"/>
  <c r="C150" i="1"/>
  <c r="D150" i="1" s="1"/>
  <c r="B151" i="1"/>
  <c r="C151" i="1"/>
  <c r="D151" i="1" s="1"/>
  <c r="B152" i="1"/>
  <c r="C152" i="1"/>
  <c r="D152" i="1"/>
  <c r="B153" i="1"/>
  <c r="C153" i="1"/>
  <c r="D153" i="1"/>
  <c r="B154" i="1"/>
  <c r="C154" i="1"/>
  <c r="D154" i="1" s="1"/>
  <c r="B155" i="1"/>
  <c r="C155" i="1"/>
  <c r="D155" i="1" s="1"/>
  <c r="B156" i="1"/>
  <c r="C156" i="1"/>
  <c r="D156" i="1" s="1"/>
  <c r="B157" i="1"/>
  <c r="C157" i="1"/>
  <c r="D157" i="1"/>
  <c r="B158" i="1"/>
  <c r="C158" i="1"/>
  <c r="D158" i="1"/>
  <c r="B159" i="1"/>
  <c r="C159" i="1"/>
  <c r="D159" i="1" s="1"/>
  <c r="B160" i="1"/>
  <c r="C160" i="1"/>
  <c r="D160" i="1" s="1"/>
  <c r="B161" i="1"/>
  <c r="C161" i="1"/>
  <c r="D161" i="1"/>
  <c r="B162" i="1"/>
  <c r="C162" i="1"/>
  <c r="D162" i="1" s="1"/>
  <c r="B163" i="1"/>
  <c r="C163" i="1"/>
  <c r="D163" i="1" s="1"/>
  <c r="B164" i="1"/>
  <c r="C164" i="1"/>
  <c r="D164" i="1" s="1"/>
  <c r="B165" i="1"/>
  <c r="C165" i="1"/>
  <c r="D165" i="1" s="1"/>
  <c r="B166" i="1"/>
  <c r="C166" i="1"/>
  <c r="D166" i="1"/>
  <c r="B167" i="1"/>
  <c r="C167" i="1"/>
  <c r="D167" i="1" s="1"/>
  <c r="B168" i="1"/>
  <c r="C168" i="1"/>
  <c r="D168" i="1" s="1"/>
  <c r="B169" i="1"/>
  <c r="C169" i="1"/>
  <c r="D169" i="1" s="1"/>
  <c r="B170" i="1"/>
  <c r="C170" i="1"/>
  <c r="D170" i="1" s="1"/>
  <c r="B171" i="1"/>
  <c r="C171" i="1"/>
  <c r="D171" i="1" s="1"/>
  <c r="B172" i="1"/>
  <c r="C172" i="1"/>
  <c r="D172" i="1" s="1"/>
  <c r="B173" i="1"/>
  <c r="C173" i="1"/>
  <c r="D173" i="1" s="1"/>
  <c r="B174" i="1"/>
  <c r="C174" i="1"/>
  <c r="D174" i="1" s="1"/>
  <c r="B175" i="1"/>
  <c r="C175" i="1"/>
  <c r="D175" i="1" s="1"/>
  <c r="B176" i="1"/>
  <c r="C176" i="1"/>
  <c r="D176" i="1"/>
  <c r="B177" i="1"/>
  <c r="C177" i="1"/>
  <c r="D177" i="1" s="1"/>
  <c r="B178" i="1"/>
  <c r="C178" i="1"/>
  <c r="D178" i="1" s="1"/>
  <c r="B179" i="1"/>
  <c r="C179" i="1"/>
  <c r="D179" i="1" s="1"/>
  <c r="B180" i="1"/>
  <c r="C180" i="1"/>
  <c r="D180" i="1" s="1"/>
  <c r="B181" i="1"/>
  <c r="C181" i="1"/>
  <c r="D181" i="1" s="1"/>
  <c r="B182" i="1"/>
  <c r="C182" i="1"/>
  <c r="D182" i="1" s="1"/>
  <c r="B183" i="1"/>
  <c r="C183" i="1"/>
  <c r="D183" i="1" s="1"/>
  <c r="B184" i="1"/>
  <c r="C184" i="1"/>
  <c r="D184" i="1" s="1"/>
  <c r="B185" i="1"/>
  <c r="C185" i="1"/>
  <c r="D185" i="1" s="1"/>
  <c r="B186" i="1"/>
  <c r="C186" i="1"/>
  <c r="D186" i="1"/>
  <c r="B187" i="1"/>
  <c r="C187" i="1"/>
  <c r="D187" i="1" s="1"/>
  <c r="B188" i="1"/>
  <c r="C188" i="1"/>
  <c r="D188" i="1" s="1"/>
  <c r="B189" i="1"/>
  <c r="C189" i="1"/>
  <c r="D189" i="1" s="1"/>
  <c r="B190" i="1"/>
  <c r="C190" i="1"/>
  <c r="D190" i="1" s="1"/>
  <c r="B191" i="1"/>
  <c r="C191" i="1"/>
  <c r="D191" i="1" s="1"/>
  <c r="B192" i="1"/>
  <c r="C192" i="1"/>
  <c r="D192" i="1" s="1"/>
  <c r="B193" i="1"/>
  <c r="C193" i="1"/>
  <c r="D193" i="1" s="1"/>
  <c r="B194" i="1"/>
  <c r="C194" i="1"/>
  <c r="D194" i="1"/>
  <c r="B195" i="1"/>
  <c r="C195" i="1"/>
  <c r="D195" i="1" s="1"/>
  <c r="B196" i="1"/>
  <c r="C196" i="1"/>
  <c r="D196" i="1" s="1"/>
  <c r="B197" i="1"/>
  <c r="C197" i="1"/>
  <c r="D197" i="1" s="1"/>
  <c r="B198" i="1"/>
  <c r="C198" i="1"/>
  <c r="D198" i="1" s="1"/>
  <c r="B199" i="1"/>
  <c r="C199" i="1"/>
  <c r="D199" i="1" s="1"/>
  <c r="B200" i="1"/>
  <c r="C200" i="1"/>
  <c r="D200" i="1" s="1"/>
  <c r="B201" i="1"/>
  <c r="C201" i="1"/>
  <c r="D201" i="1"/>
  <c r="B202" i="1"/>
  <c r="C202" i="1"/>
  <c r="D202" i="1" s="1"/>
  <c r="B203" i="1"/>
  <c r="C203" i="1"/>
  <c r="D203" i="1" s="1"/>
  <c r="B204" i="1"/>
  <c r="C204" i="1"/>
  <c r="D204" i="1"/>
  <c r="B205" i="1"/>
  <c r="C205" i="1"/>
  <c r="D205" i="1" s="1"/>
  <c r="B206" i="1"/>
  <c r="C206" i="1"/>
  <c r="D206" i="1"/>
  <c r="B207" i="1"/>
  <c r="C207" i="1"/>
  <c r="D207" i="1" s="1"/>
  <c r="B208" i="1"/>
  <c r="C208" i="1"/>
  <c r="D208" i="1" s="1"/>
  <c r="B209" i="1"/>
  <c r="C209" i="1"/>
  <c r="D209" i="1"/>
  <c r="B210" i="1"/>
  <c r="C210" i="1"/>
  <c r="D210" i="1" s="1"/>
  <c r="B211" i="1"/>
  <c r="C211" i="1"/>
  <c r="D211" i="1" s="1"/>
  <c r="B212" i="1"/>
  <c r="C212" i="1"/>
  <c r="D212" i="1" s="1"/>
  <c r="B213" i="1"/>
  <c r="C213" i="1"/>
  <c r="D213" i="1" s="1"/>
  <c r="B214" i="1"/>
  <c r="C214" i="1"/>
  <c r="D214" i="1" s="1"/>
  <c r="B215" i="1"/>
  <c r="C215" i="1"/>
  <c r="D215" i="1" s="1"/>
  <c r="B216" i="1"/>
  <c r="C216" i="1"/>
  <c r="D216" i="1" s="1"/>
  <c r="B217" i="1"/>
  <c r="C217" i="1"/>
  <c r="D217" i="1"/>
  <c r="B218" i="1"/>
  <c r="C218" i="1"/>
  <c r="D218" i="1" s="1"/>
  <c r="B219" i="1"/>
  <c r="C219" i="1"/>
  <c r="D219" i="1" s="1"/>
  <c r="B220" i="1"/>
  <c r="C220" i="1"/>
  <c r="D220" i="1" s="1"/>
  <c r="B221" i="1"/>
  <c r="C221" i="1"/>
  <c r="D221" i="1" s="1"/>
  <c r="B222" i="1"/>
  <c r="C222" i="1"/>
  <c r="D222" i="1" s="1"/>
  <c r="B223" i="1"/>
  <c r="C223" i="1"/>
  <c r="D223" i="1" s="1"/>
  <c r="B224" i="1"/>
  <c r="C224" i="1"/>
  <c r="D224" i="1" s="1"/>
  <c r="B225" i="1"/>
  <c r="C225" i="1"/>
  <c r="D225" i="1" s="1"/>
  <c r="B226" i="1"/>
  <c r="C226" i="1"/>
  <c r="D226" i="1"/>
  <c r="B227" i="1"/>
  <c r="C227" i="1"/>
  <c r="D227" i="1" s="1"/>
  <c r="B228" i="1"/>
  <c r="C228" i="1"/>
  <c r="D228" i="1" s="1"/>
  <c r="B229" i="1"/>
  <c r="C229" i="1"/>
  <c r="D229" i="1"/>
  <c r="B230" i="1"/>
  <c r="C230" i="1"/>
  <c r="D230" i="1" s="1"/>
  <c r="B231" i="1"/>
  <c r="C231" i="1"/>
  <c r="D231" i="1" s="1"/>
  <c r="B232" i="1"/>
  <c r="C232" i="1"/>
  <c r="D232" i="1"/>
  <c r="B233" i="1"/>
  <c r="C233" i="1"/>
  <c r="D233" i="1" s="1"/>
  <c r="B234" i="1"/>
  <c r="C234" i="1"/>
  <c r="D234" i="1" s="1"/>
  <c r="B235" i="1"/>
  <c r="C235" i="1"/>
  <c r="D235" i="1" s="1"/>
  <c r="B236" i="1"/>
  <c r="C236" i="1"/>
  <c r="D236" i="1" s="1"/>
  <c r="B237" i="1"/>
  <c r="C237" i="1"/>
  <c r="D237" i="1" s="1"/>
  <c r="B238" i="1"/>
  <c r="C238" i="1"/>
  <c r="D238" i="1" s="1"/>
  <c r="B239" i="1"/>
  <c r="C239" i="1"/>
  <c r="D239" i="1" s="1"/>
  <c r="B240" i="1"/>
  <c r="C240" i="1"/>
  <c r="D240" i="1" s="1"/>
  <c r="B241" i="1"/>
  <c r="C241" i="1"/>
  <c r="D241" i="1" s="1"/>
  <c r="B242" i="1"/>
  <c r="C242" i="1"/>
  <c r="D242" i="1" s="1"/>
  <c r="B243" i="1"/>
  <c r="C243" i="1"/>
  <c r="D243" i="1" s="1"/>
  <c r="B244" i="1"/>
  <c r="C244" i="1"/>
  <c r="D244" i="1" s="1"/>
  <c r="B245" i="1"/>
  <c r="C245" i="1"/>
  <c r="D245" i="1" s="1"/>
  <c r="B246" i="1"/>
  <c r="C246" i="1"/>
  <c r="D246" i="1" s="1"/>
  <c r="B247" i="1"/>
  <c r="C247" i="1"/>
  <c r="D247" i="1" s="1"/>
  <c r="B248" i="1"/>
  <c r="C248" i="1"/>
  <c r="D248" i="1" s="1"/>
  <c r="B249" i="1"/>
  <c r="C249" i="1"/>
  <c r="D249" i="1" s="1"/>
  <c r="B250" i="1"/>
  <c r="C250" i="1"/>
  <c r="D250" i="1"/>
  <c r="B251" i="1"/>
  <c r="C251" i="1"/>
  <c r="D251" i="1" s="1"/>
  <c r="B252" i="1"/>
  <c r="C252" i="1"/>
  <c r="D252" i="1" s="1"/>
  <c r="B253" i="1"/>
  <c r="C253" i="1"/>
  <c r="D253" i="1" s="1"/>
  <c r="B254" i="1"/>
  <c r="C254" i="1"/>
  <c r="D254" i="1" s="1"/>
  <c r="B255" i="1"/>
  <c r="C255" i="1"/>
  <c r="D255" i="1" s="1"/>
  <c r="B256" i="1"/>
  <c r="C256" i="1"/>
  <c r="D256" i="1"/>
  <c r="B257" i="1"/>
  <c r="C257" i="1"/>
  <c r="D257" i="1"/>
  <c r="B258" i="1"/>
  <c r="C258" i="1"/>
  <c r="D258" i="1"/>
  <c r="B259" i="1"/>
  <c r="C259" i="1"/>
  <c r="D259" i="1" s="1"/>
  <c r="B260" i="1"/>
  <c r="C260" i="1"/>
  <c r="D260" i="1" s="1"/>
  <c r="B261" i="1"/>
  <c r="C261" i="1"/>
  <c r="D261" i="1" s="1"/>
  <c r="B262" i="1"/>
  <c r="C262" i="1"/>
  <c r="D262" i="1"/>
  <c r="B263" i="1"/>
  <c r="C263" i="1"/>
  <c r="D263" i="1" s="1"/>
  <c r="B264" i="1"/>
  <c r="C264" i="1"/>
  <c r="D264" i="1" s="1"/>
  <c r="B265" i="1"/>
  <c r="C265" i="1"/>
  <c r="D265" i="1"/>
  <c r="B266" i="1"/>
  <c r="C266" i="1"/>
  <c r="D266" i="1" s="1"/>
  <c r="B267" i="1"/>
  <c r="C267" i="1"/>
  <c r="D267" i="1" s="1"/>
  <c r="B268" i="1"/>
  <c r="C268" i="1"/>
  <c r="D268" i="1" s="1"/>
  <c r="B269" i="1"/>
  <c r="C269" i="1"/>
  <c r="D269" i="1" s="1"/>
  <c r="B270" i="1"/>
  <c r="C270" i="1"/>
  <c r="D270" i="1" s="1"/>
  <c r="B271" i="1"/>
  <c r="C271" i="1"/>
  <c r="D271" i="1" s="1"/>
  <c r="B272" i="1"/>
  <c r="C272" i="1"/>
  <c r="D272" i="1" s="1"/>
  <c r="B273" i="1"/>
  <c r="C273" i="1"/>
  <c r="D273" i="1" s="1"/>
  <c r="B274" i="1"/>
  <c r="C274" i="1"/>
  <c r="D274" i="1" s="1"/>
  <c r="B275" i="1"/>
  <c r="C275" i="1"/>
  <c r="D275" i="1" s="1"/>
  <c r="B276" i="1"/>
  <c r="C276" i="1"/>
  <c r="D276" i="1" s="1"/>
  <c r="B277" i="1"/>
  <c r="C277" i="1"/>
  <c r="D277" i="1" s="1"/>
  <c r="B278" i="1"/>
  <c r="C278" i="1"/>
  <c r="D278" i="1"/>
  <c r="B279" i="1"/>
  <c r="C279" i="1"/>
  <c r="D279" i="1" s="1"/>
  <c r="B280" i="1"/>
  <c r="C280" i="1"/>
  <c r="D280" i="1" s="1"/>
  <c r="B281" i="1"/>
  <c r="C281" i="1"/>
  <c r="D281" i="1" s="1"/>
  <c r="B282" i="1"/>
  <c r="C282" i="1"/>
  <c r="D282" i="1" s="1"/>
  <c r="B283" i="1"/>
  <c r="C283" i="1"/>
  <c r="D283" i="1" s="1"/>
  <c r="B284" i="1"/>
  <c r="C284" i="1"/>
  <c r="D284" i="1" s="1"/>
  <c r="B285" i="1"/>
  <c r="C285" i="1"/>
  <c r="D285" i="1" s="1"/>
  <c r="B286" i="1"/>
  <c r="C286" i="1"/>
  <c r="D286" i="1" s="1"/>
  <c r="B287" i="1"/>
  <c r="C287" i="1"/>
  <c r="D287" i="1" s="1"/>
  <c r="B288" i="1"/>
  <c r="C288" i="1"/>
  <c r="D288" i="1" s="1"/>
  <c r="B289" i="1"/>
  <c r="C289" i="1"/>
  <c r="D289" i="1"/>
  <c r="B290" i="1"/>
  <c r="C290" i="1"/>
  <c r="D290" i="1" s="1"/>
  <c r="B291" i="1"/>
  <c r="C291" i="1"/>
  <c r="D291" i="1" s="1"/>
  <c r="B292" i="1"/>
  <c r="C292" i="1"/>
  <c r="D292" i="1"/>
  <c r="B293" i="1"/>
  <c r="C293" i="1"/>
  <c r="D293" i="1" s="1"/>
  <c r="B294" i="1"/>
  <c r="C294" i="1"/>
  <c r="D294" i="1" s="1"/>
  <c r="B295" i="1"/>
  <c r="C295" i="1"/>
  <c r="D295" i="1" s="1"/>
  <c r="B296" i="1"/>
  <c r="C296" i="1"/>
  <c r="D296" i="1"/>
  <c r="B297" i="1"/>
  <c r="C297" i="1"/>
  <c r="D297" i="1" s="1"/>
  <c r="B298" i="1"/>
  <c r="C298" i="1"/>
  <c r="D298" i="1" s="1"/>
  <c r="B299" i="1"/>
  <c r="C299" i="1"/>
  <c r="D299" i="1" s="1"/>
  <c r="B300" i="1"/>
  <c r="C300" i="1"/>
  <c r="D300" i="1"/>
  <c r="B301" i="1"/>
  <c r="C301" i="1"/>
  <c r="D301" i="1"/>
  <c r="B302" i="1"/>
  <c r="C302" i="1"/>
  <c r="D302" i="1"/>
  <c r="B303" i="1"/>
  <c r="C303" i="1"/>
  <c r="D303" i="1" s="1"/>
  <c r="B304" i="1"/>
  <c r="C304" i="1"/>
  <c r="D304" i="1" s="1"/>
  <c r="B305" i="1"/>
  <c r="C305" i="1"/>
  <c r="D305" i="1" s="1"/>
  <c r="B306" i="1"/>
  <c r="C306" i="1"/>
  <c r="D306" i="1" s="1"/>
  <c r="B307" i="1"/>
  <c r="C307" i="1"/>
  <c r="D307" i="1" s="1"/>
  <c r="B308" i="1"/>
  <c r="C308" i="1"/>
  <c r="D308" i="1" s="1"/>
  <c r="B309" i="1"/>
  <c r="C309" i="1"/>
  <c r="D309" i="1" s="1"/>
  <c r="B310" i="1"/>
  <c r="C310" i="1"/>
  <c r="D310" i="1" s="1"/>
  <c r="B311" i="1"/>
  <c r="C311" i="1"/>
  <c r="D311" i="1" s="1"/>
  <c r="B312" i="1"/>
  <c r="C312" i="1"/>
  <c r="D312" i="1"/>
  <c r="B313" i="1"/>
  <c r="C313" i="1"/>
  <c r="D313" i="1"/>
  <c r="B314" i="1"/>
  <c r="C314" i="1"/>
  <c r="D314" i="1" s="1"/>
  <c r="B315" i="1"/>
  <c r="C315" i="1"/>
  <c r="D315" i="1" s="1"/>
  <c r="B316" i="1"/>
  <c r="C316" i="1"/>
  <c r="D316" i="1" s="1"/>
  <c r="B317" i="1"/>
  <c r="C317" i="1"/>
  <c r="D317" i="1" s="1"/>
  <c r="B318" i="1"/>
  <c r="C318" i="1"/>
  <c r="D318" i="1" s="1"/>
  <c r="B319" i="1"/>
  <c r="C319" i="1"/>
  <c r="D319" i="1" s="1"/>
  <c r="B320" i="1"/>
  <c r="C320" i="1"/>
  <c r="D320" i="1" s="1"/>
  <c r="B321" i="1"/>
  <c r="C321" i="1"/>
  <c r="D321" i="1" s="1"/>
  <c r="B322" i="1"/>
  <c r="C322" i="1"/>
  <c r="D322" i="1"/>
  <c r="B323" i="1"/>
  <c r="C323" i="1"/>
  <c r="D323" i="1" s="1"/>
  <c r="B324" i="1"/>
  <c r="C324" i="1"/>
  <c r="D324" i="1" s="1"/>
  <c r="B325" i="1"/>
  <c r="C325" i="1"/>
  <c r="D325" i="1" s="1"/>
  <c r="B326" i="1"/>
  <c r="C326" i="1"/>
  <c r="D326" i="1" s="1"/>
  <c r="B327" i="1"/>
  <c r="C327" i="1"/>
  <c r="D327" i="1" s="1"/>
  <c r="B328" i="1"/>
  <c r="C328" i="1"/>
  <c r="D328" i="1" s="1"/>
  <c r="B329" i="1"/>
  <c r="C329" i="1"/>
  <c r="D329" i="1" s="1"/>
  <c r="B330" i="1"/>
  <c r="C330" i="1"/>
  <c r="D330" i="1" s="1"/>
  <c r="B331" i="1"/>
  <c r="C331" i="1"/>
  <c r="D331" i="1" s="1"/>
  <c r="B332" i="1"/>
  <c r="C332" i="1"/>
  <c r="D332" i="1" s="1"/>
  <c r="B333" i="1"/>
  <c r="C333" i="1"/>
  <c r="D333" i="1" s="1"/>
  <c r="B334" i="1"/>
  <c r="C334" i="1"/>
  <c r="D334" i="1" s="1"/>
  <c r="B335" i="1"/>
  <c r="C335" i="1"/>
  <c r="D335" i="1" s="1"/>
  <c r="B336" i="1"/>
  <c r="C336" i="1"/>
  <c r="D336" i="1"/>
  <c r="B337" i="1"/>
  <c r="C337" i="1"/>
  <c r="D337" i="1" s="1"/>
  <c r="B338" i="1"/>
  <c r="C338" i="1"/>
  <c r="D338" i="1" s="1"/>
  <c r="B339" i="1"/>
  <c r="C339" i="1"/>
  <c r="D339" i="1" s="1"/>
  <c r="B340" i="1"/>
  <c r="C340" i="1"/>
  <c r="D340" i="1" s="1"/>
  <c r="B341" i="1"/>
  <c r="C341" i="1"/>
  <c r="D341" i="1"/>
  <c r="B342" i="1"/>
  <c r="C342" i="1"/>
  <c r="D342" i="1" s="1"/>
  <c r="B343" i="1"/>
  <c r="C343" i="1"/>
  <c r="D343" i="1" s="1"/>
  <c r="B344" i="1"/>
  <c r="C344" i="1"/>
  <c r="D344" i="1" s="1"/>
  <c r="B345" i="1"/>
  <c r="C345" i="1"/>
  <c r="D345" i="1" s="1"/>
  <c r="B346" i="1"/>
  <c r="C346" i="1"/>
  <c r="D346" i="1" s="1"/>
  <c r="B347" i="1"/>
  <c r="C347" i="1"/>
  <c r="D347" i="1" s="1"/>
  <c r="B348" i="1"/>
  <c r="C348" i="1"/>
  <c r="D348" i="1" s="1"/>
  <c r="B349" i="1"/>
  <c r="C349" i="1"/>
  <c r="D349" i="1"/>
  <c r="B350" i="1"/>
  <c r="C350" i="1"/>
  <c r="D350" i="1" s="1"/>
  <c r="B351" i="1"/>
  <c r="C351" i="1"/>
  <c r="D351" i="1" s="1"/>
  <c r="B352" i="1"/>
  <c r="C352" i="1"/>
  <c r="D352" i="1" s="1"/>
  <c r="B353" i="1"/>
  <c r="C353" i="1"/>
  <c r="D353" i="1" s="1"/>
  <c r="B354" i="1"/>
  <c r="C354" i="1"/>
  <c r="D354" i="1"/>
  <c r="B355" i="1"/>
  <c r="C355" i="1"/>
  <c r="D355" i="1" s="1"/>
  <c r="B356" i="1"/>
  <c r="C356" i="1"/>
  <c r="D356" i="1" s="1"/>
  <c r="B357" i="1"/>
  <c r="C357" i="1"/>
  <c r="D357" i="1" s="1"/>
  <c r="B358" i="1"/>
  <c r="C358" i="1"/>
  <c r="D358" i="1" s="1"/>
  <c r="B359" i="1"/>
  <c r="C359" i="1"/>
  <c r="D359" i="1" s="1"/>
  <c r="B360" i="1"/>
  <c r="C360" i="1"/>
  <c r="D360" i="1" s="1"/>
  <c r="B361" i="1"/>
  <c r="C361" i="1"/>
  <c r="D361" i="1"/>
  <c r="B362" i="1"/>
  <c r="C362" i="1"/>
  <c r="D362" i="1" s="1"/>
  <c r="B363" i="1"/>
  <c r="C363" i="1"/>
  <c r="D363" i="1" s="1"/>
  <c r="B364" i="1"/>
  <c r="C364" i="1"/>
  <c r="D364" i="1" s="1"/>
  <c r="B365" i="1"/>
  <c r="C365" i="1"/>
  <c r="D365" i="1"/>
  <c r="B366" i="1"/>
  <c r="C366" i="1"/>
  <c r="D366" i="1"/>
  <c r="B367" i="1"/>
  <c r="C367" i="1"/>
  <c r="D367" i="1" s="1"/>
  <c r="B368" i="1"/>
  <c r="C368" i="1"/>
  <c r="D368" i="1" s="1"/>
  <c r="B369" i="1"/>
  <c r="C369" i="1"/>
  <c r="D369" i="1" s="1"/>
  <c r="B370" i="1"/>
  <c r="C370" i="1"/>
  <c r="D370" i="1"/>
  <c r="B371" i="1"/>
  <c r="C371" i="1"/>
  <c r="D371" i="1" s="1"/>
  <c r="B372" i="1"/>
  <c r="C372" i="1"/>
  <c r="D372" i="1" s="1"/>
  <c r="B373" i="1"/>
  <c r="C373" i="1"/>
  <c r="D373" i="1" s="1"/>
  <c r="B374" i="1"/>
  <c r="C374" i="1"/>
  <c r="D374" i="1" s="1"/>
  <c r="B375" i="1"/>
  <c r="C375" i="1"/>
  <c r="D375" i="1" s="1"/>
  <c r="B376" i="1"/>
  <c r="C376" i="1"/>
  <c r="D376" i="1" s="1"/>
  <c r="B377" i="1"/>
  <c r="C377" i="1"/>
  <c r="D377" i="1"/>
  <c r="B378" i="1"/>
  <c r="C378" i="1"/>
  <c r="D378" i="1" s="1"/>
  <c r="B379" i="1"/>
  <c r="C379" i="1"/>
  <c r="D379" i="1" s="1"/>
  <c r="B380" i="1"/>
  <c r="C380" i="1"/>
  <c r="D380" i="1" s="1"/>
  <c r="B381" i="1"/>
  <c r="C381" i="1"/>
  <c r="D381" i="1" s="1"/>
  <c r="B382" i="1"/>
  <c r="C382" i="1"/>
  <c r="D382" i="1" s="1"/>
  <c r="B383" i="1"/>
  <c r="C383" i="1"/>
  <c r="D383" i="1" s="1"/>
  <c r="B384" i="1"/>
  <c r="C384" i="1"/>
  <c r="D384" i="1" s="1"/>
  <c r="B385" i="1"/>
  <c r="C385" i="1"/>
  <c r="D385" i="1"/>
  <c r="B386" i="1"/>
  <c r="C386" i="1"/>
  <c r="D386" i="1" s="1"/>
  <c r="B387" i="1"/>
  <c r="C387" i="1"/>
  <c r="D387" i="1" s="1"/>
  <c r="B388" i="1"/>
  <c r="C388" i="1"/>
  <c r="D388" i="1" s="1"/>
  <c r="B389" i="1"/>
  <c r="C389" i="1"/>
  <c r="D389" i="1" s="1"/>
  <c r="B390" i="1"/>
  <c r="C390" i="1"/>
  <c r="D390" i="1" s="1"/>
  <c r="B391" i="1"/>
  <c r="C391" i="1"/>
  <c r="D391" i="1" s="1"/>
  <c r="B392" i="1"/>
  <c r="C392" i="1"/>
  <c r="D392" i="1"/>
  <c r="B393" i="1"/>
  <c r="C393" i="1"/>
  <c r="D393" i="1" s="1"/>
  <c r="B394" i="1"/>
  <c r="C394" i="1"/>
  <c r="D394" i="1" s="1"/>
  <c r="B395" i="1"/>
  <c r="C395" i="1"/>
  <c r="D395" i="1" s="1"/>
  <c r="B396" i="1"/>
  <c r="C396" i="1"/>
  <c r="D396" i="1" s="1"/>
  <c r="B397" i="1"/>
  <c r="C397" i="1"/>
  <c r="D397" i="1"/>
  <c r="B398" i="1"/>
  <c r="C398" i="1"/>
  <c r="D398" i="1" s="1"/>
  <c r="B399" i="1"/>
  <c r="C399" i="1"/>
  <c r="D399" i="1" s="1"/>
  <c r="B400" i="1"/>
  <c r="C400" i="1"/>
  <c r="D400" i="1" s="1"/>
  <c r="B401" i="1"/>
  <c r="C401" i="1"/>
  <c r="D401" i="1" s="1"/>
  <c r="B402" i="1"/>
  <c r="C402" i="1"/>
  <c r="D402" i="1"/>
  <c r="B403" i="1"/>
  <c r="C403" i="1"/>
  <c r="D403" i="1" s="1"/>
  <c r="B404" i="1"/>
  <c r="C404" i="1"/>
  <c r="D404" i="1" s="1"/>
  <c r="B405" i="1"/>
  <c r="C405" i="1"/>
  <c r="D405" i="1"/>
  <c r="B406" i="1"/>
  <c r="C406" i="1"/>
  <c r="D406" i="1" s="1"/>
  <c r="B407" i="1"/>
  <c r="C407" i="1"/>
  <c r="D407" i="1" s="1"/>
  <c r="B408" i="1"/>
  <c r="C408" i="1"/>
  <c r="D408" i="1" s="1"/>
  <c r="B409" i="1"/>
  <c r="C409" i="1"/>
  <c r="D409" i="1"/>
  <c r="B410" i="1"/>
  <c r="C410" i="1"/>
  <c r="D410" i="1" s="1"/>
  <c r="B411" i="1"/>
  <c r="C411" i="1"/>
  <c r="D411" i="1" s="1"/>
  <c r="B412" i="1"/>
  <c r="C412" i="1"/>
  <c r="D412" i="1"/>
  <c r="B413" i="1"/>
  <c r="C413" i="1"/>
  <c r="D413" i="1"/>
  <c r="B414" i="1"/>
  <c r="C414" i="1"/>
  <c r="D414" i="1"/>
  <c r="B415" i="1"/>
  <c r="C415" i="1"/>
  <c r="D415" i="1" s="1"/>
  <c r="B416" i="1"/>
  <c r="C416" i="1"/>
  <c r="D416" i="1" s="1"/>
  <c r="B417" i="1"/>
  <c r="C417" i="1"/>
  <c r="D417" i="1" s="1"/>
  <c r="B418" i="1"/>
  <c r="C418" i="1"/>
  <c r="D418" i="1"/>
  <c r="B419" i="1"/>
  <c r="C419" i="1"/>
  <c r="D419" i="1" s="1"/>
  <c r="B420" i="1"/>
  <c r="C420" i="1"/>
  <c r="D420" i="1" s="1"/>
  <c r="B421" i="1"/>
  <c r="C421" i="1"/>
  <c r="D421" i="1" s="1"/>
  <c r="B422" i="1"/>
  <c r="C422" i="1"/>
  <c r="D422" i="1"/>
  <c r="B423" i="1"/>
  <c r="C423" i="1"/>
  <c r="D423" i="1" s="1"/>
  <c r="B424" i="1"/>
  <c r="C424" i="1"/>
  <c r="D424" i="1" s="1"/>
  <c r="B425" i="1"/>
  <c r="C425" i="1"/>
  <c r="D425" i="1" s="1"/>
  <c r="B426" i="1"/>
  <c r="C426" i="1"/>
  <c r="D426" i="1" s="1"/>
  <c r="B427" i="1"/>
  <c r="C427" i="1"/>
  <c r="D427" i="1" s="1"/>
  <c r="B428" i="1"/>
  <c r="C428" i="1"/>
  <c r="D428" i="1" s="1"/>
  <c r="B429" i="1"/>
  <c r="C429" i="1"/>
  <c r="D429" i="1" s="1"/>
  <c r="B430" i="1"/>
  <c r="C430" i="1"/>
  <c r="D430" i="1" s="1"/>
  <c r="B431" i="1"/>
  <c r="C431" i="1"/>
  <c r="D431" i="1" s="1"/>
  <c r="B432" i="1"/>
  <c r="C432" i="1"/>
  <c r="D432" i="1" s="1"/>
  <c r="B433" i="1"/>
  <c r="C433" i="1"/>
  <c r="D433" i="1" s="1"/>
  <c r="B434" i="1"/>
  <c r="C434" i="1"/>
  <c r="D434" i="1" s="1"/>
  <c r="B435" i="1"/>
  <c r="C435" i="1"/>
  <c r="D435" i="1" s="1"/>
  <c r="B436" i="1"/>
  <c r="C436" i="1"/>
  <c r="D436" i="1" s="1"/>
  <c r="B437" i="1"/>
  <c r="C437" i="1"/>
  <c r="D437" i="1" s="1"/>
  <c r="B438" i="1"/>
  <c r="C438" i="1"/>
  <c r="D438" i="1"/>
  <c r="B439" i="1"/>
  <c r="C439" i="1"/>
  <c r="D439" i="1" s="1"/>
  <c r="B440" i="1"/>
  <c r="C440" i="1"/>
  <c r="D440" i="1" s="1"/>
  <c r="B441" i="1"/>
  <c r="C441" i="1"/>
  <c r="D441" i="1" s="1"/>
  <c r="B442" i="1"/>
  <c r="C442" i="1"/>
  <c r="D442" i="1" s="1"/>
  <c r="B443" i="1"/>
  <c r="C443" i="1"/>
  <c r="D443" i="1" s="1"/>
  <c r="B444" i="1"/>
  <c r="C444" i="1"/>
  <c r="D444" i="1" s="1"/>
  <c r="B445" i="1"/>
  <c r="C445" i="1"/>
  <c r="D445" i="1" s="1"/>
  <c r="B446" i="1"/>
  <c r="C446" i="1"/>
  <c r="D446" i="1"/>
  <c r="B447" i="1"/>
  <c r="C447" i="1"/>
  <c r="D447" i="1" s="1"/>
  <c r="B448" i="1"/>
  <c r="C448" i="1"/>
  <c r="D448" i="1" s="1"/>
  <c r="B449" i="1"/>
  <c r="C449" i="1"/>
  <c r="D449" i="1" s="1"/>
  <c r="B450" i="1"/>
  <c r="C450" i="1"/>
  <c r="D450" i="1"/>
  <c r="B451" i="1"/>
  <c r="C451" i="1"/>
  <c r="D451" i="1" s="1"/>
  <c r="B452" i="1"/>
  <c r="C452" i="1"/>
  <c r="D452" i="1" s="1"/>
  <c r="B453" i="1"/>
  <c r="C453" i="1"/>
  <c r="D453" i="1" s="1"/>
  <c r="B454" i="1"/>
  <c r="C454" i="1"/>
  <c r="D454" i="1" s="1"/>
  <c r="B455" i="1"/>
  <c r="C455" i="1"/>
  <c r="D455" i="1" s="1"/>
  <c r="B456" i="1"/>
  <c r="C456" i="1"/>
  <c r="D456" i="1"/>
  <c r="B457" i="1"/>
  <c r="C457" i="1"/>
  <c r="D457" i="1"/>
  <c r="B458" i="1"/>
  <c r="C458" i="1"/>
  <c r="D458" i="1" s="1"/>
  <c r="B459" i="1"/>
  <c r="C459" i="1"/>
  <c r="D459" i="1" s="1"/>
  <c r="B460" i="1"/>
  <c r="C460" i="1"/>
  <c r="D460" i="1"/>
  <c r="B461" i="1"/>
  <c r="C461" i="1"/>
  <c r="D461" i="1" s="1"/>
  <c r="B462" i="1"/>
  <c r="C462" i="1"/>
  <c r="D462" i="1"/>
  <c r="B463" i="1"/>
  <c r="C463" i="1"/>
  <c r="D463" i="1" s="1"/>
  <c r="B464" i="1"/>
  <c r="C464" i="1"/>
  <c r="D464" i="1" s="1"/>
  <c r="B465" i="1"/>
  <c r="C465" i="1"/>
  <c r="D465" i="1" s="1"/>
  <c r="B466" i="1"/>
  <c r="C466" i="1"/>
  <c r="D466" i="1" s="1"/>
  <c r="B467" i="1"/>
  <c r="C467" i="1"/>
  <c r="D467" i="1" s="1"/>
  <c r="B468" i="1"/>
  <c r="C468" i="1"/>
  <c r="D468" i="1"/>
  <c r="B469" i="1"/>
  <c r="C469" i="1"/>
  <c r="D469" i="1" s="1"/>
  <c r="B470" i="1"/>
  <c r="C470" i="1"/>
  <c r="D470" i="1" s="1"/>
  <c r="B471" i="1"/>
  <c r="C471" i="1"/>
  <c r="D471" i="1" s="1"/>
  <c r="B472" i="1"/>
  <c r="C472" i="1"/>
  <c r="D472" i="1" s="1"/>
  <c r="B473" i="1"/>
  <c r="C473" i="1"/>
  <c r="D473" i="1" s="1"/>
  <c r="B474" i="1"/>
  <c r="C474" i="1"/>
  <c r="D474" i="1" s="1"/>
  <c r="B475" i="1"/>
  <c r="C475" i="1"/>
  <c r="D475" i="1" s="1"/>
  <c r="B476" i="1"/>
  <c r="C476" i="1"/>
  <c r="D476" i="1" s="1"/>
  <c r="B477" i="1"/>
  <c r="C477" i="1"/>
  <c r="D477" i="1" s="1"/>
  <c r="B478" i="1"/>
  <c r="C478" i="1"/>
  <c r="D478" i="1" s="1"/>
  <c r="B479" i="1"/>
  <c r="C479" i="1"/>
  <c r="D479" i="1" s="1"/>
  <c r="B480" i="1"/>
  <c r="C480" i="1"/>
  <c r="D480" i="1" s="1"/>
  <c r="B481" i="1"/>
  <c r="C481" i="1"/>
  <c r="D481" i="1" s="1"/>
  <c r="B482" i="1"/>
  <c r="C482" i="1"/>
  <c r="D482" i="1" s="1"/>
  <c r="B483" i="1"/>
  <c r="C483" i="1"/>
  <c r="D483" i="1" s="1"/>
  <c r="B484" i="1"/>
  <c r="C484" i="1"/>
  <c r="D484" i="1"/>
  <c r="B485" i="1"/>
  <c r="C485" i="1"/>
  <c r="D485" i="1" s="1"/>
  <c r="B486" i="1"/>
  <c r="C486" i="1"/>
  <c r="D486" i="1" s="1"/>
  <c r="B487" i="1"/>
  <c r="C487" i="1"/>
  <c r="D487" i="1" s="1"/>
  <c r="B488" i="1"/>
  <c r="C488" i="1"/>
  <c r="D488" i="1"/>
  <c r="B489" i="1"/>
  <c r="C489" i="1"/>
  <c r="D489" i="1"/>
  <c r="B490" i="1"/>
  <c r="C490" i="1"/>
  <c r="D490" i="1" s="1"/>
  <c r="B491" i="1"/>
  <c r="C491" i="1"/>
  <c r="D491" i="1" s="1"/>
  <c r="B492" i="1"/>
  <c r="C492" i="1"/>
  <c r="D492" i="1" s="1"/>
  <c r="B493" i="1"/>
  <c r="C493" i="1"/>
  <c r="D493" i="1"/>
  <c r="B494" i="1"/>
  <c r="C494" i="1"/>
  <c r="D494" i="1" s="1"/>
  <c r="B495" i="1"/>
  <c r="C495" i="1"/>
  <c r="D495" i="1" s="1"/>
  <c r="B496" i="1"/>
  <c r="C496" i="1"/>
  <c r="D496" i="1" s="1"/>
  <c r="B497" i="1"/>
  <c r="C497" i="1"/>
  <c r="D497" i="1" s="1"/>
  <c r="B498" i="1"/>
  <c r="C498" i="1"/>
  <c r="D498" i="1"/>
  <c r="B499" i="1"/>
  <c r="C499" i="1"/>
  <c r="D499" i="1" s="1"/>
  <c r="B500" i="1"/>
  <c r="C500" i="1"/>
  <c r="D500" i="1" s="1"/>
  <c r="B501" i="1"/>
  <c r="C501" i="1"/>
  <c r="D501" i="1" s="1"/>
  <c r="B502" i="1"/>
  <c r="C502" i="1"/>
  <c r="D502" i="1" s="1"/>
  <c r="B503" i="1"/>
  <c r="C503" i="1"/>
  <c r="D503" i="1" s="1"/>
  <c r="B504" i="1"/>
  <c r="C504" i="1"/>
  <c r="D504" i="1" s="1"/>
  <c r="B505" i="1"/>
  <c r="C505" i="1"/>
  <c r="D505" i="1" s="1"/>
  <c r="B506" i="1"/>
  <c r="C506" i="1"/>
  <c r="D506" i="1" s="1"/>
  <c r="B507" i="1"/>
  <c r="C507" i="1"/>
  <c r="D507" i="1" s="1"/>
  <c r="B508" i="1"/>
  <c r="C508" i="1"/>
  <c r="D508" i="1" s="1"/>
  <c r="B509" i="1"/>
  <c r="C509" i="1"/>
  <c r="D509" i="1"/>
  <c r="B510" i="1"/>
  <c r="C510" i="1"/>
  <c r="D510" i="1" s="1"/>
  <c r="B511" i="1"/>
  <c r="C511" i="1"/>
  <c r="D511" i="1" s="1"/>
  <c r="B512" i="1"/>
  <c r="C512" i="1"/>
  <c r="D512" i="1" s="1"/>
  <c r="B513" i="1"/>
  <c r="C513" i="1"/>
  <c r="D513" i="1" s="1"/>
  <c r="B514" i="1"/>
  <c r="C514" i="1"/>
  <c r="D514" i="1" s="1"/>
  <c r="B515" i="1"/>
  <c r="C515" i="1"/>
  <c r="D515" i="1" s="1"/>
  <c r="B516" i="1"/>
  <c r="C516" i="1"/>
  <c r="D516" i="1"/>
  <c r="B517" i="1"/>
  <c r="C517" i="1"/>
  <c r="D517" i="1" s="1"/>
  <c r="B518" i="1"/>
  <c r="C518" i="1"/>
  <c r="D518" i="1" s="1"/>
  <c r="B519" i="1"/>
  <c r="C519" i="1"/>
  <c r="D519" i="1" s="1"/>
  <c r="B520" i="1"/>
  <c r="C520" i="1"/>
  <c r="D520" i="1" s="1"/>
  <c r="B521" i="1"/>
  <c r="C521" i="1"/>
  <c r="D521" i="1" s="1"/>
  <c r="B522" i="1"/>
  <c r="C522" i="1"/>
  <c r="D522" i="1"/>
  <c r="B523" i="1"/>
  <c r="C523" i="1"/>
  <c r="D523" i="1" s="1"/>
  <c r="B524" i="1"/>
  <c r="C524" i="1"/>
  <c r="D524" i="1" s="1"/>
  <c r="B525" i="1"/>
  <c r="C525" i="1"/>
  <c r="D525" i="1" s="1"/>
  <c r="B526" i="1"/>
  <c r="C526" i="1"/>
  <c r="D526" i="1" s="1"/>
  <c r="B527" i="1"/>
  <c r="C527" i="1"/>
  <c r="D527" i="1" s="1"/>
  <c r="B528" i="1"/>
  <c r="C528" i="1"/>
  <c r="D528" i="1"/>
  <c r="B529" i="1"/>
  <c r="C529" i="1"/>
  <c r="D529" i="1" s="1"/>
  <c r="B530" i="1"/>
  <c r="C530" i="1"/>
  <c r="D530" i="1" s="1"/>
  <c r="B531" i="1"/>
  <c r="C531" i="1"/>
  <c r="D531" i="1" s="1"/>
  <c r="B532" i="1"/>
  <c r="C532" i="1"/>
  <c r="D532" i="1" s="1"/>
  <c r="B533" i="1"/>
  <c r="C533" i="1"/>
  <c r="D533" i="1"/>
  <c r="B534" i="1"/>
  <c r="C534" i="1"/>
  <c r="D534" i="1" s="1"/>
  <c r="B535" i="1"/>
  <c r="C535" i="1"/>
  <c r="D535" i="1" s="1"/>
  <c r="B536" i="1"/>
  <c r="C536" i="1"/>
  <c r="D536" i="1"/>
  <c r="B537" i="1"/>
  <c r="C537" i="1"/>
  <c r="D537" i="1" s="1"/>
  <c r="B538" i="1"/>
  <c r="C538" i="1"/>
  <c r="D538" i="1" s="1"/>
  <c r="B539" i="1"/>
  <c r="C539" i="1"/>
  <c r="D539" i="1" s="1"/>
  <c r="B540" i="1"/>
  <c r="C540" i="1"/>
  <c r="D540" i="1" s="1"/>
  <c r="B541" i="1"/>
  <c r="C541" i="1"/>
  <c r="D541" i="1" s="1"/>
  <c r="B542" i="1"/>
  <c r="C542" i="1"/>
  <c r="D542" i="1"/>
  <c r="B543" i="1"/>
  <c r="C543" i="1"/>
  <c r="D543" i="1" s="1"/>
  <c r="B544" i="1"/>
  <c r="C544" i="1"/>
  <c r="D544" i="1" s="1"/>
  <c r="B545" i="1"/>
  <c r="C545" i="1"/>
  <c r="D545" i="1" s="1"/>
  <c r="B546" i="1"/>
  <c r="C546" i="1"/>
  <c r="D546" i="1" s="1"/>
  <c r="B547" i="1"/>
  <c r="C547" i="1"/>
  <c r="D547" i="1" s="1"/>
  <c r="B548" i="1"/>
  <c r="C548" i="1"/>
  <c r="D548" i="1" s="1"/>
  <c r="B549" i="1"/>
  <c r="C549" i="1"/>
  <c r="D549" i="1" s="1"/>
  <c r="B550" i="1"/>
  <c r="C550" i="1"/>
  <c r="D550" i="1" s="1"/>
  <c r="B551" i="1"/>
  <c r="C551" i="1"/>
  <c r="D551" i="1" s="1"/>
  <c r="B552" i="1"/>
  <c r="C552" i="1"/>
  <c r="D552" i="1" s="1"/>
  <c r="B553" i="1"/>
  <c r="C553" i="1"/>
  <c r="D553" i="1" s="1"/>
  <c r="B554" i="1"/>
  <c r="C554" i="1"/>
  <c r="D554" i="1" s="1"/>
  <c r="B555" i="1"/>
  <c r="C555" i="1"/>
  <c r="D555" i="1" s="1"/>
  <c r="B556" i="1"/>
  <c r="C556" i="1"/>
  <c r="D556" i="1" s="1"/>
  <c r="B557" i="1"/>
  <c r="C557" i="1"/>
  <c r="D557" i="1"/>
  <c r="B558" i="1"/>
  <c r="C558" i="1"/>
  <c r="D558" i="1" s="1"/>
  <c r="B559" i="1"/>
  <c r="C559" i="1"/>
  <c r="D559" i="1" s="1"/>
  <c r="B560" i="1"/>
  <c r="C560" i="1"/>
  <c r="D560" i="1" s="1"/>
  <c r="B561" i="1"/>
  <c r="C561" i="1"/>
  <c r="D561" i="1" s="1"/>
  <c r="B562" i="1"/>
  <c r="C562" i="1"/>
  <c r="D562" i="1" s="1"/>
  <c r="B563" i="1"/>
  <c r="C563" i="1"/>
  <c r="D563" i="1" s="1"/>
  <c r="B564" i="1"/>
  <c r="C564" i="1"/>
  <c r="D564" i="1" s="1"/>
  <c r="B565" i="1"/>
  <c r="C565" i="1"/>
  <c r="D565" i="1" s="1"/>
  <c r="B566" i="1"/>
  <c r="C566" i="1"/>
  <c r="D566" i="1" s="1"/>
  <c r="B567" i="1"/>
  <c r="C567" i="1"/>
  <c r="D567" i="1" s="1"/>
  <c r="B568" i="1"/>
  <c r="C568" i="1"/>
  <c r="D568" i="1" s="1"/>
  <c r="B569" i="1"/>
  <c r="C569" i="1"/>
  <c r="D569" i="1"/>
  <c r="B570" i="1"/>
  <c r="C570" i="1"/>
  <c r="D570" i="1" s="1"/>
  <c r="B571" i="1"/>
  <c r="C571" i="1"/>
  <c r="D571" i="1" s="1"/>
  <c r="B572" i="1"/>
  <c r="C572" i="1"/>
  <c r="D572" i="1" s="1"/>
  <c r="B573" i="1"/>
  <c r="C573" i="1"/>
  <c r="D573" i="1" s="1"/>
  <c r="B574" i="1"/>
  <c r="C574" i="1"/>
  <c r="D574" i="1" s="1"/>
  <c r="B575" i="1"/>
  <c r="C575" i="1"/>
  <c r="D575" i="1" s="1"/>
  <c r="B576" i="1"/>
  <c r="C576" i="1"/>
  <c r="D576" i="1" s="1"/>
  <c r="B577" i="1"/>
  <c r="C577" i="1"/>
  <c r="D577" i="1" s="1"/>
  <c r="B578" i="1"/>
  <c r="C578" i="1"/>
  <c r="D578" i="1" s="1"/>
  <c r="B579" i="1"/>
  <c r="C579" i="1"/>
  <c r="D579" i="1" s="1"/>
  <c r="B580" i="1"/>
  <c r="C580" i="1"/>
  <c r="D580" i="1" s="1"/>
  <c r="B581" i="1"/>
  <c r="C581" i="1"/>
  <c r="D581" i="1"/>
  <c r="B582" i="1"/>
  <c r="C582" i="1"/>
  <c r="D582" i="1" s="1"/>
  <c r="B583" i="1"/>
  <c r="C583" i="1"/>
  <c r="D583" i="1" s="1"/>
  <c r="B584" i="1"/>
  <c r="C584" i="1"/>
  <c r="D584" i="1" s="1"/>
  <c r="B585" i="1"/>
  <c r="C585" i="1"/>
  <c r="D585" i="1" s="1"/>
  <c r="B586" i="1"/>
  <c r="C586" i="1"/>
  <c r="D586" i="1" s="1"/>
  <c r="B587" i="1"/>
  <c r="C587" i="1"/>
  <c r="D587" i="1" s="1"/>
  <c r="B588" i="1"/>
  <c r="C588" i="1"/>
  <c r="D588" i="1" s="1"/>
  <c r="B589" i="1"/>
  <c r="C589" i="1"/>
  <c r="D589" i="1"/>
  <c r="B590" i="1"/>
  <c r="C590" i="1"/>
  <c r="D590" i="1" s="1"/>
  <c r="B591" i="1"/>
  <c r="C591" i="1"/>
  <c r="D591" i="1" s="1"/>
  <c r="B592" i="1"/>
  <c r="C592" i="1"/>
  <c r="D592" i="1" s="1"/>
  <c r="B593" i="1"/>
  <c r="C593" i="1"/>
  <c r="D593" i="1" s="1"/>
  <c r="B594" i="1"/>
  <c r="C594" i="1"/>
  <c r="D594" i="1"/>
  <c r="B595" i="1"/>
  <c r="C595" i="1"/>
  <c r="D595" i="1" s="1"/>
  <c r="B596" i="1"/>
  <c r="C596" i="1"/>
  <c r="D596" i="1" s="1"/>
  <c r="B597" i="1"/>
  <c r="C597" i="1"/>
  <c r="D597" i="1" s="1"/>
  <c r="B598" i="1"/>
  <c r="C598" i="1"/>
  <c r="D598" i="1"/>
  <c r="B599" i="1"/>
  <c r="C599" i="1"/>
  <c r="D599" i="1" s="1"/>
  <c r="B600" i="1"/>
  <c r="C600" i="1"/>
  <c r="D600" i="1" s="1"/>
  <c r="B601" i="1"/>
  <c r="C601" i="1"/>
  <c r="D601" i="1" s="1"/>
  <c r="B602" i="1"/>
  <c r="C602" i="1"/>
  <c r="D602" i="1" s="1"/>
  <c r="B603" i="1"/>
  <c r="C603" i="1"/>
  <c r="D603" i="1" s="1"/>
  <c r="B604" i="1"/>
  <c r="C604" i="1"/>
  <c r="D604" i="1"/>
  <c r="B605" i="1"/>
  <c r="C605" i="1"/>
  <c r="D605" i="1" s="1"/>
  <c r="B606" i="1"/>
  <c r="C606" i="1"/>
  <c r="D606" i="1" s="1"/>
  <c r="B607" i="1"/>
  <c r="C607" i="1"/>
  <c r="D607" i="1"/>
  <c r="B608" i="1"/>
  <c r="C608" i="1"/>
  <c r="D608" i="1" s="1"/>
  <c r="B609" i="1"/>
  <c r="C609" i="1"/>
  <c r="D609" i="1"/>
  <c r="B610" i="1"/>
  <c r="C610" i="1"/>
  <c r="D610" i="1" s="1"/>
  <c r="B611" i="1"/>
  <c r="C611" i="1"/>
  <c r="D611" i="1" s="1"/>
  <c r="B612" i="1"/>
  <c r="C612" i="1"/>
  <c r="D612" i="1"/>
  <c r="B613" i="1"/>
  <c r="C613" i="1"/>
  <c r="D613" i="1" s="1"/>
  <c r="B614" i="1"/>
  <c r="C614" i="1"/>
  <c r="D614" i="1" s="1"/>
  <c r="B615" i="1"/>
  <c r="C615" i="1"/>
  <c r="D615" i="1"/>
  <c r="B616" i="1"/>
  <c r="C616" i="1"/>
  <c r="D616" i="1" s="1"/>
  <c r="B617" i="1"/>
  <c r="C617" i="1"/>
  <c r="D617" i="1"/>
  <c r="B618" i="1"/>
  <c r="C618" i="1"/>
  <c r="D618" i="1" s="1"/>
  <c r="B619" i="1"/>
  <c r="C619" i="1"/>
  <c r="D619" i="1" s="1"/>
  <c r="B620" i="1"/>
  <c r="C620" i="1"/>
  <c r="D620" i="1"/>
  <c r="B621" i="1"/>
  <c r="C621" i="1"/>
  <c r="D621" i="1" s="1"/>
  <c r="B622" i="1"/>
  <c r="C622" i="1"/>
  <c r="D622" i="1" s="1"/>
  <c r="B623" i="1"/>
  <c r="C623" i="1"/>
  <c r="D623" i="1" s="1"/>
  <c r="B624" i="1"/>
  <c r="C624" i="1"/>
  <c r="D624" i="1" s="1"/>
  <c r="B625" i="1"/>
  <c r="C625" i="1"/>
  <c r="D625" i="1"/>
  <c r="B626" i="1"/>
  <c r="C626" i="1"/>
  <c r="D626" i="1" s="1"/>
  <c r="B627" i="1"/>
  <c r="C627" i="1"/>
  <c r="D627" i="1" s="1"/>
  <c r="B628" i="1"/>
  <c r="C628" i="1"/>
  <c r="D628" i="1" s="1"/>
  <c r="B629" i="1"/>
  <c r="C629" i="1"/>
  <c r="D629" i="1" s="1"/>
  <c r="B630" i="1"/>
  <c r="C630" i="1"/>
  <c r="D630" i="1" s="1"/>
  <c r="B631" i="1"/>
  <c r="C631" i="1"/>
  <c r="D631" i="1"/>
  <c r="B632" i="1"/>
  <c r="C632" i="1"/>
  <c r="D632" i="1" s="1"/>
  <c r="B633" i="1"/>
  <c r="C633" i="1"/>
  <c r="D633" i="1" s="1"/>
  <c r="B634" i="1"/>
  <c r="C634" i="1"/>
  <c r="D634" i="1" s="1"/>
  <c r="B635" i="1"/>
  <c r="C635" i="1"/>
  <c r="D635" i="1" s="1"/>
  <c r="B636" i="1"/>
  <c r="C636" i="1"/>
  <c r="D636" i="1" s="1"/>
  <c r="B637" i="1"/>
  <c r="C637" i="1"/>
  <c r="D637" i="1" s="1"/>
  <c r="B638" i="1"/>
  <c r="C638" i="1"/>
  <c r="D638" i="1" s="1"/>
  <c r="B639" i="1"/>
  <c r="C639" i="1"/>
  <c r="D639" i="1"/>
  <c r="B640" i="1"/>
  <c r="C640" i="1"/>
  <c r="D640" i="1" s="1"/>
  <c r="B641" i="1"/>
  <c r="C641" i="1"/>
  <c r="D641" i="1" s="1"/>
  <c r="B642" i="1"/>
  <c r="C642" i="1"/>
  <c r="D642" i="1" s="1"/>
  <c r="B643" i="1"/>
  <c r="C643" i="1"/>
  <c r="D643" i="1"/>
  <c r="B644" i="1"/>
  <c r="C644" i="1"/>
  <c r="D644" i="1"/>
  <c r="B645" i="1"/>
  <c r="C645" i="1"/>
  <c r="D645" i="1" s="1"/>
  <c r="B646" i="1"/>
  <c r="C646" i="1"/>
  <c r="D646" i="1" s="1"/>
  <c r="B647" i="1"/>
  <c r="C647" i="1"/>
  <c r="D647" i="1"/>
  <c r="B648" i="1"/>
  <c r="C648" i="1"/>
  <c r="D648" i="1" s="1"/>
  <c r="B649" i="1"/>
  <c r="C649" i="1"/>
  <c r="D649" i="1" s="1"/>
  <c r="B650" i="1"/>
  <c r="C650" i="1"/>
  <c r="D650" i="1" s="1"/>
  <c r="B651" i="1"/>
  <c r="C651" i="1"/>
  <c r="D651" i="1" s="1"/>
  <c r="B652" i="1"/>
  <c r="C652" i="1"/>
  <c r="D652" i="1" s="1"/>
  <c r="B653" i="1"/>
  <c r="C653" i="1"/>
  <c r="D653" i="1" s="1"/>
  <c r="B654" i="1"/>
  <c r="C654" i="1"/>
  <c r="D654" i="1" s="1"/>
  <c r="B655" i="1"/>
  <c r="C655" i="1"/>
  <c r="D655" i="1"/>
  <c r="B656" i="1"/>
  <c r="C656" i="1"/>
  <c r="D656" i="1" s="1"/>
  <c r="B657" i="1"/>
  <c r="C657" i="1"/>
  <c r="D657" i="1"/>
  <c r="B658" i="1"/>
  <c r="C658" i="1"/>
  <c r="D658" i="1" s="1"/>
  <c r="B659" i="1"/>
  <c r="C659" i="1"/>
  <c r="D659" i="1" s="1"/>
  <c r="B660" i="1"/>
  <c r="C660" i="1"/>
  <c r="D660" i="1"/>
  <c r="B661" i="1"/>
  <c r="C661" i="1"/>
  <c r="D661" i="1" s="1"/>
  <c r="B662" i="1"/>
  <c r="C662" i="1"/>
  <c r="D662" i="1" s="1"/>
  <c r="B663" i="1"/>
  <c r="C663" i="1"/>
  <c r="D663" i="1"/>
  <c r="B664" i="1"/>
  <c r="C664" i="1"/>
  <c r="D664" i="1" s="1"/>
  <c r="B665" i="1"/>
  <c r="C665" i="1"/>
  <c r="D665" i="1"/>
  <c r="B666" i="1"/>
  <c r="C666" i="1"/>
  <c r="D666" i="1" s="1"/>
  <c r="B667" i="1"/>
  <c r="C667" i="1"/>
  <c r="D667" i="1" s="1"/>
  <c r="B668" i="1"/>
  <c r="C668" i="1"/>
  <c r="D668" i="1"/>
  <c r="B669" i="1"/>
  <c r="C669" i="1"/>
  <c r="D669" i="1"/>
  <c r="B670" i="1"/>
  <c r="C670" i="1"/>
  <c r="D670" i="1" s="1"/>
  <c r="B671" i="1"/>
  <c r="C671" i="1"/>
  <c r="D671" i="1" s="1"/>
  <c r="B672" i="1"/>
  <c r="C672" i="1"/>
  <c r="D672" i="1" s="1"/>
  <c r="B673" i="1"/>
  <c r="C673" i="1"/>
  <c r="D673" i="1"/>
  <c r="B674" i="1"/>
  <c r="C674" i="1"/>
  <c r="D674" i="1" s="1"/>
  <c r="B675" i="1"/>
  <c r="C675" i="1"/>
  <c r="D675" i="1" s="1"/>
  <c r="B676" i="1"/>
  <c r="C676" i="1"/>
  <c r="D676" i="1" s="1"/>
  <c r="B677" i="1"/>
  <c r="C677" i="1"/>
  <c r="D677" i="1" s="1"/>
  <c r="B678" i="1"/>
  <c r="C678" i="1"/>
  <c r="D678" i="1" s="1"/>
  <c r="B679" i="1"/>
  <c r="C679" i="1"/>
  <c r="D679" i="1"/>
  <c r="B680" i="1"/>
  <c r="C680" i="1"/>
  <c r="D680" i="1" s="1"/>
  <c r="B681" i="1"/>
  <c r="C681" i="1"/>
  <c r="D681" i="1" s="1"/>
  <c r="B682" i="1"/>
  <c r="C682" i="1"/>
  <c r="D682" i="1" s="1"/>
  <c r="B683" i="1"/>
  <c r="C683" i="1"/>
  <c r="D683" i="1" s="1"/>
  <c r="B684" i="1"/>
  <c r="C684" i="1"/>
  <c r="D684" i="1" s="1"/>
  <c r="B685" i="1"/>
  <c r="C685" i="1"/>
  <c r="D685" i="1" s="1"/>
  <c r="B686" i="1"/>
  <c r="C686" i="1"/>
  <c r="D686" i="1" s="1"/>
  <c r="B687" i="1"/>
  <c r="C687" i="1"/>
  <c r="D687" i="1"/>
  <c r="B688" i="1"/>
  <c r="C688" i="1"/>
  <c r="D688" i="1" s="1"/>
  <c r="B689" i="1"/>
  <c r="C689" i="1"/>
  <c r="D689" i="1" s="1"/>
  <c r="B690" i="1"/>
  <c r="C690" i="1"/>
  <c r="D690" i="1" s="1"/>
  <c r="B691" i="1"/>
  <c r="C691" i="1"/>
  <c r="D691" i="1"/>
  <c r="B692" i="1"/>
  <c r="C692" i="1"/>
  <c r="D692" i="1" s="1"/>
  <c r="B693" i="1"/>
  <c r="C693" i="1"/>
  <c r="D693" i="1" s="1"/>
  <c r="B694" i="1"/>
  <c r="C694" i="1"/>
  <c r="D694" i="1" s="1"/>
  <c r="B695" i="1"/>
  <c r="C695" i="1"/>
  <c r="D695" i="1"/>
  <c r="B696" i="1"/>
  <c r="C696" i="1"/>
  <c r="D696" i="1" s="1"/>
  <c r="B697" i="1"/>
  <c r="C697" i="1"/>
  <c r="D697" i="1" s="1"/>
  <c r="B698" i="1"/>
  <c r="C698" i="1"/>
  <c r="D698" i="1" s="1"/>
  <c r="B699" i="1"/>
  <c r="C699" i="1"/>
  <c r="D699" i="1" s="1"/>
  <c r="B700" i="1"/>
  <c r="C700" i="1"/>
  <c r="D700" i="1"/>
  <c r="B701" i="1"/>
  <c r="C701" i="1"/>
  <c r="D701" i="1" s="1"/>
  <c r="B702" i="1"/>
  <c r="C702" i="1"/>
  <c r="D702" i="1" s="1"/>
  <c r="B703" i="1"/>
  <c r="C703" i="1"/>
  <c r="D703" i="1"/>
  <c r="B704" i="1"/>
  <c r="C704" i="1"/>
  <c r="D704" i="1" s="1"/>
  <c r="B705" i="1"/>
  <c r="C705" i="1"/>
  <c r="D705" i="1"/>
  <c r="B706" i="1"/>
  <c r="C706" i="1"/>
  <c r="D706" i="1" s="1"/>
  <c r="B707" i="1"/>
  <c r="C707" i="1"/>
  <c r="D707" i="1" s="1"/>
  <c r="B708" i="1"/>
  <c r="C708" i="1"/>
  <c r="D708" i="1"/>
  <c r="B709" i="1"/>
  <c r="C709" i="1"/>
  <c r="D709" i="1" s="1"/>
  <c r="B710" i="1"/>
  <c r="C710" i="1"/>
  <c r="D710" i="1" s="1"/>
  <c r="B711" i="1"/>
  <c r="C711" i="1"/>
  <c r="D711" i="1"/>
  <c r="B712" i="1"/>
  <c r="C712" i="1"/>
  <c r="D712" i="1" s="1"/>
  <c r="B713" i="1"/>
  <c r="C713" i="1"/>
  <c r="D713" i="1"/>
  <c r="B714" i="1"/>
  <c r="C714" i="1"/>
  <c r="D714" i="1" s="1"/>
  <c r="B715" i="1"/>
  <c r="C715" i="1"/>
  <c r="D715" i="1" s="1"/>
  <c r="B716" i="1"/>
  <c r="C716" i="1"/>
  <c r="D716" i="1"/>
  <c r="B717" i="1"/>
  <c r="C717" i="1"/>
  <c r="D717" i="1" s="1"/>
  <c r="B718" i="1"/>
  <c r="C718" i="1"/>
  <c r="D718" i="1" s="1"/>
  <c r="B719" i="1"/>
  <c r="C719" i="1"/>
  <c r="D719" i="1" s="1"/>
  <c r="B720" i="1"/>
  <c r="C720" i="1"/>
  <c r="D720" i="1" s="1"/>
  <c r="B721" i="1"/>
  <c r="C721" i="1"/>
  <c r="D721" i="1"/>
  <c r="B722" i="1"/>
  <c r="C722" i="1"/>
  <c r="D722" i="1" s="1"/>
  <c r="B723" i="1"/>
  <c r="C723" i="1"/>
  <c r="D723" i="1" s="1"/>
  <c r="B724" i="1"/>
  <c r="C724" i="1"/>
  <c r="D724" i="1" s="1"/>
  <c r="B725" i="1"/>
  <c r="C725" i="1"/>
  <c r="D725" i="1" s="1"/>
  <c r="B726" i="1"/>
  <c r="C726" i="1"/>
  <c r="D726" i="1" s="1"/>
  <c r="B727" i="1"/>
  <c r="C727" i="1"/>
  <c r="D727" i="1"/>
  <c r="B728" i="1"/>
  <c r="C728" i="1"/>
  <c r="D728" i="1" s="1"/>
  <c r="B729" i="1"/>
  <c r="C729" i="1"/>
  <c r="D729" i="1" s="1"/>
  <c r="B730" i="1"/>
  <c r="C730" i="1"/>
  <c r="D730" i="1" s="1"/>
  <c r="B731" i="1"/>
  <c r="C731" i="1"/>
  <c r="D731" i="1" s="1"/>
  <c r="B732" i="1"/>
  <c r="C732" i="1"/>
  <c r="D732" i="1" s="1"/>
  <c r="B733" i="1"/>
  <c r="C733" i="1"/>
  <c r="D733" i="1" s="1"/>
  <c r="B734" i="1"/>
  <c r="C734" i="1"/>
  <c r="D734" i="1" s="1"/>
  <c r="B735" i="1"/>
  <c r="C735" i="1"/>
  <c r="D735" i="1"/>
  <c r="B736" i="1"/>
  <c r="C736" i="1"/>
  <c r="D736" i="1" s="1"/>
  <c r="B737" i="1"/>
  <c r="C737" i="1"/>
  <c r="D737" i="1" s="1"/>
  <c r="B738" i="1"/>
  <c r="C738" i="1"/>
  <c r="D738" i="1" s="1"/>
  <c r="B739" i="1"/>
  <c r="C739" i="1"/>
  <c r="D739" i="1"/>
  <c r="B740" i="1"/>
  <c r="C740" i="1"/>
  <c r="D740" i="1"/>
  <c r="B741" i="1"/>
  <c r="C741" i="1"/>
  <c r="D741" i="1" s="1"/>
  <c r="B742" i="1"/>
  <c r="C742" i="1"/>
  <c r="D742" i="1" s="1"/>
  <c r="B743" i="1"/>
  <c r="C743" i="1"/>
  <c r="D743" i="1"/>
  <c r="B744" i="1"/>
  <c r="C744" i="1"/>
  <c r="D744" i="1" s="1"/>
  <c r="B745" i="1"/>
  <c r="C745" i="1"/>
  <c r="D745" i="1" s="1"/>
  <c r="B746" i="1"/>
  <c r="C746" i="1"/>
  <c r="D746" i="1" s="1"/>
  <c r="B747" i="1"/>
  <c r="C747" i="1"/>
  <c r="D747" i="1" s="1"/>
  <c r="B748" i="1"/>
  <c r="C748" i="1"/>
  <c r="D748" i="1" s="1"/>
  <c r="B749" i="1"/>
  <c r="C749" i="1"/>
  <c r="D749" i="1" s="1"/>
  <c r="B750" i="1"/>
  <c r="C750" i="1"/>
  <c r="D750" i="1" s="1"/>
  <c r="B751" i="1"/>
  <c r="C751" i="1"/>
  <c r="D751" i="1" s="1"/>
  <c r="B752" i="1"/>
  <c r="C752" i="1"/>
  <c r="D752" i="1" s="1"/>
  <c r="B753" i="1"/>
  <c r="C753" i="1"/>
  <c r="D753" i="1"/>
  <c r="B754" i="1"/>
  <c r="C754" i="1"/>
  <c r="D754" i="1" s="1"/>
  <c r="B755" i="1"/>
  <c r="C755" i="1"/>
  <c r="D755" i="1" s="1"/>
  <c r="B756" i="1"/>
  <c r="C756" i="1"/>
  <c r="D756" i="1"/>
  <c r="B757" i="1"/>
  <c r="C757" i="1"/>
  <c r="D757" i="1" s="1"/>
  <c r="B758" i="1"/>
  <c r="C758" i="1"/>
  <c r="D758" i="1" s="1"/>
  <c r="B759" i="1"/>
  <c r="C759" i="1"/>
  <c r="D759" i="1"/>
  <c r="B760" i="1"/>
  <c r="C760" i="1"/>
  <c r="D760" i="1" s="1"/>
  <c r="B761" i="1"/>
  <c r="C761" i="1"/>
  <c r="D761" i="1"/>
  <c r="B762" i="1"/>
  <c r="C762" i="1"/>
  <c r="D762" i="1" s="1"/>
  <c r="B763" i="1"/>
  <c r="C763" i="1"/>
  <c r="D763" i="1" s="1"/>
  <c r="B764" i="1"/>
  <c r="C764" i="1"/>
  <c r="D764" i="1"/>
  <c r="B765" i="1"/>
  <c r="C765" i="1"/>
  <c r="D765" i="1"/>
  <c r="B766" i="1"/>
  <c r="C766" i="1"/>
  <c r="D766" i="1" s="1"/>
  <c r="B767" i="1"/>
  <c r="C767" i="1"/>
  <c r="D767" i="1" s="1"/>
  <c r="B768" i="1"/>
  <c r="C768" i="1"/>
  <c r="D768" i="1" s="1"/>
  <c r="B769" i="1"/>
  <c r="C769" i="1"/>
  <c r="D769" i="1"/>
  <c r="B770" i="1"/>
  <c r="C770" i="1"/>
  <c r="D770" i="1" s="1"/>
  <c r="B771" i="1"/>
  <c r="C771" i="1"/>
  <c r="D771" i="1" s="1"/>
  <c r="B772" i="1"/>
  <c r="C772" i="1"/>
  <c r="D772" i="1" s="1"/>
  <c r="B773" i="1"/>
  <c r="C773" i="1"/>
  <c r="D773" i="1" s="1"/>
  <c r="B774" i="1"/>
  <c r="C774" i="1"/>
  <c r="D774" i="1" s="1"/>
  <c r="B775" i="1"/>
  <c r="C775" i="1"/>
  <c r="D775" i="1"/>
  <c r="B776" i="1"/>
  <c r="C776" i="1"/>
  <c r="D776" i="1" s="1"/>
  <c r="B777" i="1"/>
  <c r="C777" i="1"/>
  <c r="D777" i="1" s="1"/>
  <c r="B778" i="1"/>
  <c r="C778" i="1"/>
  <c r="D778" i="1" s="1"/>
  <c r="B779" i="1"/>
  <c r="C779" i="1"/>
  <c r="D779" i="1" s="1"/>
  <c r="B780" i="1"/>
  <c r="C780" i="1"/>
  <c r="D780" i="1" s="1"/>
  <c r="B781" i="1"/>
  <c r="C781" i="1"/>
  <c r="D781" i="1" s="1"/>
  <c r="B782" i="1"/>
  <c r="C782" i="1"/>
  <c r="D782" i="1" s="1"/>
  <c r="B783" i="1"/>
  <c r="C783" i="1"/>
  <c r="D783" i="1"/>
  <c r="B784" i="1"/>
  <c r="C784" i="1"/>
  <c r="D784" i="1" s="1"/>
  <c r="B785" i="1"/>
  <c r="C785" i="1"/>
  <c r="D785" i="1" s="1"/>
  <c r="B786" i="1"/>
  <c r="C786" i="1"/>
  <c r="D786" i="1" s="1"/>
  <c r="B787" i="1"/>
  <c r="C787" i="1"/>
  <c r="D787" i="1"/>
  <c r="B788" i="1"/>
  <c r="C788" i="1"/>
  <c r="D788" i="1" s="1"/>
  <c r="B789" i="1"/>
  <c r="C789" i="1"/>
  <c r="D789" i="1" s="1"/>
  <c r="B790" i="1"/>
  <c r="C790" i="1"/>
  <c r="D790" i="1" s="1"/>
  <c r="B791" i="1"/>
  <c r="C791" i="1"/>
  <c r="D791" i="1"/>
  <c r="B792" i="1"/>
  <c r="C792" i="1"/>
  <c r="D792" i="1" s="1"/>
  <c r="B793" i="1"/>
  <c r="C793" i="1"/>
  <c r="D793" i="1" s="1"/>
  <c r="B794" i="1"/>
  <c r="C794" i="1"/>
  <c r="D794" i="1" s="1"/>
  <c r="B795" i="1"/>
  <c r="C795" i="1"/>
  <c r="D795" i="1" s="1"/>
  <c r="B796" i="1"/>
  <c r="C796" i="1"/>
  <c r="D796" i="1"/>
  <c r="B797" i="1"/>
  <c r="C797" i="1"/>
  <c r="D797" i="1" s="1"/>
  <c r="B798" i="1"/>
  <c r="C798" i="1"/>
  <c r="D798" i="1" s="1"/>
  <c r="B799" i="1"/>
  <c r="C799" i="1"/>
  <c r="D799" i="1"/>
  <c r="B800" i="1"/>
  <c r="C800" i="1"/>
  <c r="D800" i="1" s="1"/>
  <c r="B801" i="1"/>
  <c r="C801" i="1"/>
  <c r="D801" i="1"/>
  <c r="B802" i="1"/>
  <c r="C802" i="1"/>
  <c r="D802" i="1" s="1"/>
  <c r="B803" i="1"/>
  <c r="C803" i="1"/>
  <c r="D803" i="1" s="1"/>
  <c r="B804" i="1"/>
  <c r="C804" i="1"/>
  <c r="D804" i="1"/>
  <c r="B805" i="1"/>
  <c r="C805" i="1"/>
  <c r="D805" i="1" s="1"/>
  <c r="B806" i="1"/>
  <c r="C806" i="1"/>
  <c r="D806" i="1" s="1"/>
  <c r="B807" i="1"/>
  <c r="C807" i="1"/>
  <c r="D807" i="1"/>
  <c r="B808" i="1"/>
  <c r="C808" i="1"/>
  <c r="D808" i="1" s="1"/>
  <c r="B809" i="1"/>
  <c r="C809" i="1"/>
  <c r="D809" i="1"/>
  <c r="B810" i="1"/>
  <c r="C810" i="1"/>
  <c r="D810" i="1" s="1"/>
  <c r="B811" i="1"/>
  <c r="C811" i="1"/>
  <c r="D811" i="1" s="1"/>
  <c r="B812" i="1"/>
  <c r="C812" i="1"/>
  <c r="D812" i="1"/>
  <c r="B813" i="1"/>
  <c r="C813" i="1"/>
  <c r="D813" i="1" s="1"/>
  <c r="B814" i="1"/>
  <c r="C814" i="1"/>
  <c r="D814" i="1" s="1"/>
  <c r="B815" i="1"/>
  <c r="C815" i="1"/>
  <c r="D815" i="1" s="1"/>
  <c r="B816" i="1"/>
  <c r="C816" i="1"/>
  <c r="D816" i="1" s="1"/>
  <c r="B817" i="1"/>
  <c r="C817" i="1"/>
  <c r="D817" i="1"/>
  <c r="B818" i="1"/>
  <c r="C818" i="1"/>
  <c r="D818" i="1" s="1"/>
  <c r="B819" i="1"/>
  <c r="C819" i="1"/>
  <c r="D819" i="1" s="1"/>
  <c r="B820" i="1"/>
  <c r="C820" i="1"/>
  <c r="D820" i="1" s="1"/>
  <c r="B821" i="1"/>
  <c r="C821" i="1"/>
  <c r="D821" i="1" s="1"/>
  <c r="B822" i="1"/>
  <c r="C822" i="1"/>
  <c r="D822" i="1" s="1"/>
  <c r="B823" i="1"/>
  <c r="C823" i="1"/>
  <c r="D823" i="1" s="1"/>
  <c r="B824" i="1"/>
  <c r="C824" i="1"/>
  <c r="D824" i="1" s="1"/>
  <c r="B825" i="1"/>
  <c r="C825" i="1"/>
  <c r="D825" i="1"/>
  <c r="B826" i="1"/>
  <c r="C826" i="1"/>
  <c r="D826" i="1" s="1"/>
  <c r="B827" i="1"/>
  <c r="C827" i="1"/>
  <c r="D827" i="1" s="1"/>
  <c r="B828" i="1"/>
  <c r="C828" i="1"/>
  <c r="D828" i="1" s="1"/>
  <c r="B829" i="1"/>
  <c r="C829" i="1"/>
  <c r="D829" i="1" s="1"/>
  <c r="B830" i="1"/>
  <c r="C830" i="1"/>
  <c r="D830" i="1" s="1"/>
  <c r="B831" i="1"/>
  <c r="C831" i="1"/>
  <c r="D831" i="1" s="1"/>
  <c r="B832" i="1"/>
  <c r="C832" i="1"/>
  <c r="D832" i="1" s="1"/>
  <c r="B833" i="1"/>
  <c r="C833" i="1"/>
  <c r="D833" i="1" s="1"/>
  <c r="B834" i="1"/>
  <c r="C834" i="1"/>
  <c r="D834" i="1" s="1"/>
  <c r="B835" i="1"/>
  <c r="C835" i="1"/>
  <c r="D835" i="1" s="1"/>
  <c r="B836" i="1"/>
  <c r="C836" i="1"/>
  <c r="D836" i="1" s="1"/>
  <c r="B837" i="1"/>
  <c r="C837" i="1"/>
  <c r="D837" i="1" s="1"/>
  <c r="B838" i="1"/>
  <c r="C838" i="1"/>
  <c r="D838" i="1" s="1"/>
  <c r="B839" i="1"/>
  <c r="C839" i="1"/>
  <c r="D839" i="1"/>
  <c r="B840" i="1"/>
  <c r="C840" i="1"/>
  <c r="D840" i="1" s="1"/>
  <c r="B841" i="1"/>
  <c r="C841" i="1"/>
  <c r="D841" i="1" s="1"/>
  <c r="B842" i="1"/>
  <c r="C842" i="1"/>
  <c r="D842" i="1"/>
  <c r="B843" i="1"/>
  <c r="C843" i="1"/>
  <c r="D843" i="1" s="1"/>
  <c r="B844" i="1"/>
  <c r="C844" i="1"/>
  <c r="D844" i="1" s="1"/>
  <c r="B845" i="1"/>
  <c r="C845" i="1"/>
  <c r="D845" i="1" s="1"/>
  <c r="B846" i="1"/>
  <c r="C846" i="1"/>
  <c r="D846" i="1" s="1"/>
  <c r="B847" i="1"/>
  <c r="C847" i="1"/>
  <c r="D847" i="1" s="1"/>
  <c r="B848" i="1"/>
  <c r="C848" i="1"/>
  <c r="D848" i="1" s="1"/>
  <c r="B849" i="1"/>
  <c r="C849" i="1"/>
  <c r="D849" i="1" s="1"/>
  <c r="B850" i="1"/>
  <c r="C850" i="1"/>
  <c r="D850" i="1" s="1"/>
  <c r="B851" i="1"/>
  <c r="C851" i="1"/>
  <c r="D851" i="1"/>
  <c r="B852" i="1"/>
  <c r="C852" i="1"/>
  <c r="D852" i="1" s="1"/>
  <c r="B853" i="1"/>
  <c r="C853" i="1"/>
  <c r="D853" i="1" s="1"/>
  <c r="B854" i="1"/>
  <c r="C854" i="1"/>
  <c r="D854" i="1" s="1"/>
  <c r="B855" i="1"/>
  <c r="C855" i="1"/>
  <c r="D855" i="1" s="1"/>
  <c r="B856" i="1"/>
  <c r="C856" i="1"/>
  <c r="D856" i="1" s="1"/>
  <c r="B857" i="1"/>
  <c r="C857" i="1"/>
  <c r="D857" i="1" s="1"/>
  <c r="B858" i="1"/>
  <c r="C858" i="1"/>
  <c r="D858" i="1" s="1"/>
  <c r="B859" i="1"/>
  <c r="C859" i="1"/>
  <c r="D859" i="1" s="1"/>
  <c r="B860" i="1"/>
  <c r="C860" i="1"/>
  <c r="D860" i="1" s="1"/>
  <c r="B861" i="1"/>
  <c r="C861" i="1"/>
  <c r="D861" i="1"/>
  <c r="B862" i="1"/>
  <c r="C862" i="1"/>
  <c r="D862" i="1" s="1"/>
  <c r="B863" i="1"/>
  <c r="C863" i="1"/>
  <c r="D863" i="1" s="1"/>
  <c r="B864" i="1"/>
  <c r="C864" i="1"/>
  <c r="D864" i="1" s="1"/>
  <c r="B865" i="1"/>
  <c r="C865" i="1"/>
  <c r="D865" i="1"/>
  <c r="B866" i="1"/>
  <c r="C866" i="1"/>
  <c r="D866" i="1" s="1"/>
  <c r="B867" i="1"/>
  <c r="C867" i="1"/>
  <c r="D867" i="1" s="1"/>
  <c r="B868" i="1"/>
  <c r="C868" i="1"/>
  <c r="D868" i="1" s="1"/>
  <c r="B869" i="1"/>
  <c r="C869" i="1"/>
  <c r="D869" i="1" s="1"/>
  <c r="B870" i="1"/>
  <c r="C870" i="1"/>
  <c r="D870" i="1" s="1"/>
  <c r="B871" i="1"/>
  <c r="C871" i="1"/>
  <c r="D871" i="1" s="1"/>
  <c r="B872" i="1"/>
  <c r="C872" i="1"/>
  <c r="D872" i="1" s="1"/>
  <c r="B873" i="1"/>
  <c r="C873" i="1"/>
  <c r="D873" i="1" s="1"/>
  <c r="B874" i="1"/>
  <c r="C874" i="1"/>
  <c r="D874" i="1" s="1"/>
  <c r="B875" i="1"/>
  <c r="C875" i="1"/>
  <c r="D875" i="1" s="1"/>
  <c r="B876" i="1"/>
  <c r="C876" i="1"/>
  <c r="D876" i="1" s="1"/>
  <c r="B877" i="1"/>
  <c r="C877" i="1"/>
  <c r="D877" i="1"/>
  <c r="B878" i="1"/>
  <c r="C878" i="1"/>
  <c r="D878" i="1" s="1"/>
  <c r="B879" i="1"/>
  <c r="C879" i="1"/>
  <c r="D879" i="1" s="1"/>
  <c r="B880" i="1"/>
  <c r="C880" i="1"/>
  <c r="D880" i="1" s="1"/>
  <c r="B881" i="1"/>
  <c r="C881" i="1"/>
  <c r="D881" i="1"/>
  <c r="B882" i="1"/>
  <c r="C882" i="1"/>
  <c r="D882" i="1" s="1"/>
  <c r="B883" i="1"/>
  <c r="C883" i="1"/>
  <c r="D883" i="1" s="1"/>
  <c r="B884" i="1"/>
  <c r="C884" i="1"/>
  <c r="D884" i="1" s="1"/>
  <c r="B885" i="1"/>
  <c r="C885" i="1"/>
  <c r="D885" i="1" s="1"/>
  <c r="B886" i="1"/>
  <c r="C886" i="1"/>
  <c r="D886" i="1"/>
  <c r="B887" i="1"/>
  <c r="C887" i="1"/>
  <c r="D887" i="1" s="1"/>
  <c r="B888" i="1"/>
  <c r="C888" i="1"/>
  <c r="D888" i="1" s="1"/>
  <c r="B889" i="1"/>
  <c r="C889" i="1"/>
  <c r="D889" i="1" s="1"/>
  <c r="B890" i="1"/>
  <c r="C890" i="1"/>
  <c r="D890" i="1" s="1"/>
  <c r="B891" i="1"/>
  <c r="C891" i="1"/>
  <c r="D891" i="1" s="1"/>
  <c r="B892" i="1"/>
  <c r="C892" i="1"/>
  <c r="D892" i="1" s="1"/>
  <c r="B893" i="1"/>
  <c r="C893" i="1"/>
  <c r="D893" i="1" s="1"/>
  <c r="B894" i="1"/>
  <c r="C894" i="1"/>
  <c r="D894" i="1" s="1"/>
  <c r="B895" i="1"/>
  <c r="C895" i="1"/>
  <c r="D895" i="1" s="1"/>
  <c r="B896" i="1"/>
  <c r="C896" i="1"/>
  <c r="D896" i="1" s="1"/>
  <c r="B897" i="1"/>
  <c r="C897" i="1"/>
  <c r="D897" i="1"/>
  <c r="B898" i="1"/>
  <c r="C898" i="1"/>
  <c r="D898" i="1" s="1"/>
  <c r="B899" i="1"/>
  <c r="C899" i="1"/>
  <c r="D899" i="1" s="1"/>
  <c r="B900" i="1"/>
  <c r="C900" i="1"/>
  <c r="D900" i="1" s="1"/>
  <c r="B901" i="1"/>
  <c r="C901" i="1"/>
  <c r="D901" i="1" s="1"/>
  <c r="B902" i="1"/>
  <c r="C902" i="1"/>
  <c r="D902" i="1" s="1"/>
  <c r="B903" i="1"/>
  <c r="C903" i="1"/>
  <c r="D903" i="1" s="1"/>
  <c r="B904" i="1"/>
  <c r="C904" i="1"/>
  <c r="D904" i="1" s="1"/>
  <c r="B905" i="1"/>
  <c r="C905" i="1"/>
  <c r="D905" i="1"/>
  <c r="B906" i="1"/>
  <c r="C906" i="1"/>
  <c r="D906" i="1" s="1"/>
  <c r="B907" i="1"/>
  <c r="C907" i="1"/>
  <c r="D907" i="1" s="1"/>
  <c r="B908" i="1"/>
  <c r="C908" i="1"/>
  <c r="D908" i="1" s="1"/>
  <c r="B909" i="1"/>
  <c r="C909" i="1"/>
  <c r="D909" i="1" s="1"/>
  <c r="B910" i="1"/>
  <c r="C910" i="1"/>
  <c r="D910" i="1" s="1"/>
  <c r="B911" i="1"/>
  <c r="C911" i="1"/>
  <c r="D911" i="1" s="1"/>
  <c r="B912" i="1"/>
  <c r="C912" i="1"/>
  <c r="D912" i="1" s="1"/>
  <c r="B913" i="1"/>
  <c r="C913" i="1"/>
  <c r="D913" i="1"/>
  <c r="B914" i="1"/>
  <c r="C914" i="1"/>
  <c r="D914" i="1" s="1"/>
  <c r="B915" i="1"/>
  <c r="C915" i="1"/>
  <c r="D915" i="1" s="1"/>
  <c r="B916" i="1"/>
  <c r="C916" i="1"/>
  <c r="D916" i="1" s="1"/>
  <c r="B917" i="1"/>
  <c r="C917" i="1"/>
  <c r="D917" i="1" s="1"/>
  <c r="B918" i="1"/>
  <c r="C918" i="1"/>
  <c r="D918" i="1" s="1"/>
  <c r="B919" i="1"/>
  <c r="C919" i="1"/>
  <c r="D919" i="1"/>
  <c r="B920" i="1"/>
  <c r="C920" i="1"/>
  <c r="D920" i="1" s="1"/>
  <c r="B921" i="1"/>
  <c r="C921" i="1"/>
  <c r="D921" i="1" s="1"/>
  <c r="B922" i="1"/>
  <c r="C922" i="1"/>
  <c r="D922" i="1" s="1"/>
  <c r="B923" i="1"/>
  <c r="C923" i="1"/>
  <c r="D923" i="1" s="1"/>
  <c r="B924" i="1"/>
  <c r="C924" i="1"/>
  <c r="D924" i="1" s="1"/>
  <c r="B925" i="1"/>
  <c r="C925" i="1"/>
  <c r="D925" i="1"/>
  <c r="B926" i="1"/>
  <c r="C926" i="1"/>
  <c r="D926" i="1" s="1"/>
  <c r="B927" i="1"/>
  <c r="C927" i="1"/>
  <c r="D927" i="1" s="1"/>
  <c r="B928" i="1"/>
  <c r="C928" i="1"/>
  <c r="D928" i="1" s="1"/>
  <c r="B929" i="1"/>
  <c r="C929" i="1"/>
  <c r="D929" i="1" s="1"/>
  <c r="B930" i="1"/>
  <c r="C930" i="1"/>
  <c r="D930" i="1" s="1"/>
  <c r="B931" i="1"/>
  <c r="C931" i="1"/>
  <c r="D931" i="1" s="1"/>
  <c r="B932" i="1"/>
  <c r="C932" i="1"/>
  <c r="D932" i="1" s="1"/>
  <c r="B933" i="1"/>
  <c r="C933" i="1"/>
  <c r="D933" i="1" s="1"/>
  <c r="B934" i="1"/>
  <c r="C934" i="1"/>
  <c r="D934" i="1" s="1"/>
  <c r="B935" i="1"/>
  <c r="C935" i="1"/>
  <c r="D935" i="1" s="1"/>
  <c r="B936" i="1"/>
  <c r="C936" i="1"/>
  <c r="D936" i="1" s="1"/>
  <c r="B937" i="1"/>
  <c r="C937" i="1"/>
  <c r="D937" i="1" s="1"/>
  <c r="B938" i="1"/>
  <c r="C938" i="1"/>
  <c r="D938" i="1" s="1"/>
  <c r="B939" i="1"/>
  <c r="C939" i="1"/>
  <c r="D939" i="1" s="1"/>
  <c r="B940" i="1"/>
  <c r="C940" i="1"/>
  <c r="D940" i="1" s="1"/>
  <c r="B941" i="1"/>
  <c r="C941" i="1"/>
  <c r="D941" i="1"/>
  <c r="B942" i="1"/>
  <c r="C942" i="1"/>
  <c r="D942" i="1" s="1"/>
  <c r="B943" i="1"/>
  <c r="C943" i="1"/>
  <c r="D943" i="1" s="1"/>
  <c r="B944" i="1"/>
  <c r="C944" i="1"/>
  <c r="D944" i="1" s="1"/>
  <c r="B945" i="1"/>
  <c r="C945" i="1"/>
  <c r="D945" i="1" s="1"/>
  <c r="B946" i="1"/>
  <c r="C946" i="1"/>
  <c r="D946" i="1" s="1"/>
  <c r="B947" i="1"/>
  <c r="C947" i="1"/>
  <c r="D947" i="1"/>
  <c r="B948" i="1"/>
  <c r="C948" i="1"/>
  <c r="D948" i="1" s="1"/>
  <c r="B949" i="1"/>
  <c r="C949" i="1"/>
  <c r="D949" i="1" s="1"/>
  <c r="B950" i="1"/>
  <c r="C950" i="1"/>
  <c r="D950" i="1" s="1"/>
  <c r="B951" i="1"/>
  <c r="C951" i="1"/>
  <c r="D951" i="1"/>
  <c r="B952" i="1"/>
  <c r="C952" i="1"/>
  <c r="D952" i="1" s="1"/>
  <c r="B953" i="1"/>
  <c r="C953" i="1"/>
  <c r="D953" i="1" s="1"/>
  <c r="B954" i="1"/>
  <c r="C954" i="1"/>
  <c r="D954" i="1" s="1"/>
  <c r="B955" i="1"/>
  <c r="C955" i="1"/>
  <c r="D955" i="1" s="1"/>
  <c r="B956" i="1"/>
  <c r="C956" i="1"/>
  <c r="D956" i="1" s="1"/>
  <c r="B957" i="1"/>
  <c r="C957" i="1"/>
  <c r="D957" i="1" s="1"/>
  <c r="B958" i="1"/>
  <c r="C958" i="1"/>
  <c r="D958" i="1" s="1"/>
  <c r="B959" i="1"/>
  <c r="C959" i="1"/>
  <c r="D959" i="1" s="1"/>
  <c r="B960" i="1"/>
  <c r="C960" i="1"/>
  <c r="D960" i="1" s="1"/>
  <c r="B961" i="1"/>
  <c r="C961" i="1"/>
  <c r="D961" i="1" s="1"/>
  <c r="B962" i="1"/>
  <c r="C962" i="1"/>
  <c r="D962" i="1"/>
  <c r="B963" i="1"/>
  <c r="C963" i="1"/>
  <c r="D963" i="1" s="1"/>
  <c r="B964" i="1"/>
  <c r="C964" i="1"/>
  <c r="D964" i="1" s="1"/>
  <c r="B965" i="1"/>
  <c r="C965" i="1"/>
  <c r="D965" i="1" s="1"/>
  <c r="B966" i="1"/>
  <c r="C966" i="1"/>
  <c r="D966" i="1" s="1"/>
  <c r="B967" i="1"/>
  <c r="C967" i="1"/>
  <c r="D967" i="1" s="1"/>
  <c r="B968" i="1"/>
  <c r="C968" i="1"/>
  <c r="D968" i="1" s="1"/>
  <c r="B969" i="1"/>
  <c r="C969" i="1"/>
  <c r="D969" i="1" s="1"/>
  <c r="B970" i="1"/>
  <c r="C970" i="1"/>
  <c r="D970" i="1"/>
  <c r="B971" i="1"/>
  <c r="C971" i="1"/>
  <c r="D971" i="1" s="1"/>
  <c r="B972" i="1"/>
  <c r="C972" i="1"/>
  <c r="D972" i="1" s="1"/>
  <c r="B973" i="1"/>
  <c r="C973" i="1"/>
  <c r="D973" i="1" s="1"/>
  <c r="B974" i="1"/>
  <c r="C974" i="1"/>
  <c r="D974" i="1" s="1"/>
  <c r="B975" i="1"/>
  <c r="C975" i="1"/>
  <c r="D975" i="1" s="1"/>
  <c r="B976" i="1"/>
  <c r="C976" i="1"/>
  <c r="D976" i="1" s="1"/>
  <c r="B977" i="1"/>
  <c r="C977" i="1"/>
  <c r="D977" i="1" s="1"/>
  <c r="B978" i="1"/>
  <c r="C978" i="1"/>
  <c r="D978" i="1" s="1"/>
  <c r="B979" i="1"/>
  <c r="C979" i="1"/>
  <c r="D979" i="1" s="1"/>
  <c r="B980" i="1"/>
  <c r="C980" i="1"/>
  <c r="D980" i="1" s="1"/>
  <c r="B981" i="1"/>
  <c r="C981" i="1"/>
  <c r="D981" i="1"/>
  <c r="B982" i="1"/>
  <c r="C982" i="1"/>
  <c r="D982" i="1" s="1"/>
  <c r="B983" i="1"/>
  <c r="C983" i="1"/>
  <c r="D983" i="1" s="1"/>
  <c r="B984" i="1"/>
  <c r="C984" i="1"/>
  <c r="D984" i="1" s="1"/>
  <c r="B985" i="1"/>
  <c r="C985" i="1"/>
  <c r="D985" i="1" s="1"/>
  <c r="B986" i="1"/>
  <c r="C986" i="1"/>
  <c r="D986" i="1" s="1"/>
  <c r="B987" i="1"/>
  <c r="C987" i="1"/>
  <c r="D987" i="1" s="1"/>
  <c r="B988" i="1"/>
  <c r="C988" i="1"/>
  <c r="D988" i="1" s="1"/>
  <c r="B989" i="1"/>
  <c r="C989" i="1"/>
  <c r="D989" i="1" s="1"/>
  <c r="B990" i="1"/>
  <c r="C990" i="1"/>
  <c r="D990" i="1" s="1"/>
  <c r="B991" i="1"/>
  <c r="C991" i="1"/>
  <c r="D991" i="1" s="1"/>
  <c r="B992" i="1"/>
  <c r="C992" i="1"/>
  <c r="D992" i="1" s="1"/>
  <c r="B993" i="1"/>
  <c r="C993" i="1"/>
  <c r="D993" i="1" s="1"/>
  <c r="B994" i="1"/>
  <c r="C994" i="1"/>
  <c r="D994" i="1"/>
  <c r="B995" i="1"/>
  <c r="C995" i="1"/>
  <c r="D995" i="1" s="1"/>
  <c r="B996" i="1"/>
  <c r="C996" i="1"/>
  <c r="D996" i="1" s="1"/>
  <c r="B997" i="1"/>
  <c r="C997" i="1"/>
  <c r="D997" i="1" s="1"/>
  <c r="B998" i="1"/>
  <c r="C998" i="1"/>
  <c r="D998" i="1" s="1"/>
  <c r="B999" i="1"/>
  <c r="C999" i="1"/>
  <c r="D999" i="1" s="1"/>
  <c r="B1000" i="1"/>
  <c r="C1000" i="1"/>
  <c r="D1000" i="1" s="1"/>
  <c r="B1001" i="1"/>
  <c r="C1001" i="1"/>
  <c r="D1001" i="1" s="1"/>
  <c r="B1002" i="1"/>
  <c r="C1002" i="1"/>
  <c r="D1002" i="1" s="1"/>
  <c r="B1003" i="1"/>
  <c r="C1003" i="1"/>
  <c r="D1003" i="1" s="1"/>
  <c r="B1004" i="1"/>
  <c r="C1004" i="1"/>
  <c r="D1004" i="1" s="1"/>
  <c r="B1005" i="1"/>
  <c r="C1005" i="1"/>
  <c r="D1005" i="1" s="1"/>
  <c r="B1006" i="1"/>
  <c r="C1006" i="1"/>
  <c r="D1006" i="1"/>
  <c r="B1007" i="1"/>
  <c r="C1007" i="1"/>
  <c r="D1007" i="1" s="1"/>
  <c r="B1008" i="1"/>
  <c r="C1008" i="1"/>
  <c r="D1008" i="1" s="1"/>
  <c r="B1009" i="1"/>
  <c r="C1009" i="1"/>
  <c r="D1009" i="1"/>
  <c r="B1010" i="1"/>
  <c r="C1010" i="1"/>
  <c r="D1010" i="1" s="1"/>
  <c r="B1011" i="1"/>
  <c r="C1011" i="1"/>
  <c r="D1011" i="1" s="1"/>
  <c r="B1012" i="1"/>
  <c r="C1012" i="1"/>
  <c r="D1012" i="1" s="1"/>
  <c r="B1013" i="1"/>
  <c r="C1013" i="1"/>
  <c r="D1013" i="1" s="1"/>
  <c r="B1014" i="1"/>
  <c r="C1014" i="1"/>
  <c r="D1014" i="1" s="1"/>
  <c r="B1015" i="1"/>
  <c r="C1015" i="1"/>
  <c r="D1015" i="1"/>
  <c r="B1016" i="1"/>
  <c r="C1016" i="1"/>
  <c r="D1016" i="1" s="1"/>
  <c r="B1017" i="1"/>
  <c r="C1017" i="1"/>
  <c r="D1017" i="1" s="1"/>
  <c r="B1018" i="1"/>
  <c r="C1018" i="1"/>
  <c r="D1018" i="1" s="1"/>
  <c r="B1019" i="1"/>
  <c r="C1019" i="1"/>
  <c r="D1019" i="1"/>
  <c r="B1020" i="1"/>
  <c r="C1020" i="1"/>
  <c r="D1020" i="1" s="1"/>
  <c r="B1021" i="1"/>
  <c r="C1021" i="1"/>
  <c r="D1021" i="1" s="1"/>
  <c r="B1022" i="1"/>
  <c r="C1022" i="1"/>
  <c r="D1022" i="1" s="1"/>
  <c r="B1023" i="1"/>
  <c r="C1023" i="1"/>
  <c r="D1023" i="1" s="1"/>
  <c r="B1024" i="1"/>
  <c r="C1024" i="1"/>
  <c r="D1024" i="1" s="1"/>
  <c r="B1025" i="1"/>
  <c r="C1025" i="1"/>
  <c r="D1025" i="1"/>
  <c r="B1026" i="1"/>
  <c r="C1026" i="1"/>
  <c r="D1026" i="1" s="1"/>
  <c r="B1027" i="1"/>
  <c r="C1027" i="1"/>
  <c r="D1027" i="1" s="1"/>
  <c r="B1028" i="1"/>
  <c r="C1028" i="1"/>
  <c r="D1028" i="1" s="1"/>
  <c r="B1029" i="1"/>
  <c r="C1029" i="1"/>
  <c r="D1029" i="1" s="1"/>
  <c r="B1030" i="1"/>
  <c r="C1030" i="1"/>
  <c r="D1030" i="1"/>
  <c r="B1031" i="1"/>
  <c r="C1031" i="1"/>
  <c r="D1031" i="1" s="1"/>
  <c r="B1032" i="1"/>
  <c r="C1032" i="1"/>
  <c r="D1032" i="1" s="1"/>
  <c r="B1033" i="1"/>
  <c r="C1033" i="1"/>
  <c r="D1033" i="1" s="1"/>
  <c r="B1034" i="1"/>
  <c r="C1034" i="1"/>
  <c r="D1034" i="1" s="1"/>
  <c r="B1035" i="1"/>
  <c r="C1035" i="1"/>
  <c r="D1035" i="1" s="1"/>
  <c r="B1036" i="1"/>
  <c r="C1036" i="1"/>
  <c r="D1036" i="1" s="1"/>
  <c r="B1037" i="1"/>
  <c r="C1037" i="1"/>
  <c r="D1037" i="1"/>
  <c r="B1038" i="1"/>
  <c r="C1038" i="1"/>
  <c r="D1038" i="1" s="1"/>
  <c r="B1039" i="1"/>
  <c r="C1039" i="1"/>
  <c r="D1039" i="1" s="1"/>
  <c r="B1040" i="1"/>
  <c r="C1040" i="1"/>
  <c r="D1040" i="1" s="1"/>
  <c r="B1041" i="1"/>
  <c r="C1041" i="1"/>
  <c r="D1041" i="1"/>
  <c r="B1042" i="1"/>
  <c r="C1042" i="1"/>
  <c r="D1042" i="1"/>
  <c r="B1043" i="1"/>
  <c r="C1043" i="1"/>
  <c r="D1043" i="1" s="1"/>
  <c r="B1044" i="1"/>
  <c r="C1044" i="1"/>
  <c r="D1044" i="1" s="1"/>
  <c r="B1045" i="1"/>
  <c r="C1045" i="1"/>
  <c r="D1045" i="1" s="1"/>
  <c r="B1046" i="1"/>
  <c r="C1046" i="1"/>
  <c r="D1046" i="1"/>
  <c r="B1047" i="1"/>
  <c r="C1047" i="1"/>
  <c r="D1047" i="1" s="1"/>
  <c r="B1048" i="1"/>
  <c r="C1048" i="1"/>
  <c r="D1048" i="1" s="1"/>
  <c r="B1049" i="1"/>
  <c r="C1049" i="1"/>
  <c r="D1049" i="1" s="1"/>
  <c r="B1050" i="1"/>
  <c r="C1050" i="1"/>
  <c r="D1050" i="1"/>
  <c r="B1051" i="1"/>
  <c r="C1051" i="1"/>
  <c r="D1051" i="1" s="1"/>
  <c r="B1052" i="1"/>
  <c r="C1052" i="1"/>
  <c r="D1052" i="1" s="1"/>
  <c r="B1053" i="1"/>
  <c r="C1053" i="1"/>
  <c r="D1053" i="1" s="1"/>
  <c r="B1054" i="1"/>
  <c r="C1054" i="1"/>
  <c r="D1054" i="1" s="1"/>
  <c r="B1055" i="1"/>
  <c r="C1055" i="1"/>
  <c r="D1055" i="1" s="1"/>
  <c r="B1056" i="1"/>
  <c r="C1056" i="1"/>
  <c r="D1056" i="1"/>
  <c r="B1057" i="1"/>
  <c r="C1057" i="1"/>
  <c r="D1057" i="1" s="1"/>
  <c r="B1058" i="1"/>
  <c r="C1058" i="1"/>
  <c r="D1058" i="1" s="1"/>
  <c r="B1059" i="1"/>
  <c r="C1059" i="1"/>
  <c r="D1059" i="1" s="1"/>
  <c r="B1060" i="1"/>
  <c r="C1060" i="1"/>
  <c r="D1060" i="1" s="1"/>
  <c r="B1061" i="1"/>
  <c r="C1061" i="1"/>
  <c r="D1061" i="1"/>
  <c r="B1062" i="1"/>
  <c r="C1062" i="1"/>
  <c r="D1062" i="1" s="1"/>
  <c r="B1063" i="1"/>
  <c r="C1063" i="1"/>
  <c r="D1063" i="1" s="1"/>
  <c r="B1064" i="1"/>
  <c r="C1064" i="1"/>
  <c r="D1064" i="1" s="1"/>
  <c r="B1065" i="1"/>
  <c r="C1065" i="1"/>
  <c r="D1065" i="1"/>
  <c r="B1066" i="1"/>
  <c r="C1066" i="1"/>
  <c r="D1066" i="1" s="1"/>
  <c r="B1067" i="1"/>
  <c r="C1067" i="1"/>
  <c r="D1067" i="1" s="1"/>
  <c r="B1068" i="1"/>
  <c r="C1068" i="1"/>
  <c r="D1068" i="1" s="1"/>
  <c r="B1069" i="1"/>
  <c r="C1069" i="1"/>
  <c r="D1069" i="1" s="1"/>
  <c r="B1070" i="1"/>
  <c r="C1070" i="1"/>
  <c r="D1070" i="1"/>
  <c r="B1071" i="1"/>
  <c r="C1071" i="1"/>
  <c r="D1071" i="1" s="1"/>
  <c r="B1072" i="1"/>
  <c r="C1072" i="1"/>
  <c r="D1072" i="1" s="1"/>
  <c r="B1073" i="1"/>
  <c r="C1073" i="1"/>
  <c r="D1073" i="1" s="1"/>
  <c r="B1074" i="1"/>
  <c r="C1074" i="1"/>
  <c r="D1074" i="1" s="1"/>
  <c r="B1075" i="1"/>
  <c r="C1075" i="1"/>
  <c r="D1075" i="1" s="1"/>
  <c r="B1076" i="1"/>
  <c r="C1076" i="1"/>
  <c r="D1076" i="1" s="1"/>
  <c r="B1077" i="1"/>
  <c r="C1077" i="1"/>
  <c r="D1077" i="1" s="1"/>
  <c r="B1078" i="1"/>
  <c r="C1078" i="1"/>
  <c r="D1078" i="1"/>
  <c r="B1079" i="1"/>
  <c r="C1079" i="1"/>
  <c r="D1079" i="1" s="1"/>
  <c r="B1080" i="1"/>
  <c r="C1080" i="1"/>
  <c r="D1080" i="1"/>
  <c r="B1081" i="1"/>
  <c r="C1081" i="1"/>
  <c r="D1081" i="1" s="1"/>
  <c r="B1082" i="1"/>
  <c r="C1082" i="1"/>
  <c r="D1082" i="1" s="1"/>
  <c r="B1083" i="1"/>
  <c r="C1083" i="1"/>
  <c r="D1083" i="1" s="1"/>
  <c r="B1084" i="1"/>
  <c r="C1084" i="1"/>
  <c r="D1084" i="1" s="1"/>
  <c r="B1085" i="1"/>
  <c r="C1085" i="1"/>
  <c r="D1085" i="1" s="1"/>
  <c r="B1086" i="1"/>
  <c r="C1086" i="1"/>
  <c r="D1086" i="1"/>
  <c r="B1087" i="1"/>
  <c r="C1087" i="1"/>
  <c r="D1087" i="1" s="1"/>
  <c r="B1088" i="1"/>
  <c r="C1088" i="1"/>
  <c r="D1088" i="1" s="1"/>
  <c r="B1089" i="1"/>
  <c r="C1089" i="1"/>
  <c r="D1089" i="1" s="1"/>
  <c r="B1090" i="1"/>
  <c r="C1090" i="1"/>
  <c r="D1090" i="1" s="1"/>
  <c r="B1091" i="1"/>
  <c r="C1091" i="1"/>
  <c r="D1091" i="1" s="1"/>
  <c r="B1092" i="1"/>
  <c r="C1092" i="1"/>
  <c r="D1092" i="1"/>
  <c r="B1093" i="1"/>
  <c r="C1093" i="1"/>
  <c r="D1093" i="1" s="1"/>
  <c r="B1094" i="1"/>
  <c r="C1094" i="1"/>
  <c r="D1094" i="1" s="1"/>
  <c r="B1095" i="1"/>
  <c r="C1095" i="1"/>
  <c r="D1095" i="1" s="1"/>
  <c r="B1096" i="1"/>
  <c r="C1096" i="1"/>
  <c r="D1096" i="1" s="1"/>
  <c r="B1097" i="1"/>
  <c r="C1097" i="1"/>
  <c r="D1097" i="1" s="1"/>
  <c r="B1098" i="1"/>
  <c r="C1098" i="1"/>
  <c r="D1098" i="1" s="1"/>
  <c r="B1099" i="1"/>
  <c r="C1099" i="1"/>
  <c r="D1099" i="1"/>
  <c r="B1100" i="1"/>
  <c r="C1100" i="1"/>
  <c r="D1100" i="1" s="1"/>
  <c r="B1101" i="1"/>
  <c r="C1101" i="1"/>
  <c r="D1101" i="1" s="1"/>
  <c r="B1102" i="1"/>
  <c r="C1102" i="1"/>
  <c r="D1102" i="1" s="1"/>
  <c r="B1103" i="1"/>
  <c r="C1103" i="1"/>
  <c r="D1103" i="1"/>
  <c r="B1104" i="1"/>
  <c r="C1104" i="1"/>
  <c r="D1104" i="1" s="1"/>
  <c r="B1105" i="1"/>
  <c r="C1105" i="1"/>
  <c r="D1105" i="1" s="1"/>
  <c r="B1106" i="1"/>
  <c r="C1106" i="1"/>
  <c r="D1106" i="1"/>
  <c r="B1107" i="1"/>
  <c r="C1107" i="1"/>
  <c r="D1107" i="1" s="1"/>
  <c r="B1108" i="1"/>
  <c r="C1108" i="1"/>
  <c r="D1108" i="1" s="1"/>
  <c r="B1109" i="1"/>
  <c r="C1109" i="1"/>
  <c r="D1109" i="1" s="1"/>
  <c r="B1110" i="1"/>
  <c r="C1110" i="1"/>
  <c r="D1110" i="1" s="1"/>
  <c r="B1111" i="1"/>
  <c r="C1111" i="1"/>
  <c r="D1111" i="1" s="1"/>
  <c r="B1112" i="1"/>
  <c r="C1112" i="1"/>
  <c r="D1112" i="1"/>
  <c r="B1113" i="1"/>
  <c r="C1113" i="1"/>
  <c r="D1113" i="1" s="1"/>
  <c r="B1114" i="1"/>
  <c r="C1114" i="1"/>
  <c r="D1114" i="1" s="1"/>
  <c r="B1115" i="1"/>
  <c r="C1115" i="1"/>
  <c r="D1115" i="1"/>
  <c r="B1116" i="1"/>
  <c r="C1116" i="1"/>
  <c r="D1116" i="1" s="1"/>
  <c r="B1117" i="1"/>
  <c r="C1117" i="1"/>
  <c r="D1117" i="1" s="1"/>
  <c r="B1118" i="1"/>
  <c r="C1118" i="1"/>
  <c r="D1118" i="1" s="1"/>
  <c r="B1119" i="1"/>
  <c r="C1119" i="1"/>
  <c r="D1119" i="1" s="1"/>
  <c r="B1120" i="1"/>
  <c r="C1120" i="1"/>
  <c r="D1120" i="1" s="1"/>
  <c r="B1121" i="1"/>
  <c r="C1121" i="1"/>
  <c r="D1121" i="1" s="1"/>
  <c r="B1122" i="1"/>
  <c r="C1122" i="1"/>
  <c r="D1122" i="1"/>
  <c r="B1123" i="1"/>
  <c r="C1123" i="1"/>
  <c r="D1123" i="1" s="1"/>
  <c r="B1124" i="1"/>
  <c r="C1124" i="1"/>
  <c r="D1124" i="1"/>
  <c r="B1125" i="1"/>
  <c r="C1125" i="1"/>
  <c r="D1125" i="1" s="1"/>
  <c r="B1126" i="1"/>
  <c r="C1126" i="1"/>
  <c r="D1126" i="1"/>
  <c r="B1127" i="1"/>
  <c r="C1127" i="1"/>
  <c r="D1127" i="1"/>
  <c r="B1128" i="1"/>
  <c r="C1128" i="1"/>
  <c r="D1128" i="1" s="1"/>
  <c r="B1129" i="1"/>
  <c r="C1129" i="1"/>
  <c r="D1129" i="1" s="1"/>
  <c r="B1130" i="1"/>
  <c r="C1130" i="1"/>
  <c r="D1130" i="1"/>
  <c r="B1131" i="1"/>
  <c r="C1131" i="1"/>
  <c r="D1131" i="1" s="1"/>
  <c r="B1132" i="1"/>
  <c r="C1132" i="1"/>
  <c r="D1132" i="1" s="1"/>
  <c r="B1133" i="1"/>
  <c r="C1133" i="1"/>
  <c r="D1133" i="1" s="1"/>
  <c r="B1134" i="1"/>
  <c r="C1134" i="1"/>
  <c r="D1134" i="1"/>
  <c r="B1135" i="1"/>
  <c r="C1135" i="1"/>
  <c r="D1135" i="1" s="1"/>
  <c r="B1136" i="1"/>
  <c r="C1136" i="1"/>
  <c r="D1136" i="1" s="1"/>
  <c r="B1137" i="1"/>
  <c r="C1137" i="1"/>
  <c r="D1137" i="1" s="1"/>
  <c r="B1138" i="1"/>
  <c r="C1138" i="1"/>
  <c r="D1138" i="1"/>
  <c r="B1139" i="1"/>
  <c r="C1139" i="1"/>
  <c r="D1139" i="1" s="1"/>
  <c r="B1140" i="1"/>
  <c r="C1140" i="1"/>
  <c r="D1140" i="1"/>
  <c r="B1141" i="1"/>
  <c r="C1141" i="1"/>
  <c r="D1141" i="1" s="1"/>
  <c r="B1142" i="1"/>
  <c r="C1142" i="1"/>
  <c r="D1142" i="1" s="1"/>
  <c r="B1143" i="1"/>
  <c r="C1143" i="1"/>
  <c r="D1143" i="1" s="1"/>
  <c r="B1144" i="1"/>
  <c r="C1144" i="1"/>
  <c r="D1144" i="1"/>
  <c r="B1145" i="1"/>
  <c r="C1145" i="1"/>
  <c r="D1145" i="1" s="1"/>
  <c r="B1146" i="1"/>
  <c r="C1146" i="1"/>
  <c r="D1146" i="1" s="1"/>
  <c r="B1147" i="1"/>
  <c r="C1147" i="1"/>
  <c r="D1147" i="1" s="1"/>
  <c r="B1148" i="1"/>
  <c r="C1148" i="1"/>
  <c r="D1148" i="1" s="1"/>
  <c r="B1149" i="1"/>
  <c r="C1149" i="1"/>
  <c r="D1149" i="1" s="1"/>
  <c r="B1150" i="1"/>
  <c r="C1150" i="1"/>
  <c r="D1150" i="1" s="1"/>
  <c r="B1151" i="1"/>
  <c r="C1151" i="1"/>
  <c r="D1151" i="1" s="1"/>
  <c r="B1152" i="1"/>
  <c r="C1152" i="1"/>
  <c r="D1152" i="1" s="1"/>
  <c r="B1153" i="1"/>
  <c r="C1153" i="1"/>
  <c r="D1153" i="1" s="1"/>
  <c r="B1154" i="1"/>
  <c r="C1154" i="1"/>
  <c r="D1154" i="1"/>
  <c r="B1155" i="1"/>
  <c r="C1155" i="1"/>
  <c r="D1155" i="1" s="1"/>
  <c r="B1156" i="1"/>
  <c r="C1156" i="1"/>
  <c r="D1156" i="1" s="1"/>
  <c r="B1157" i="1"/>
  <c r="C1157" i="1"/>
  <c r="D1157" i="1" s="1"/>
  <c r="B1158" i="1"/>
  <c r="C1158" i="1"/>
  <c r="D1158" i="1" s="1"/>
  <c r="B1159" i="1"/>
  <c r="C1159" i="1"/>
  <c r="D1159" i="1" s="1"/>
  <c r="B1160" i="1"/>
  <c r="C1160" i="1"/>
  <c r="D1160" i="1" s="1"/>
  <c r="B1161" i="1"/>
  <c r="C1161" i="1"/>
  <c r="D1161" i="1" s="1"/>
  <c r="B1162" i="1"/>
  <c r="C1162" i="1"/>
  <c r="D1162" i="1" s="1"/>
  <c r="B1163" i="1"/>
  <c r="C1163" i="1"/>
  <c r="D1163" i="1"/>
  <c r="B1164" i="1"/>
  <c r="C1164" i="1"/>
  <c r="D1164" i="1" s="1"/>
  <c r="B1165" i="1"/>
  <c r="C1165" i="1"/>
  <c r="D1165" i="1" s="1"/>
  <c r="B1166" i="1"/>
  <c r="C1166" i="1"/>
  <c r="D1166" i="1"/>
  <c r="B1167" i="1"/>
  <c r="C1167" i="1"/>
  <c r="D1167" i="1" s="1"/>
  <c r="B1168" i="1"/>
  <c r="C1168" i="1"/>
  <c r="D1168" i="1" s="1"/>
  <c r="B1169" i="1"/>
  <c r="C1169" i="1"/>
  <c r="D1169" i="1" s="1"/>
  <c r="B1170" i="1"/>
  <c r="C1170" i="1"/>
  <c r="D1170" i="1"/>
  <c r="B1171" i="1"/>
  <c r="C1171" i="1"/>
  <c r="D1171" i="1" s="1"/>
  <c r="B1172" i="1"/>
  <c r="C1172" i="1"/>
  <c r="D1172" i="1"/>
  <c r="B1173" i="1"/>
  <c r="C1173" i="1"/>
  <c r="D1173" i="1" s="1"/>
  <c r="B1174" i="1"/>
  <c r="C1174" i="1"/>
  <c r="D1174" i="1" s="1"/>
  <c r="B1175" i="1"/>
  <c r="C1175" i="1"/>
  <c r="D1175" i="1"/>
  <c r="B1176" i="1"/>
  <c r="C1176" i="1"/>
  <c r="D1176" i="1"/>
  <c r="B1177" i="1"/>
  <c r="C1177" i="1"/>
  <c r="D1177" i="1" s="1"/>
  <c r="B1178" i="1"/>
  <c r="C1178" i="1"/>
  <c r="D1178" i="1" s="1"/>
  <c r="B1179" i="1"/>
  <c r="C1179" i="1"/>
  <c r="D1179" i="1"/>
  <c r="B1180" i="1"/>
  <c r="C1180" i="1"/>
  <c r="D1180" i="1" s="1"/>
  <c r="B1181" i="1"/>
  <c r="C1181" i="1"/>
  <c r="D1181" i="1" s="1"/>
  <c r="B1182" i="1"/>
  <c r="C1182" i="1"/>
  <c r="D1182" i="1"/>
  <c r="B1183" i="1"/>
  <c r="C1183" i="1"/>
  <c r="D1183" i="1" s="1"/>
  <c r="B1184" i="1"/>
  <c r="C1184" i="1"/>
  <c r="D1184" i="1"/>
  <c r="B1185" i="1"/>
  <c r="C1185" i="1"/>
  <c r="D1185" i="1" s="1"/>
  <c r="B1186" i="1"/>
  <c r="C1186" i="1"/>
  <c r="D1186" i="1"/>
  <c r="B1187" i="1"/>
  <c r="C1187" i="1"/>
  <c r="D1187" i="1" s="1"/>
  <c r="B1188" i="1"/>
  <c r="C1188" i="1"/>
  <c r="D1188" i="1"/>
  <c r="B1189" i="1"/>
  <c r="C1189" i="1"/>
  <c r="D1189" i="1" s="1"/>
  <c r="B1190" i="1"/>
  <c r="C1190" i="1"/>
  <c r="D1190" i="1" s="1"/>
  <c r="B1191" i="1"/>
  <c r="C1191" i="1"/>
  <c r="D1191" i="1" s="1"/>
  <c r="B1192" i="1"/>
  <c r="C1192" i="1"/>
  <c r="D1192" i="1" s="1"/>
  <c r="B1193" i="1"/>
  <c r="C1193" i="1"/>
  <c r="D1193" i="1" s="1"/>
  <c r="B1194" i="1"/>
  <c r="C1194" i="1"/>
  <c r="D1194" i="1" s="1"/>
  <c r="B1195" i="1"/>
  <c r="C1195" i="1"/>
  <c r="D1195" i="1"/>
  <c r="B1196" i="1"/>
  <c r="C1196" i="1"/>
  <c r="D1196" i="1" s="1"/>
  <c r="B1197" i="1"/>
  <c r="C1197" i="1"/>
  <c r="D1197" i="1" s="1"/>
  <c r="B1198" i="1"/>
  <c r="C1198" i="1"/>
  <c r="D1198" i="1" s="1"/>
  <c r="B1199" i="1"/>
  <c r="C1199" i="1"/>
  <c r="D1199" i="1"/>
  <c r="B1200" i="1"/>
  <c r="C1200" i="1"/>
  <c r="D1200" i="1" s="1"/>
  <c r="B1201" i="1"/>
  <c r="C1201" i="1"/>
  <c r="D1201" i="1" s="1"/>
  <c r="B1202" i="1"/>
  <c r="C1202" i="1"/>
  <c r="D1202" i="1"/>
  <c r="B1203" i="1"/>
  <c r="C1203" i="1"/>
  <c r="D1203" i="1" s="1"/>
  <c r="B1204" i="1"/>
  <c r="C1204" i="1"/>
  <c r="D1204" i="1" s="1"/>
  <c r="B1205" i="1"/>
  <c r="C1205" i="1"/>
  <c r="D1205" i="1" s="1"/>
  <c r="B1206" i="1"/>
  <c r="C1206" i="1"/>
  <c r="D1206" i="1" s="1"/>
  <c r="B1207" i="1"/>
  <c r="C1207" i="1"/>
  <c r="D1207" i="1"/>
  <c r="B1208" i="1"/>
  <c r="C1208" i="1"/>
  <c r="D1208" i="1" s="1"/>
  <c r="B1209" i="1"/>
  <c r="C1209" i="1"/>
  <c r="D1209" i="1" s="1"/>
  <c r="B1210" i="1"/>
  <c r="C1210" i="1"/>
  <c r="D1210" i="1" s="1"/>
  <c r="B1211" i="1"/>
  <c r="C1211" i="1"/>
  <c r="D1211" i="1"/>
  <c r="B1212" i="1"/>
  <c r="C1212" i="1"/>
  <c r="D1212" i="1" s="1"/>
  <c r="B1213" i="1"/>
  <c r="C1213" i="1"/>
  <c r="D1213" i="1" s="1"/>
  <c r="B1214" i="1"/>
  <c r="C1214" i="1"/>
  <c r="D1214" i="1" s="1"/>
  <c r="B1215" i="1"/>
  <c r="C1215" i="1"/>
  <c r="D1215" i="1" s="1"/>
  <c r="B1216" i="1"/>
  <c r="C1216" i="1"/>
  <c r="D1216" i="1"/>
  <c r="B1217" i="1"/>
  <c r="C1217" i="1"/>
  <c r="D1217" i="1" s="1"/>
  <c r="B1218" i="1"/>
  <c r="C1218" i="1"/>
  <c r="D1218" i="1" s="1"/>
  <c r="B1219" i="1"/>
  <c r="C1219" i="1"/>
  <c r="D1219" i="1" s="1"/>
  <c r="B1220" i="1"/>
  <c r="C1220" i="1"/>
  <c r="D1220" i="1"/>
  <c r="B1221" i="1"/>
  <c r="C1221" i="1"/>
  <c r="D1221" i="1" s="1"/>
  <c r="B1222" i="1"/>
  <c r="C1222" i="1"/>
  <c r="D1222" i="1"/>
  <c r="B1223" i="1"/>
  <c r="C1223" i="1"/>
  <c r="D1223" i="1"/>
  <c r="B1224" i="1"/>
  <c r="C1224" i="1"/>
  <c r="D1224" i="1" s="1"/>
  <c r="B1225" i="1"/>
  <c r="C1225" i="1"/>
  <c r="D1225" i="1" s="1"/>
  <c r="B1226" i="1"/>
  <c r="C1226" i="1"/>
  <c r="D1226" i="1"/>
  <c r="B1227" i="1"/>
  <c r="C1227" i="1"/>
  <c r="D1227" i="1" s="1"/>
  <c r="B1228" i="1"/>
  <c r="C1228" i="1"/>
  <c r="D1228" i="1" s="1"/>
  <c r="B1229" i="1"/>
  <c r="C1229" i="1"/>
  <c r="D1229" i="1" s="1"/>
  <c r="B1230" i="1"/>
  <c r="C1230" i="1"/>
  <c r="D1230" i="1"/>
  <c r="B1231" i="1"/>
  <c r="C1231" i="1"/>
  <c r="D1231" i="1" s="1"/>
  <c r="B1232" i="1"/>
  <c r="C1232" i="1"/>
  <c r="D1232" i="1" s="1"/>
  <c r="B1233" i="1"/>
  <c r="C1233" i="1"/>
  <c r="D1233" i="1" s="1"/>
  <c r="B1234" i="1"/>
  <c r="C1234" i="1"/>
  <c r="D1234" i="1" s="1"/>
  <c r="B1235" i="1"/>
  <c r="C1235" i="1"/>
  <c r="D1235" i="1" s="1"/>
  <c r="B1236" i="1"/>
  <c r="C1236" i="1"/>
  <c r="D1236" i="1"/>
  <c r="B1237" i="1"/>
  <c r="C1237" i="1"/>
  <c r="D1237" i="1" s="1"/>
  <c r="B1238" i="1"/>
  <c r="C1238" i="1"/>
  <c r="D1238" i="1" s="1"/>
  <c r="B1239" i="1"/>
  <c r="C1239" i="1"/>
  <c r="D1239" i="1" s="1"/>
  <c r="B1240" i="1"/>
  <c r="C1240" i="1"/>
  <c r="D1240" i="1"/>
  <c r="B1241" i="1"/>
  <c r="C1241" i="1"/>
  <c r="D1241" i="1" s="1"/>
  <c r="B1242" i="1"/>
  <c r="C1242" i="1"/>
  <c r="D1242" i="1" s="1"/>
  <c r="B1243" i="1"/>
  <c r="C1243" i="1"/>
  <c r="D1243" i="1"/>
  <c r="B1244" i="1"/>
  <c r="C1244" i="1"/>
  <c r="D1244" i="1" s="1"/>
  <c r="B1245" i="1"/>
  <c r="C1245" i="1"/>
  <c r="D1245" i="1" s="1"/>
  <c r="B1246" i="1"/>
  <c r="C1246" i="1"/>
  <c r="D1246" i="1" s="1"/>
  <c r="B1247" i="1"/>
  <c r="C1247" i="1"/>
  <c r="D1247" i="1" s="1"/>
  <c r="B1248" i="1"/>
  <c r="C1248" i="1"/>
  <c r="D1248" i="1"/>
  <c r="B1249" i="1"/>
  <c r="C1249" i="1"/>
  <c r="D1249" i="1" s="1"/>
  <c r="B1250" i="1"/>
  <c r="C1250" i="1"/>
  <c r="D1250" i="1"/>
  <c r="B1251" i="1"/>
  <c r="C1251" i="1"/>
  <c r="D1251" i="1" s="1"/>
  <c r="B1252" i="1"/>
  <c r="C1252" i="1"/>
  <c r="D1252" i="1" s="1"/>
  <c r="B1253" i="1"/>
  <c r="C1253" i="1"/>
  <c r="D1253" i="1" s="1"/>
  <c r="B1254" i="1"/>
  <c r="C1254" i="1"/>
  <c r="D1254" i="1" s="1"/>
  <c r="B1255" i="1"/>
  <c r="C1255" i="1"/>
  <c r="D1255" i="1" s="1"/>
  <c r="B1256" i="1"/>
  <c r="C1256" i="1"/>
  <c r="D1256" i="1" s="1"/>
  <c r="B1257" i="1"/>
  <c r="C1257" i="1"/>
  <c r="D1257" i="1" s="1"/>
  <c r="B1258" i="1"/>
  <c r="C1258" i="1"/>
  <c r="D1258" i="1" s="1"/>
  <c r="B1259" i="1"/>
  <c r="C1259" i="1"/>
  <c r="D1259" i="1"/>
  <c r="B1260" i="1"/>
  <c r="C1260" i="1"/>
  <c r="D1260" i="1" s="1"/>
  <c r="B1261" i="1"/>
  <c r="C1261" i="1"/>
  <c r="D1261" i="1" s="1"/>
  <c r="B1262" i="1"/>
  <c r="C1262" i="1"/>
  <c r="D1262" i="1" s="1"/>
  <c r="B1263" i="1"/>
  <c r="C1263" i="1"/>
  <c r="D1263" i="1" s="1"/>
  <c r="B1264" i="1"/>
  <c r="C1264" i="1"/>
  <c r="D1264" i="1" s="1"/>
  <c r="B1265" i="1"/>
  <c r="C1265" i="1"/>
  <c r="D1265" i="1" s="1"/>
  <c r="B1266" i="1"/>
  <c r="C1266" i="1"/>
  <c r="D1266" i="1"/>
  <c r="B1267" i="1"/>
  <c r="C1267" i="1"/>
  <c r="D1267" i="1" s="1"/>
  <c r="B1268" i="1"/>
  <c r="C1268" i="1"/>
  <c r="D1268" i="1"/>
  <c r="B1269" i="1"/>
  <c r="C1269" i="1"/>
  <c r="D1269" i="1" s="1"/>
  <c r="B1270" i="1"/>
  <c r="C1270" i="1"/>
  <c r="D1270" i="1" s="1"/>
  <c r="B1271" i="1"/>
  <c r="C1271" i="1"/>
  <c r="D1271" i="1"/>
  <c r="B1272" i="1"/>
  <c r="C1272" i="1"/>
  <c r="D1272" i="1" s="1"/>
  <c r="B1273" i="1"/>
  <c r="C1273" i="1"/>
  <c r="D1273" i="1" s="1"/>
  <c r="B1274" i="1"/>
  <c r="C1274" i="1"/>
  <c r="D1274" i="1" s="1"/>
  <c r="B1275" i="1"/>
  <c r="C1275" i="1"/>
  <c r="D1275" i="1"/>
  <c r="B1276" i="1"/>
  <c r="C1276" i="1"/>
  <c r="D1276" i="1" s="1"/>
  <c r="B1277" i="1"/>
  <c r="C1277" i="1"/>
  <c r="D1277" i="1" s="1"/>
  <c r="B1278" i="1"/>
  <c r="C1278" i="1"/>
  <c r="D1278" i="1"/>
  <c r="B1279" i="1"/>
  <c r="C1279" i="1"/>
  <c r="D1279" i="1" s="1"/>
  <c r="B1280" i="1"/>
  <c r="C1280" i="1"/>
  <c r="D1280" i="1"/>
  <c r="B1281" i="1"/>
  <c r="C1281" i="1"/>
  <c r="D1281" i="1" s="1"/>
  <c r="B1282" i="1"/>
  <c r="C1282" i="1"/>
  <c r="D1282" i="1" s="1"/>
  <c r="B1283" i="1"/>
  <c r="C1283" i="1"/>
  <c r="D1283" i="1" s="1"/>
  <c r="B1284" i="1"/>
  <c r="C1284" i="1"/>
  <c r="D1284" i="1"/>
  <c r="B1285" i="1"/>
  <c r="C1285" i="1"/>
  <c r="D1285" i="1" s="1"/>
  <c r="B1286" i="1"/>
  <c r="C1286" i="1"/>
  <c r="D1286" i="1"/>
  <c r="B1287" i="1"/>
  <c r="C1287" i="1"/>
  <c r="D1287" i="1" s="1"/>
  <c r="B1288" i="1"/>
  <c r="C1288" i="1"/>
  <c r="D1288" i="1" s="1"/>
  <c r="B1289" i="1"/>
  <c r="C1289" i="1"/>
  <c r="D1289" i="1" s="1"/>
  <c r="B1290" i="1"/>
  <c r="C1290" i="1"/>
  <c r="D1290" i="1" s="1"/>
  <c r="B1291" i="1"/>
  <c r="C1291" i="1"/>
  <c r="D1291" i="1"/>
  <c r="B1292" i="1"/>
  <c r="C1292" i="1"/>
  <c r="D1292" i="1" s="1"/>
  <c r="B1293" i="1"/>
  <c r="C1293" i="1"/>
  <c r="D1293" i="1" s="1"/>
  <c r="B1294" i="1"/>
  <c r="C1294" i="1"/>
  <c r="D1294" i="1"/>
  <c r="B1295" i="1"/>
  <c r="C1295" i="1"/>
  <c r="D1295" i="1"/>
  <c r="B1296" i="1"/>
  <c r="C1296" i="1"/>
  <c r="D1296" i="1" s="1"/>
  <c r="B1297" i="1"/>
  <c r="C1297" i="1"/>
  <c r="D1297" i="1" s="1"/>
  <c r="B1298" i="1"/>
  <c r="C1298" i="1"/>
  <c r="D1298" i="1"/>
  <c r="B1299" i="1"/>
  <c r="C1299" i="1"/>
  <c r="D1299" i="1" s="1"/>
  <c r="B1300" i="1"/>
  <c r="C1300" i="1"/>
  <c r="D1300" i="1" s="1"/>
  <c r="B1301" i="1"/>
  <c r="C1301" i="1"/>
  <c r="D1301" i="1" s="1"/>
  <c r="B1302" i="1"/>
  <c r="C1302" i="1"/>
  <c r="D1302" i="1" s="1"/>
  <c r="B1303" i="1"/>
  <c r="C1303" i="1"/>
  <c r="D1303" i="1"/>
  <c r="B1304" i="1"/>
  <c r="C1304" i="1"/>
  <c r="D1304" i="1"/>
  <c r="B1305" i="1"/>
  <c r="C1305" i="1"/>
  <c r="D1305" i="1" s="1"/>
  <c r="B1306" i="1"/>
  <c r="C1306" i="1"/>
  <c r="D1306" i="1" s="1"/>
  <c r="B1307" i="1"/>
  <c r="C1307" i="1"/>
  <c r="D1307" i="1"/>
  <c r="B1308" i="1"/>
  <c r="C1308" i="1"/>
  <c r="D1308" i="1" s="1"/>
  <c r="B1309" i="1"/>
  <c r="C1309" i="1"/>
  <c r="D1309" i="1" s="1"/>
  <c r="B1310" i="1"/>
  <c r="C1310" i="1"/>
  <c r="D1310" i="1" s="1"/>
  <c r="B1311" i="1"/>
  <c r="C1311" i="1"/>
  <c r="D1311" i="1" s="1"/>
  <c r="B1312" i="1"/>
  <c r="C1312" i="1"/>
  <c r="D1312" i="1"/>
  <c r="B1313" i="1"/>
  <c r="C1313" i="1"/>
  <c r="D1313" i="1" s="1"/>
  <c r="B1314" i="1"/>
  <c r="C1314" i="1"/>
  <c r="D1314" i="1" s="1"/>
  <c r="B1315" i="1"/>
  <c r="C1315" i="1"/>
  <c r="D1315" i="1" s="1"/>
  <c r="B1316" i="1"/>
  <c r="C1316" i="1"/>
  <c r="D1316" i="1" s="1"/>
  <c r="B1317" i="1"/>
  <c r="C1317" i="1"/>
  <c r="D1317" i="1" s="1"/>
  <c r="B1318" i="1"/>
  <c r="C1318" i="1"/>
  <c r="D1318" i="1"/>
  <c r="B1319" i="1"/>
  <c r="C1319" i="1"/>
  <c r="D1319" i="1" s="1"/>
  <c r="B1320" i="1"/>
  <c r="C1320" i="1"/>
  <c r="D1320" i="1" s="1"/>
  <c r="B1321" i="1"/>
  <c r="C1321" i="1"/>
  <c r="D1321" i="1" s="1"/>
  <c r="B1322" i="1"/>
  <c r="C1322" i="1"/>
  <c r="D1322" i="1"/>
  <c r="B1323" i="1"/>
  <c r="C1323" i="1"/>
  <c r="D1323" i="1"/>
  <c r="B1324" i="1"/>
  <c r="C1324" i="1"/>
  <c r="D1324" i="1" s="1"/>
  <c r="B1325" i="1"/>
  <c r="C1325" i="1"/>
  <c r="D1325" i="1" s="1"/>
  <c r="B1326" i="1"/>
  <c r="C1326" i="1"/>
  <c r="D1326" i="1"/>
  <c r="B1327" i="1"/>
  <c r="C1327" i="1"/>
  <c r="D1327" i="1" s="1"/>
  <c r="B1328" i="1"/>
  <c r="C1328" i="1"/>
  <c r="D1328" i="1" s="1"/>
  <c r="B1329" i="1"/>
  <c r="C1329" i="1"/>
  <c r="D1329" i="1" s="1"/>
  <c r="B1330" i="1"/>
  <c r="C1330" i="1"/>
  <c r="D1330" i="1" s="1"/>
  <c r="B1331" i="1"/>
  <c r="C1331" i="1"/>
  <c r="D1331" i="1" s="1"/>
  <c r="B1332" i="1"/>
  <c r="C1332" i="1"/>
  <c r="D1332" i="1" s="1"/>
  <c r="B1333" i="1"/>
  <c r="C1333" i="1"/>
  <c r="D1333" i="1" s="1"/>
  <c r="B1334" i="1"/>
  <c r="C1334" i="1"/>
  <c r="D1334" i="1"/>
  <c r="B1335" i="1"/>
  <c r="C1335" i="1"/>
  <c r="D1335" i="1" s="1"/>
  <c r="B1336" i="1"/>
  <c r="C1336" i="1"/>
  <c r="D1336" i="1"/>
  <c r="B1337" i="1"/>
  <c r="C1337" i="1"/>
  <c r="D1337" i="1" s="1"/>
  <c r="B1338" i="1"/>
  <c r="C1338" i="1"/>
  <c r="D1338" i="1"/>
  <c r="C2" i="1"/>
  <c r="D2" i="1" s="1"/>
  <c r="B2" i="1"/>
</calcChain>
</file>

<file path=xl/sharedStrings.xml><?xml version="1.0" encoding="utf-8"?>
<sst xmlns="http://schemas.openxmlformats.org/spreadsheetml/2006/main" count="2989" uniqueCount="345">
  <si>
    <t>date_s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</si>
  <si>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</si>
  <si>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</si>
  <si>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</si>
  <si>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</si>
  <si>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</si>
  <si>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</si>
  <si>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</si>
  <si>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</si>
  <si>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</si>
  <si>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</si>
  <si>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</si>
  <si>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</si>
  <si>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</si>
  <si>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</si>
  <si>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</si>
  <si>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</si>
  <si>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</si>
  <si>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</si>
  <si>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</si>
  <si>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</si>
  <si>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</si>
  <si>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</si>
  <si>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</si>
  <si>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</si>
  <si>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</si>
  <si>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</si>
  <si>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</si>
  <si>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</si>
  <si>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</si>
  <si>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</si>
  <si>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</si>
  <si>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</si>
  <si>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</si>
  <si>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</si>
  <si>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</si>
  <si>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</si>
  <si>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</si>
  <si>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</si>
  <si>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</si>
  <si>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</si>
  <si>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</si>
  <si>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</si>
  <si>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</si>
  <si>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</si>
  <si>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</si>
  <si>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</si>
  <si>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</si>
  <si>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</si>
  <si>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</si>
  <si>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</si>
  <si>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</si>
  <si>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</si>
  <si>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</si>
  <si>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</si>
  <si>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</si>
  <si>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</si>
  <si>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</si>
  <si>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</si>
  <si>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</si>
  <si>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</si>
  <si>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</si>
  <si>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</si>
  <si>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</si>
  <si>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</si>
  <si>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</si>
  <si>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</si>
  <si>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</si>
  <si>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</si>
  <si>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</si>
  <si>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</si>
  <si>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</si>
  <si>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</si>
  <si>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</si>
  <si>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</si>
  <si>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</si>
  <si>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</si>
  <si>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</si>
  <si>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</si>
  <si>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</si>
  <si>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</si>
  <si>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</si>
  <si>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</si>
  <si>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</si>
  <si>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</si>
  <si>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</si>
  <si>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</si>
  <si>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</si>
  <si>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</si>
  <si>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</si>
  <si>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</si>
  <si>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</si>
  <si>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</si>
  <si>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</si>
  <si>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</si>
  <si>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</si>
  <si>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</si>
  <si>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</si>
  <si>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</si>
  <si>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</si>
  <si>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</si>
  <si>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</si>
  <si>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</si>
  <si>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</si>
  <si>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</si>
  <si>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</si>
  <si>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</si>
  <si>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</si>
  <si>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</si>
  <si>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</si>
  <si>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</si>
  <si>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</si>
  <si>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</si>
  <si>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</si>
  <si>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</si>
  <si>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</si>
  <si>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</si>
  <si>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</si>
  <si>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</si>
  <si>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</si>
  <si>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</si>
  <si>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</si>
  <si>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</si>
  <si>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</si>
  <si>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</si>
  <si>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</si>
  <si>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</si>
  <si>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</si>
  <si>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</si>
  <si>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</si>
  <si>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</si>
  <si>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</si>
  <si>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</si>
  <si>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</si>
  <si>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</si>
  <si>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</si>
  <si>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</si>
  <si>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</si>
  <si>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</si>
  <si>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</si>
  <si>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</si>
  <si>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</si>
  <si>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</si>
  <si>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</si>
  <si>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</si>
  <si>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</si>
  <si>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</si>
  <si>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</si>
  <si>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</si>
  <si>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</si>
  <si>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</si>
  <si>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</si>
  <si>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</si>
  <si>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</si>
  <si>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</si>
  <si>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</si>
  <si>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</si>
  <si>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</si>
  <si>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</si>
  <si>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</si>
  <si>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</si>
  <si>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</si>
  <si>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</si>
  <si>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</si>
  <si>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</si>
  <si>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</si>
  <si>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</si>
  <si>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</si>
  <si>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</si>
  <si>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</si>
  <si>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</si>
  <si>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</si>
  <si>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</si>
  <si>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</si>
  <si>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</si>
  <si>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</si>
  <si>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</si>
  <si>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</si>
  <si>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</si>
  <si>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</si>
  <si>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</si>
  <si>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</si>
  <si>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</si>
  <si>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</si>
  <si>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</si>
  <si>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</si>
  <si>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</si>
  <si>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</si>
  <si>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</si>
  <si>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</si>
  <si>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</si>
  <si>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</si>
  <si>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</si>
  <si>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</si>
  <si>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</si>
  <si>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</si>
  <si>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</si>
  <si>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</si>
  <si>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</si>
  <si>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</si>
  <si>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</si>
  <si>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</si>
  <si>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</si>
  <si>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</si>
  <si>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</si>
  <si>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</si>
  <si>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</si>
  <si>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</si>
  <si>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</si>
  <si>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</si>
  <si>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</si>
  <si>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</si>
  <si>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</si>
  <si>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</si>
  <si>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</si>
  <si>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</si>
  <si>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</si>
  <si>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</si>
  <si>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</si>
  <si>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</si>
  <si>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</si>
  <si>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</si>
  <si>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</si>
  <si>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</si>
  <si>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</si>
  <si>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</si>
  <si>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</si>
  <si>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</si>
  <si>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</si>
  <si>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</si>
  <si>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</si>
  <si>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</si>
  <si>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</si>
  <si>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</si>
  <si>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</si>
  <si>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</si>
  <si>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</si>
  <si>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</si>
  <si>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</si>
  <si>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</si>
  <si>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</si>
  <si>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</si>
  <si>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</si>
  <si>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</si>
  <si>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</si>
  <si>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</si>
  <si>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</si>
  <si>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</si>
  <si>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</si>
  <si>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</si>
  <si>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</si>
  <si>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</si>
  <si>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</si>
  <si>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</si>
  <si>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</si>
  <si>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</si>
  <si>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</si>
  <si>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</si>
  <si>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</si>
  <si>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</si>
  <si>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</si>
  <si>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</si>
  <si>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</si>
  <si>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</si>
  <si>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</si>
  <si>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</si>
  <si>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</si>
  <si>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</si>
  <si>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</si>
  <si>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</si>
  <si>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</si>
  <si>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</si>
  <si>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</si>
  <si>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</si>
  <si>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</si>
  <si>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</si>
  <si>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</si>
  <si>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</si>
  <si>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</si>
  <si>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</si>
  <si>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</si>
  <si>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</si>
  <si>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</si>
  <si>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</si>
  <si>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</si>
  <si>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</si>
  <si>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</si>
  <si>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</si>
  <si>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</si>
  <si>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</si>
  <si>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</si>
  <si>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</si>
  <si>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</si>
  <si>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</si>
  <si>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</si>
  <si>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</si>
  <si>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</si>
  <si>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</si>
  <si>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</si>
  <si>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</si>
  <si>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</si>
  <si>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</si>
  <si>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</si>
  <si>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</si>
  <si>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</si>
  <si>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</si>
  <si>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</si>
  <si>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</si>
  <si>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</si>
  <si>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</si>
  <si>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</si>
  <si>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</si>
  <si>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pais</t>
  </si>
  <si>
    <t>Brasil</t>
  </si>
  <si>
    <t>shock</t>
  </si>
  <si>
    <t>median_forecast</t>
  </si>
  <si>
    <t>policy_rate</t>
  </si>
  <si>
    <t>IMF_shock</t>
  </si>
  <si>
    <t>mean_forecast</t>
  </si>
  <si>
    <t>shock2</t>
  </si>
  <si>
    <t>.</t>
  </si>
  <si>
    <t>--</t>
  </si>
  <si>
    <t>Chile</t>
  </si>
  <si>
    <t>Colombia</t>
  </si>
  <si>
    <t>R_R_vacio</t>
  </si>
  <si>
    <t>Romero_etal_OIS</t>
  </si>
  <si>
    <t>Mexico</t>
  </si>
  <si>
    <t>Peru</t>
  </si>
  <si>
    <r>
      <t>1.  date_s</t>
    </r>
    <r>
      <rPr>
        <sz val="11"/>
        <color theme="1"/>
        <rFont val="Calibri"/>
        <family val="2"/>
        <scheme val="minor"/>
      </rPr>
      <t xml:space="preserve"> tiene la fecha, </t>
    </r>
  </si>
  <si>
    <r>
      <t>2. pais</t>
    </r>
    <r>
      <rPr>
        <sz val="11"/>
        <color theme="1"/>
        <rFont val="Calibri"/>
        <family val="2"/>
        <scheme val="minor"/>
      </rPr>
      <t xml:space="preserve"> tiene el país, </t>
    </r>
  </si>
  <si>
    <r>
      <t>3. shock</t>
    </r>
    <r>
      <rPr>
        <sz val="11"/>
        <color theme="1"/>
        <rFont val="Calibri"/>
        <family val="2"/>
        <scheme val="minor"/>
      </rPr>
      <t xml:space="preserve"> tiene el choque de Bloomberg (medido como la diferencia entre la tasa de política, </t>
    </r>
    <r>
      <rPr>
        <b/>
        <sz val="11"/>
        <color theme="1"/>
        <rFont val="Calibri"/>
        <family val="2"/>
        <scheme val="minor"/>
      </rPr>
      <t>policy_rate,</t>
    </r>
    <r>
      <rPr>
        <sz val="11"/>
        <color theme="1"/>
        <rFont val="Calibri"/>
        <family val="2"/>
        <scheme val="minor"/>
      </rPr>
      <t xml:space="preserve"> y el pronóstico mediano de los analistas, </t>
    </r>
    <r>
      <rPr>
        <b/>
        <sz val="11"/>
        <color theme="1"/>
        <rFont val="Calibri"/>
        <family val="2"/>
        <scheme val="minor"/>
      </rPr>
      <t>median_forecast</t>
    </r>
    <r>
      <rPr>
        <sz val="11"/>
        <color theme="1"/>
        <rFont val="Calibri"/>
        <family val="2"/>
        <scheme val="minor"/>
      </rPr>
      <t>)</t>
    </r>
  </si>
  <si>
    <r>
      <t>4. IMF_shock</t>
    </r>
    <r>
      <rPr>
        <sz val="11"/>
        <color theme="1"/>
        <rFont val="Calibri"/>
        <family val="2"/>
        <scheme val="minor"/>
      </rPr>
      <t xml:space="preserve"> es el choque de Bolhuis et al. de alta frecuencia que usa los swaps de tasas de interés para Brasil, Chile y México. Para el resto de períodos hay missings (.)</t>
    </r>
  </si>
  <si>
    <r>
      <t>5. shock2</t>
    </r>
    <r>
      <rPr>
        <sz val="11"/>
        <color theme="1"/>
        <rFont val="Calibri"/>
        <family val="2"/>
        <scheme val="minor"/>
      </rPr>
      <t xml:space="preserve"> tiene el choque de Bloomberg medido como la diferencia entre la tasa de política, </t>
    </r>
    <r>
      <rPr>
        <b/>
        <sz val="11"/>
        <color theme="1"/>
        <rFont val="Calibri"/>
        <family val="2"/>
        <scheme val="minor"/>
      </rPr>
      <t>policy_rate,</t>
    </r>
    <r>
      <rPr>
        <sz val="11"/>
        <color theme="1"/>
        <rFont val="Calibri"/>
        <family val="2"/>
        <scheme val="minor"/>
      </rPr>
      <t xml:space="preserve"> y el pronóstico promedio de los analistas, </t>
    </r>
    <r>
      <rPr>
        <b/>
        <sz val="11"/>
        <color theme="1"/>
        <rFont val="Calibri"/>
        <family val="2"/>
        <scheme val="minor"/>
      </rPr>
      <t>mean_forecast</t>
    </r>
  </si>
  <si>
    <r>
      <t>6. R_R_vacio</t>
    </r>
    <r>
      <rPr>
        <sz val="11"/>
        <color theme="1"/>
        <rFont val="Calibri"/>
        <family val="2"/>
        <scheme val="minor"/>
      </rPr>
      <t xml:space="preserve"> tiene los choques de Romer y Romer estimados por Jose Pulido para Colombia que dejan un 0 en los meses donde no hay reunión. él también tiene una opción donde interpola los choques para esos períodos, pero a mi me sirvieron más estos entonces son los que usé. </t>
    </r>
  </si>
  <si>
    <r>
      <t>7. Romero_etal_OIS</t>
    </r>
    <r>
      <rPr>
        <sz val="11"/>
        <color theme="1"/>
        <rFont val="Calibri"/>
        <family val="2"/>
        <scheme val="minor"/>
      </rPr>
      <t xml:space="preserve"> tiene los choques de alta frecuencia de Jose Vicente Romero estimados para Colombia que usan los swaps del IBR.</t>
    </r>
  </si>
  <si>
    <t>año</t>
  </si>
  <si>
    <t>Mes</t>
  </si>
  <si>
    <t>Trimestre</t>
  </si>
  <si>
    <t>Total general</t>
  </si>
  <si>
    <t>Promedio de IMF_shock</t>
  </si>
  <si>
    <t>Promedio de shock</t>
  </si>
  <si>
    <t>bloom</t>
  </si>
  <si>
    <t>Bolhuis</t>
  </si>
  <si>
    <t>Promedio de shock2</t>
  </si>
  <si>
    <t>Bloom2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</si>
</sst>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0" borderId="0" xfId="0" pivotButton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ulín Méndez Oscar Fernando" refreshedDate="46017.406358449072" createdVersion="8" refreshedVersion="8" minRefreshableVersion="3" recordCount="1337" xr:uid="{506C5BD7-B2D3-4CFB-8288-F9C73E482249}">
  <cacheSource type="worksheet">
    <worksheetSource ref="B1:M1338" sheet="Hoja1"/>
  </cacheSource>
  <cacheFields count="12">
    <cacheField name="año" numFmtId="0">
      <sharedItems containsSemiMixedTypes="0" containsString="0" containsNumber="1" containsInteger="1" minValue="1999" maxValue="2025" count="27"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Mes" numFmtId="0">
      <sharedItems containsSemiMixedTypes="0" containsString="0" containsNumber="1" containsInteger="1" minValue="1" maxValue="12" count="12">
        <n v="7"/>
        <n v="8"/>
        <n v="9"/>
        <n v="10"/>
        <n v="11"/>
        <n v="12"/>
        <n v="1"/>
        <n v="2"/>
        <n v="3"/>
        <n v="4"/>
        <n v="5"/>
        <n v="6"/>
      </sharedItems>
    </cacheField>
    <cacheField name="Trimestre" numFmtId="0">
      <sharedItems containsSemiMixedTypes="0" containsString="0" containsNumber="1" containsInteger="1" minValue="1" maxValue="4" count="4">
        <n v="3"/>
        <n v="4"/>
        <n v="1"/>
        <n v="2"/>
      </sharedItems>
    </cacheField>
    <cacheField name="pais" numFmtId="0">
      <sharedItems count="5">
        <s v="Brasil"/>
        <s v="Chile"/>
        <s v="Colombia"/>
        <s v="Mexico"/>
        <s v="Peru"/>
      </sharedItems>
    </cacheField>
    <cacheField name="shock" numFmtId="0">
      <sharedItems containsSemiMixedTypes="0" containsString="0" containsNumber="1" minValue="-150" maxValue="100"/>
    </cacheField>
    <cacheField name="median_forecast" numFmtId="0">
      <sharedItems containsSemiMixedTypes="0" containsString="0" containsNumber="1" minValue="0.25" maxValue="26.5"/>
    </cacheField>
    <cacheField name="policy_rate" numFmtId="0">
      <sharedItems containsSemiMixedTypes="0" containsString="0" containsNumber="1" minValue="0.25" maxValue="26.5"/>
    </cacheField>
    <cacheField name="IMF_shock" numFmtId="0">
      <sharedItems containsString="0" containsBlank="1" containsNumber="1" minValue="-93" maxValue="72"/>
    </cacheField>
    <cacheField name="mean_forecast" numFmtId="0">
      <sharedItems containsMixedTypes="1" containsNumber="1" minValue="0.25" maxValue="26.761900000000001"/>
    </cacheField>
    <cacheField name="shock2" numFmtId="0">
      <sharedItems containsSemiMixedTypes="0" containsString="0" containsNumber="1" minValue="-139.583" maxValue="34.380000000000003"/>
    </cacheField>
    <cacheField name="R_R_vacio" numFmtId="0">
      <sharedItems containsBlank="1" containsMixedTypes="1" containsNumber="1" minValue="-0.80989999999999995" maxValue="0.78764999999999996"/>
    </cacheField>
    <cacheField name="Romero_etal_OIS" numFmtId="0">
      <sharedItems containsString="0" containsBlank="1" containsNumber="1" minValue="-1.0740000000000001" maxValue="0.2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x v="0"/>
    <x v="0"/>
    <x v="0"/>
    <x v="0"/>
    <n v="-100"/>
    <n v="20.5"/>
    <n v="19.5"/>
    <m/>
    <n v="20.291699999999999"/>
    <n v="-0.79169999999999996"/>
    <m/>
    <m/>
  </r>
  <r>
    <x v="0"/>
    <x v="1"/>
    <x v="0"/>
    <x v="0"/>
    <n v="0"/>
    <n v="19.5"/>
    <n v="19.5"/>
    <m/>
    <n v="19.333300000000001"/>
    <n v="0.16669999999999999"/>
    <m/>
    <m/>
  </r>
  <r>
    <x v="0"/>
    <x v="2"/>
    <x v="0"/>
    <x v="0"/>
    <n v="0"/>
    <n v="19"/>
    <n v="19"/>
    <m/>
    <n v="19.095199999999998"/>
    <n v="-9.5200000000000007E-2"/>
    <m/>
    <m/>
  </r>
  <r>
    <x v="0"/>
    <x v="3"/>
    <x v="1"/>
    <x v="0"/>
    <n v="0"/>
    <n v="19"/>
    <n v="19"/>
    <m/>
    <n v="18.95"/>
    <n v="0.05"/>
    <m/>
    <m/>
  </r>
  <r>
    <x v="0"/>
    <x v="4"/>
    <x v="1"/>
    <x v="0"/>
    <n v="25"/>
    <n v="18.75"/>
    <n v="19"/>
    <m/>
    <n v="18.765599999999999"/>
    <n v="0.2344"/>
    <m/>
    <m/>
  </r>
  <r>
    <x v="0"/>
    <x v="5"/>
    <x v="1"/>
    <x v="0"/>
    <n v="0"/>
    <n v="19"/>
    <n v="19"/>
    <m/>
    <n v="19"/>
    <n v="0"/>
    <m/>
    <m/>
  </r>
  <r>
    <x v="1"/>
    <x v="6"/>
    <x v="2"/>
    <x v="0"/>
    <n v="0"/>
    <n v="19"/>
    <n v="19"/>
    <m/>
    <n v="18.916699999999999"/>
    <n v="8.3299999999999999E-2"/>
    <m/>
    <m/>
  </r>
  <r>
    <x v="1"/>
    <x v="7"/>
    <x v="2"/>
    <x v="0"/>
    <n v="0"/>
    <n v="19"/>
    <n v="19"/>
    <m/>
    <n v="18.911799999999999"/>
    <n v="8.8200000000000001E-2"/>
    <m/>
    <m/>
  </r>
  <r>
    <x v="1"/>
    <x v="8"/>
    <x v="2"/>
    <x v="0"/>
    <n v="-50"/>
    <n v="19"/>
    <n v="18.5"/>
    <m/>
    <n v="18.944400000000002"/>
    <n v="-0.44440000000000002"/>
    <m/>
    <m/>
  </r>
  <r>
    <x v="1"/>
    <x v="9"/>
    <x v="3"/>
    <x v="0"/>
    <n v="0"/>
    <n v="18.5"/>
    <n v="18.5"/>
    <m/>
    <s v="--"/>
    <n v="0"/>
    <m/>
    <m/>
  </r>
  <r>
    <x v="1"/>
    <x v="10"/>
    <x v="3"/>
    <x v="0"/>
    <n v="0"/>
    <n v="18.5"/>
    <n v="18.5"/>
    <m/>
    <n v="18.5"/>
    <n v="0"/>
    <m/>
    <m/>
  </r>
  <r>
    <x v="1"/>
    <x v="11"/>
    <x v="3"/>
    <x v="0"/>
    <n v="-100"/>
    <n v="18.5"/>
    <n v="17.5"/>
    <m/>
    <n v="18.43"/>
    <n v="-0.93"/>
    <m/>
    <m/>
  </r>
  <r>
    <x v="1"/>
    <x v="0"/>
    <x v="0"/>
    <x v="0"/>
    <n v="-100"/>
    <n v="17.5"/>
    <n v="16.5"/>
    <m/>
    <n v="16.934799999999999"/>
    <n v="-0.43480000000000002"/>
    <m/>
    <m/>
  </r>
  <r>
    <x v="1"/>
    <x v="1"/>
    <x v="0"/>
    <x v="0"/>
    <n v="25"/>
    <n v="16.25"/>
    <n v="16.5"/>
    <m/>
    <n v="16.258299999999998"/>
    <n v="0.2417"/>
    <m/>
    <m/>
  </r>
  <r>
    <x v="1"/>
    <x v="2"/>
    <x v="0"/>
    <x v="0"/>
    <n v="0"/>
    <n v="16.5"/>
    <n v="16.5"/>
    <m/>
    <n v="16.5"/>
    <n v="0"/>
    <m/>
    <m/>
  </r>
  <r>
    <x v="1"/>
    <x v="3"/>
    <x v="1"/>
    <x v="0"/>
    <n v="0"/>
    <n v="16.5"/>
    <n v="16.5"/>
    <m/>
    <n v="16.5"/>
    <n v="0"/>
    <m/>
    <m/>
  </r>
  <r>
    <x v="1"/>
    <x v="4"/>
    <x v="1"/>
    <x v="0"/>
    <n v="0"/>
    <n v="16.5"/>
    <n v="16.5"/>
    <m/>
    <n v="16.489100000000001"/>
    <n v="1.09E-2"/>
    <m/>
    <m/>
  </r>
  <r>
    <x v="1"/>
    <x v="5"/>
    <x v="1"/>
    <x v="0"/>
    <n v="-25"/>
    <n v="16"/>
    <n v="15.75"/>
    <m/>
    <n v="16.090900000000001"/>
    <n v="-0.34089999999999998"/>
    <m/>
    <m/>
  </r>
  <r>
    <x v="2"/>
    <x v="6"/>
    <x v="2"/>
    <x v="0"/>
    <n v="0"/>
    <n v="15.25"/>
    <n v="15.25"/>
    <m/>
    <n v="15.375"/>
    <n v="-0.125"/>
    <m/>
    <m/>
  </r>
  <r>
    <x v="2"/>
    <x v="7"/>
    <x v="2"/>
    <x v="0"/>
    <n v="25"/>
    <n v="15"/>
    <n v="15.25"/>
    <m/>
    <n v="15.023400000000001"/>
    <n v="0.2266"/>
    <m/>
    <m/>
  </r>
  <r>
    <x v="2"/>
    <x v="8"/>
    <x v="2"/>
    <x v="0"/>
    <n v="50"/>
    <n v="15.25"/>
    <n v="15.75"/>
    <m/>
    <n v="15.25"/>
    <n v="0.5"/>
    <m/>
    <m/>
  </r>
  <r>
    <x v="2"/>
    <x v="9"/>
    <x v="3"/>
    <x v="0"/>
    <n v="50"/>
    <n v="15.75"/>
    <n v="16.25"/>
    <m/>
    <n v="15.96"/>
    <n v="0.28999999999999998"/>
    <m/>
    <m/>
  </r>
  <r>
    <x v="2"/>
    <x v="10"/>
    <x v="3"/>
    <x v="0"/>
    <n v="0"/>
    <n v="16.75"/>
    <n v="16.75"/>
    <m/>
    <n v="16.671099999999999"/>
    <n v="7.8899999999999998E-2"/>
    <m/>
    <m/>
  </r>
  <r>
    <x v="2"/>
    <x v="11"/>
    <x v="3"/>
    <x v="0"/>
    <n v="100"/>
    <n v="17.25"/>
    <n v="18.25"/>
    <m/>
    <n v="17.092600000000001"/>
    <n v="1.1574"/>
    <m/>
    <m/>
  </r>
  <r>
    <x v="2"/>
    <x v="0"/>
    <x v="0"/>
    <x v="0"/>
    <n v="-25"/>
    <n v="19.25"/>
    <n v="19"/>
    <m/>
    <n v="19.39"/>
    <n v="-0.39"/>
    <m/>
    <m/>
  </r>
  <r>
    <x v="2"/>
    <x v="1"/>
    <x v="0"/>
    <x v="0"/>
    <n v="0"/>
    <n v="19"/>
    <n v="19"/>
    <m/>
    <n v="19.107099999999999"/>
    <n v="-0.1071"/>
    <m/>
    <m/>
  </r>
  <r>
    <x v="2"/>
    <x v="2"/>
    <x v="0"/>
    <x v="0"/>
    <n v="0"/>
    <n v="19"/>
    <n v="19"/>
    <m/>
    <n v="19"/>
    <n v="0"/>
    <m/>
    <m/>
  </r>
  <r>
    <x v="2"/>
    <x v="3"/>
    <x v="1"/>
    <x v="0"/>
    <n v="0"/>
    <n v="19"/>
    <n v="19"/>
    <m/>
    <n v="19.021699999999999"/>
    <n v="-2.1700000000000001E-2"/>
    <m/>
    <m/>
  </r>
  <r>
    <x v="2"/>
    <x v="4"/>
    <x v="1"/>
    <x v="0"/>
    <n v="0"/>
    <n v="19"/>
    <n v="19"/>
    <m/>
    <n v="18.979199999999999"/>
    <n v="2.0799999999999999E-2"/>
    <m/>
    <m/>
  </r>
  <r>
    <x v="2"/>
    <x v="5"/>
    <x v="1"/>
    <x v="0"/>
    <n v="0"/>
    <n v="19"/>
    <n v="19"/>
    <m/>
    <n v="19"/>
    <n v="0"/>
    <m/>
    <m/>
  </r>
  <r>
    <x v="3"/>
    <x v="6"/>
    <x v="2"/>
    <x v="0"/>
    <n v="0"/>
    <n v="19"/>
    <n v="19"/>
    <m/>
    <n v="19"/>
    <n v="0"/>
    <m/>
    <m/>
  </r>
  <r>
    <x v="3"/>
    <x v="7"/>
    <x v="2"/>
    <x v="0"/>
    <n v="-25"/>
    <n v="19"/>
    <n v="18.75"/>
    <m/>
    <n v="19"/>
    <n v="-0.25"/>
    <m/>
    <m/>
  </r>
  <r>
    <x v="3"/>
    <x v="8"/>
    <x v="2"/>
    <x v="0"/>
    <n v="25"/>
    <n v="18.25"/>
    <n v="18.5"/>
    <m/>
    <n v="18.343800000000002"/>
    <n v="0.15620000000000001"/>
    <m/>
    <m/>
  </r>
  <r>
    <x v="3"/>
    <x v="9"/>
    <x v="3"/>
    <x v="0"/>
    <n v="25"/>
    <n v="18.25"/>
    <n v="18.5"/>
    <m/>
    <n v="18.324100000000001"/>
    <n v="0.1759"/>
    <m/>
    <m/>
  </r>
  <r>
    <x v="3"/>
    <x v="10"/>
    <x v="3"/>
    <x v="0"/>
    <n v="0"/>
    <n v="18.5"/>
    <n v="18.5"/>
    <m/>
    <n v="18.464300000000001"/>
    <n v="3.5700000000000003E-2"/>
    <m/>
    <m/>
  </r>
  <r>
    <x v="3"/>
    <x v="11"/>
    <x v="3"/>
    <x v="0"/>
    <n v="0"/>
    <n v="18.5"/>
    <n v="18.5"/>
    <m/>
    <n v="18.468800000000002"/>
    <n v="3.1199999999999999E-2"/>
    <m/>
    <m/>
  </r>
  <r>
    <x v="3"/>
    <x v="0"/>
    <x v="0"/>
    <x v="0"/>
    <n v="-50"/>
    <n v="18.5"/>
    <n v="18"/>
    <m/>
    <n v="18.36"/>
    <n v="-0.36"/>
    <m/>
    <m/>
  </r>
  <r>
    <x v="3"/>
    <x v="1"/>
    <x v="0"/>
    <x v="0"/>
    <n v="0"/>
    <n v="18"/>
    <n v="18"/>
    <m/>
    <n v="17.8977"/>
    <n v="0.1023"/>
    <m/>
    <m/>
  </r>
  <r>
    <x v="3"/>
    <x v="2"/>
    <x v="0"/>
    <x v="0"/>
    <n v="0"/>
    <n v="18"/>
    <n v="18"/>
    <m/>
    <n v="17.95"/>
    <n v="0.05"/>
    <m/>
    <m/>
  </r>
  <r>
    <x v="3"/>
    <x v="3"/>
    <x v="1"/>
    <x v="0"/>
    <n v="0"/>
    <n v="21"/>
    <n v="21"/>
    <m/>
    <n v="21"/>
    <n v="0"/>
    <m/>
    <m/>
  </r>
  <r>
    <x v="3"/>
    <x v="4"/>
    <x v="1"/>
    <x v="0"/>
    <n v="0"/>
    <n v="22"/>
    <n v="22"/>
    <m/>
    <n v="21.885400000000001"/>
    <n v="0.11459999999999999"/>
    <m/>
    <m/>
  </r>
  <r>
    <x v="3"/>
    <x v="5"/>
    <x v="1"/>
    <x v="0"/>
    <n v="100"/>
    <n v="24"/>
    <n v="25"/>
    <m/>
    <n v="24.2"/>
    <n v="0.8"/>
    <m/>
    <m/>
  </r>
  <r>
    <x v="4"/>
    <x v="6"/>
    <x v="2"/>
    <x v="0"/>
    <n v="50"/>
    <n v="25"/>
    <n v="25.5"/>
    <m/>
    <n v="25.363600000000002"/>
    <n v="0.13639999999999999"/>
    <m/>
    <m/>
  </r>
  <r>
    <x v="4"/>
    <x v="7"/>
    <x v="2"/>
    <x v="0"/>
    <n v="0"/>
    <n v="26.5"/>
    <n v="26.5"/>
    <m/>
    <n v="26.5"/>
    <n v="0"/>
    <m/>
    <m/>
  </r>
  <r>
    <x v="4"/>
    <x v="8"/>
    <x v="2"/>
    <x v="0"/>
    <n v="0"/>
    <n v="26.5"/>
    <n v="26.5"/>
    <m/>
    <n v="26.761900000000001"/>
    <n v="-0.26190000000000002"/>
    <m/>
    <m/>
  </r>
  <r>
    <x v="4"/>
    <x v="9"/>
    <x v="3"/>
    <x v="0"/>
    <n v="0"/>
    <n v="26.5"/>
    <n v="26.5"/>
    <m/>
    <n v="26.657900000000001"/>
    <n v="-0.15790000000000001"/>
    <m/>
    <m/>
  </r>
  <r>
    <x v="4"/>
    <x v="10"/>
    <x v="3"/>
    <x v="0"/>
    <n v="0"/>
    <n v="26.5"/>
    <n v="26.5"/>
    <m/>
    <n v="26.452400000000001"/>
    <n v="4.7600000000000003E-2"/>
    <m/>
    <m/>
  </r>
  <r>
    <x v="4"/>
    <x v="11"/>
    <x v="3"/>
    <x v="0"/>
    <n v="-50"/>
    <n v="26.5"/>
    <n v="26"/>
    <m/>
    <n v="26.220600000000001"/>
    <n v="-0.22059999999999999"/>
    <m/>
    <m/>
  </r>
  <r>
    <x v="4"/>
    <x v="0"/>
    <x v="0"/>
    <x v="0"/>
    <n v="0"/>
    <n v="24.5"/>
    <n v="24.5"/>
    <m/>
    <n v="24.375"/>
    <n v="0.125"/>
    <m/>
    <m/>
  </r>
  <r>
    <x v="4"/>
    <x v="1"/>
    <x v="0"/>
    <x v="0"/>
    <n v="-100"/>
    <n v="23"/>
    <n v="22"/>
    <m/>
    <n v="22.777799999999999"/>
    <n v="-0.77780000000000005"/>
    <m/>
    <m/>
  </r>
  <r>
    <x v="4"/>
    <x v="2"/>
    <x v="0"/>
    <x v="0"/>
    <n v="0"/>
    <n v="20"/>
    <n v="20"/>
    <m/>
    <n v="20"/>
    <n v="0"/>
    <m/>
    <m/>
  </r>
  <r>
    <x v="4"/>
    <x v="3"/>
    <x v="1"/>
    <x v="0"/>
    <n v="0"/>
    <n v="19"/>
    <n v="19"/>
    <m/>
    <n v="18.842099999999999"/>
    <n v="0.15790000000000001"/>
    <m/>
    <m/>
  </r>
  <r>
    <x v="4"/>
    <x v="4"/>
    <x v="1"/>
    <x v="0"/>
    <n v="-50"/>
    <n v="18"/>
    <n v="17.5"/>
    <m/>
    <n v="18.059999999999999"/>
    <n v="-0.56000000000000005"/>
    <m/>
    <m/>
  </r>
  <r>
    <x v="4"/>
    <x v="5"/>
    <x v="1"/>
    <x v="0"/>
    <n v="0"/>
    <n v="16.5"/>
    <n v="16.5"/>
    <m/>
    <n v="16.440000000000001"/>
    <n v="0.06"/>
    <m/>
    <m/>
  </r>
  <r>
    <x v="5"/>
    <x v="6"/>
    <x v="2"/>
    <x v="0"/>
    <n v="50"/>
    <n v="16"/>
    <n v="16.5"/>
    <m/>
    <n v="15.946999999999999"/>
    <n v="0.55300000000000005"/>
    <m/>
    <m/>
  </r>
  <r>
    <x v="5"/>
    <x v="7"/>
    <x v="2"/>
    <x v="0"/>
    <n v="0"/>
    <n v="16.5"/>
    <n v="16.5"/>
    <m/>
    <n v="16.489999999999998"/>
    <n v="0.01"/>
    <m/>
    <m/>
  </r>
  <r>
    <x v="5"/>
    <x v="8"/>
    <x v="2"/>
    <x v="0"/>
    <n v="-25"/>
    <n v="16.5"/>
    <n v="16.25"/>
    <m/>
    <n v="16.490400000000001"/>
    <n v="-0.2404"/>
    <m/>
    <m/>
  </r>
  <r>
    <x v="5"/>
    <x v="9"/>
    <x v="3"/>
    <x v="0"/>
    <n v="0"/>
    <n v="16"/>
    <n v="16"/>
    <m/>
    <n v="16"/>
    <n v="0"/>
    <m/>
    <m/>
  </r>
  <r>
    <x v="5"/>
    <x v="10"/>
    <x v="3"/>
    <x v="0"/>
    <n v="0"/>
    <n v="16"/>
    <n v="16"/>
    <m/>
    <n v="15.875"/>
    <n v="0.125"/>
    <m/>
    <m/>
  </r>
  <r>
    <x v="5"/>
    <x v="11"/>
    <x v="3"/>
    <x v="0"/>
    <n v="0"/>
    <n v="16"/>
    <n v="16"/>
    <m/>
    <n v="16"/>
    <n v="0"/>
    <m/>
    <m/>
  </r>
  <r>
    <x v="5"/>
    <x v="0"/>
    <x v="0"/>
    <x v="0"/>
    <n v="0"/>
    <n v="16"/>
    <n v="16"/>
    <m/>
    <n v="16"/>
    <n v="0"/>
    <m/>
    <m/>
  </r>
  <r>
    <x v="5"/>
    <x v="1"/>
    <x v="0"/>
    <x v="0"/>
    <n v="0"/>
    <n v="16"/>
    <n v="16"/>
    <m/>
    <n v="16"/>
    <n v="0"/>
    <m/>
    <m/>
  </r>
  <r>
    <x v="5"/>
    <x v="2"/>
    <x v="0"/>
    <x v="0"/>
    <n v="0"/>
    <n v="16.25"/>
    <n v="16.25"/>
    <m/>
    <n v="16.2788"/>
    <n v="-2.8799999999999999E-2"/>
    <m/>
    <m/>
  </r>
  <r>
    <x v="5"/>
    <x v="3"/>
    <x v="1"/>
    <x v="0"/>
    <n v="25"/>
    <n v="16.5"/>
    <n v="16.75"/>
    <m/>
    <n v="16.536999999999999"/>
    <n v="0.21299999999999999"/>
    <m/>
    <m/>
  </r>
  <r>
    <x v="5"/>
    <x v="4"/>
    <x v="1"/>
    <x v="0"/>
    <n v="0"/>
    <n v="17.25"/>
    <n v="17.25"/>
    <m/>
    <n v="17.238600000000002"/>
    <n v="1.14E-2"/>
    <m/>
    <m/>
  </r>
  <r>
    <x v="5"/>
    <x v="5"/>
    <x v="1"/>
    <x v="0"/>
    <n v="0"/>
    <n v="17.75"/>
    <n v="17.75"/>
    <m/>
    <n v="17.708300000000001"/>
    <n v="4.1700000000000001E-2"/>
    <m/>
    <m/>
  </r>
  <r>
    <x v="6"/>
    <x v="6"/>
    <x v="2"/>
    <x v="0"/>
    <n v="0"/>
    <n v="18.25"/>
    <n v="18.25"/>
    <m/>
    <n v="18.177099999999999"/>
    <n v="7.2900000000000006E-2"/>
    <m/>
    <m/>
  </r>
  <r>
    <x v="6"/>
    <x v="7"/>
    <x v="2"/>
    <x v="0"/>
    <n v="0"/>
    <n v="18.75"/>
    <n v="18.75"/>
    <m/>
    <n v="18.75"/>
    <n v="0"/>
    <m/>
    <m/>
  </r>
  <r>
    <x v="6"/>
    <x v="8"/>
    <x v="2"/>
    <x v="0"/>
    <n v="0"/>
    <n v="19.25"/>
    <n v="19.25"/>
    <m/>
    <n v="19.1417"/>
    <n v="0.10829999999999999"/>
    <m/>
    <m/>
  </r>
  <r>
    <x v="6"/>
    <x v="9"/>
    <x v="3"/>
    <x v="0"/>
    <n v="25"/>
    <n v="19.25"/>
    <n v="19.5"/>
    <m/>
    <n v="19.3583"/>
    <n v="0.14169999999999999"/>
    <m/>
    <m/>
  </r>
  <r>
    <x v="6"/>
    <x v="10"/>
    <x v="3"/>
    <x v="0"/>
    <n v="25"/>
    <n v="19.5"/>
    <n v="19.75"/>
    <m/>
    <n v="19.621600000000001"/>
    <n v="0.12839999999999999"/>
    <m/>
    <m/>
  </r>
  <r>
    <x v="6"/>
    <x v="11"/>
    <x v="3"/>
    <x v="0"/>
    <n v="0"/>
    <n v="19.75"/>
    <n v="19.75"/>
    <m/>
    <n v="19.760000000000002"/>
    <n v="-0.01"/>
    <m/>
    <m/>
  </r>
  <r>
    <x v="6"/>
    <x v="0"/>
    <x v="0"/>
    <x v="0"/>
    <n v="0"/>
    <n v="19.75"/>
    <n v="19.75"/>
    <m/>
    <n v="19.75"/>
    <n v="0"/>
    <m/>
    <m/>
  </r>
  <r>
    <x v="6"/>
    <x v="1"/>
    <x v="0"/>
    <x v="0"/>
    <n v="0"/>
    <n v="19.75"/>
    <n v="19.75"/>
    <m/>
    <n v="19.703700000000001"/>
    <n v="4.6300000000000001E-2"/>
    <m/>
    <m/>
  </r>
  <r>
    <x v="6"/>
    <x v="2"/>
    <x v="0"/>
    <x v="0"/>
    <n v="0"/>
    <n v="19.5"/>
    <n v="19.5"/>
    <m/>
    <n v="19.451899999999998"/>
    <n v="4.8099999999999997E-2"/>
    <m/>
    <m/>
  </r>
  <r>
    <x v="6"/>
    <x v="3"/>
    <x v="1"/>
    <x v="0"/>
    <n v="0"/>
    <n v="19"/>
    <n v="19"/>
    <m/>
    <n v="19.098199999999999"/>
    <n v="-9.8199999999999996E-2"/>
    <m/>
    <m/>
  </r>
  <r>
    <x v="6"/>
    <x v="4"/>
    <x v="1"/>
    <x v="0"/>
    <n v="0"/>
    <n v="18.5"/>
    <n v="18.5"/>
    <m/>
    <n v="18.4741"/>
    <n v="2.5899999999999999E-2"/>
    <m/>
    <m/>
  </r>
  <r>
    <x v="6"/>
    <x v="5"/>
    <x v="1"/>
    <x v="0"/>
    <n v="0"/>
    <n v="18"/>
    <n v="18"/>
    <m/>
    <n v="17.948499999999999"/>
    <n v="5.1499999999999997E-2"/>
    <m/>
    <m/>
  </r>
  <r>
    <x v="7"/>
    <x v="6"/>
    <x v="2"/>
    <x v="0"/>
    <n v="0"/>
    <n v="17.25"/>
    <n v="17.25"/>
    <m/>
    <n v="17.333300000000001"/>
    <n v="-8.3299999999999999E-2"/>
    <m/>
    <m/>
  </r>
  <r>
    <x v="7"/>
    <x v="7"/>
    <x v="2"/>
    <x v="0"/>
    <n v="0"/>
    <n v="17.25"/>
    <n v="17.25"/>
    <m/>
    <n v="17.25"/>
    <n v="0"/>
    <m/>
    <m/>
  </r>
  <r>
    <x v="7"/>
    <x v="8"/>
    <x v="2"/>
    <x v="0"/>
    <n v="0"/>
    <n v="16.5"/>
    <n v="16.5"/>
    <m/>
    <n v="16.460899999999999"/>
    <n v="3.9100000000000003E-2"/>
    <m/>
    <m/>
  </r>
  <r>
    <x v="7"/>
    <x v="9"/>
    <x v="3"/>
    <x v="0"/>
    <n v="0"/>
    <n v="15.75"/>
    <n v="15.75"/>
    <m/>
    <n v="15.758900000000001"/>
    <n v="-8.8999999999999999E-3"/>
    <m/>
    <m/>
  </r>
  <r>
    <x v="7"/>
    <x v="10"/>
    <x v="3"/>
    <x v="0"/>
    <n v="0"/>
    <n v="15.25"/>
    <n v="15.25"/>
    <m/>
    <n v="15.2333"/>
    <n v="1.67E-2"/>
    <m/>
    <m/>
  </r>
  <r>
    <x v="7"/>
    <x v="11"/>
    <x v="3"/>
    <x v="0"/>
    <n v="0"/>
    <n v="15.25"/>
    <n v="15.25"/>
    <m/>
    <n v="15.25"/>
    <n v="0"/>
    <m/>
    <m/>
  </r>
  <r>
    <x v="7"/>
    <x v="0"/>
    <x v="0"/>
    <x v="0"/>
    <n v="0"/>
    <n v="14.75"/>
    <n v="14.75"/>
    <m/>
    <n v="14.758900000000001"/>
    <n v="-8.8999999999999999E-3"/>
    <m/>
    <m/>
  </r>
  <r>
    <x v="7"/>
    <x v="1"/>
    <x v="0"/>
    <x v="0"/>
    <n v="-25"/>
    <n v="14.5"/>
    <n v="14.25"/>
    <m/>
    <n v="14.4597"/>
    <n v="-0.2097"/>
    <m/>
    <m/>
  </r>
  <r>
    <x v="7"/>
    <x v="2"/>
    <x v="0"/>
    <x v="0"/>
    <n v="0"/>
    <n v="14.25"/>
    <n v="14.25"/>
    <m/>
    <n v="14.25"/>
    <n v="0"/>
    <m/>
    <m/>
  </r>
  <r>
    <x v="7"/>
    <x v="3"/>
    <x v="1"/>
    <x v="0"/>
    <n v="0"/>
    <n v="13.75"/>
    <n v="13.75"/>
    <m/>
    <n v="13.77"/>
    <n v="-0.02"/>
    <m/>
    <m/>
  </r>
  <r>
    <x v="7"/>
    <x v="4"/>
    <x v="1"/>
    <x v="0"/>
    <n v="0"/>
    <n v="13.25"/>
    <n v="13.25"/>
    <m/>
    <n v="13.25"/>
    <n v="0"/>
    <m/>
    <m/>
  </r>
  <r>
    <x v="7"/>
    <x v="5"/>
    <x v="1"/>
    <x v="0"/>
    <n v="0"/>
    <n v="13.25"/>
    <n v="13.25"/>
    <m/>
    <n v="13.294600000000001"/>
    <n v="-4.4600000000000001E-2"/>
    <m/>
    <m/>
  </r>
  <r>
    <x v="8"/>
    <x v="6"/>
    <x v="2"/>
    <x v="0"/>
    <n v="0"/>
    <n v="13"/>
    <n v="13"/>
    <m/>
    <n v="12.942299999999999"/>
    <n v="5.7700000000000001E-2"/>
    <m/>
    <m/>
  </r>
  <r>
    <x v="8"/>
    <x v="7"/>
    <x v="2"/>
    <x v="0"/>
    <n v="0"/>
    <n v="13"/>
    <n v="13"/>
    <m/>
    <n v="13"/>
    <n v="0"/>
    <m/>
    <m/>
  </r>
  <r>
    <x v="8"/>
    <x v="8"/>
    <x v="2"/>
    <x v="0"/>
    <n v="0"/>
    <n v="12.75"/>
    <n v="12.75"/>
    <m/>
    <n v="12.75"/>
    <n v="0"/>
    <m/>
    <m/>
  </r>
  <r>
    <x v="8"/>
    <x v="9"/>
    <x v="3"/>
    <x v="0"/>
    <n v="0"/>
    <n v="12.5"/>
    <n v="12.5"/>
    <m/>
    <n v="12.5"/>
    <n v="0"/>
    <m/>
    <m/>
  </r>
  <r>
    <x v="8"/>
    <x v="10"/>
    <x v="3"/>
    <x v="0"/>
    <n v="0"/>
    <n v="12.5"/>
    <n v="12.5"/>
    <m/>
    <n v="12.5"/>
    <n v="0"/>
    <m/>
    <m/>
  </r>
  <r>
    <x v="8"/>
    <x v="11"/>
    <x v="3"/>
    <x v="0"/>
    <n v="0"/>
    <n v="12"/>
    <n v="12"/>
    <m/>
    <n v="12.067299999999999"/>
    <n v="-6.7299999999999999E-2"/>
    <m/>
    <m/>
  </r>
  <r>
    <x v="8"/>
    <x v="0"/>
    <x v="0"/>
    <x v="0"/>
    <n v="0"/>
    <n v="11.5"/>
    <n v="11.5"/>
    <m/>
    <n v="11.5"/>
    <n v="0"/>
    <m/>
    <m/>
  </r>
  <r>
    <x v="8"/>
    <x v="1"/>
    <x v="0"/>
    <x v="0"/>
    <n v="0"/>
    <n v="11.5"/>
    <n v="11.5"/>
    <m/>
    <n v="11.5"/>
    <n v="0"/>
    <m/>
    <m/>
  </r>
  <r>
    <x v="8"/>
    <x v="2"/>
    <x v="0"/>
    <x v="0"/>
    <n v="0"/>
    <n v="11.25"/>
    <n v="11.25"/>
    <m/>
    <n v="11.25"/>
    <n v="0"/>
    <m/>
    <m/>
  </r>
  <r>
    <x v="8"/>
    <x v="3"/>
    <x v="1"/>
    <x v="0"/>
    <n v="0"/>
    <n v="11.25"/>
    <n v="11.25"/>
    <m/>
    <n v="11.1556"/>
    <n v="9.4399999999999998E-2"/>
    <m/>
    <m/>
  </r>
  <r>
    <x v="8"/>
    <x v="4"/>
    <x v="1"/>
    <x v="0"/>
    <n v="0"/>
    <n v="11.25"/>
    <n v="11.25"/>
    <m/>
    <n v="11.25"/>
    <n v="0"/>
    <m/>
    <m/>
  </r>
  <r>
    <x v="8"/>
    <x v="5"/>
    <x v="1"/>
    <x v="0"/>
    <n v="0"/>
    <n v="11.25"/>
    <n v="11.25"/>
    <m/>
    <n v="11.25"/>
    <n v="0"/>
    <m/>
    <m/>
  </r>
  <r>
    <x v="9"/>
    <x v="6"/>
    <x v="2"/>
    <x v="0"/>
    <n v="0"/>
    <n v="11.25"/>
    <n v="11.25"/>
    <m/>
    <n v="11.25"/>
    <n v="0"/>
    <m/>
    <m/>
  </r>
  <r>
    <x v="9"/>
    <x v="7"/>
    <x v="2"/>
    <x v="0"/>
    <n v="0"/>
    <n v="11.25"/>
    <n v="11.25"/>
    <m/>
    <n v="11.25"/>
    <n v="0"/>
    <m/>
    <m/>
  </r>
  <r>
    <x v="9"/>
    <x v="8"/>
    <x v="2"/>
    <x v="0"/>
    <n v="0"/>
    <n v="11.25"/>
    <n v="11.25"/>
    <m/>
    <n v="11.25"/>
    <n v="0"/>
    <m/>
    <m/>
  </r>
  <r>
    <x v="9"/>
    <x v="9"/>
    <x v="3"/>
    <x v="0"/>
    <n v="25"/>
    <n v="11.5"/>
    <n v="11.75"/>
    <m/>
    <n v="11.5426"/>
    <n v="0.2074"/>
    <m/>
    <m/>
  </r>
  <r>
    <x v="9"/>
    <x v="10"/>
    <x v="3"/>
    <x v="0"/>
    <n v="0"/>
    <n v="11.75"/>
    <n v="11.75"/>
    <m/>
    <n v="11.75"/>
    <n v="0"/>
    <m/>
    <m/>
  </r>
  <r>
    <x v="9"/>
    <x v="11"/>
    <x v="3"/>
    <x v="0"/>
    <n v="0"/>
    <n v="12.25"/>
    <n v="12.25"/>
    <m/>
    <n v="12.3063"/>
    <n v="-5.6300000000000003E-2"/>
    <m/>
    <m/>
  </r>
  <r>
    <x v="9"/>
    <x v="0"/>
    <x v="0"/>
    <x v="0"/>
    <n v="25"/>
    <n v="12.75"/>
    <n v="13"/>
    <m/>
    <n v="12.8278"/>
    <n v="0.17219999999999999"/>
    <m/>
    <m/>
  </r>
  <r>
    <x v="9"/>
    <x v="1"/>
    <x v="0"/>
    <x v="0"/>
    <n v="0"/>
    <n v="13"/>
    <n v="13"/>
    <m/>
    <n v="13"/>
    <n v="0"/>
    <m/>
    <m/>
  </r>
  <r>
    <x v="9"/>
    <x v="2"/>
    <x v="0"/>
    <x v="0"/>
    <n v="0"/>
    <n v="13.75"/>
    <n v="13.75"/>
    <m/>
    <n v="13.7439"/>
    <n v="6.1000000000000004E-3"/>
    <m/>
    <m/>
  </r>
  <r>
    <x v="9"/>
    <x v="3"/>
    <x v="1"/>
    <x v="0"/>
    <n v="0"/>
    <n v="13.75"/>
    <n v="13.75"/>
    <m/>
    <n v="13.913"/>
    <n v="-0.16300000000000001"/>
    <m/>
    <m/>
  </r>
  <r>
    <x v="9"/>
    <x v="4"/>
    <x v="1"/>
    <x v="0"/>
    <n v="0"/>
    <n v="13.75"/>
    <n v="13.75"/>
    <m/>
    <n v="13.75"/>
    <n v="0"/>
    <m/>
    <m/>
  </r>
  <r>
    <x v="9"/>
    <x v="5"/>
    <x v="1"/>
    <x v="0"/>
    <n v="0"/>
    <n v="13.75"/>
    <n v="13.75"/>
    <m/>
    <n v="13.7287"/>
    <n v="2.1299999999999999E-2"/>
    <m/>
    <m/>
  </r>
  <r>
    <x v="10"/>
    <x v="6"/>
    <x v="2"/>
    <x v="0"/>
    <n v="-25"/>
    <n v="13"/>
    <n v="12.75"/>
    <m/>
    <n v="13.040800000000001"/>
    <n v="-0.2908"/>
    <m/>
    <m/>
  </r>
  <r>
    <x v="10"/>
    <x v="7"/>
    <x v="2"/>
    <x v="0"/>
    <n v="0"/>
    <n v="12.75"/>
    <n v="12.75"/>
    <m/>
    <n v="12.75"/>
    <n v="0"/>
    <m/>
    <m/>
  </r>
  <r>
    <x v="10"/>
    <x v="8"/>
    <x v="2"/>
    <x v="0"/>
    <n v="0"/>
    <n v="11.25"/>
    <n v="11.25"/>
    <m/>
    <n v="11.425000000000001"/>
    <n v="-0.17499999999999999"/>
    <m/>
    <m/>
  </r>
  <r>
    <x v="10"/>
    <x v="9"/>
    <x v="3"/>
    <x v="0"/>
    <n v="0"/>
    <n v="10.25"/>
    <n v="10.25"/>
    <n v="-5"/>
    <n v="10.1404"/>
    <n v="0.1096"/>
    <m/>
    <m/>
  </r>
  <r>
    <x v="10"/>
    <x v="10"/>
    <x v="3"/>
    <x v="0"/>
    <n v="0"/>
    <n v="10.25"/>
    <n v="10.25"/>
    <n v="0"/>
    <n v="10.25"/>
    <n v="0"/>
    <m/>
    <m/>
  </r>
  <r>
    <x v="10"/>
    <x v="11"/>
    <x v="3"/>
    <x v="0"/>
    <n v="-25"/>
    <n v="9.5"/>
    <n v="9.25"/>
    <n v="0"/>
    <n v="9.4270800000000001"/>
    <n v="-0.17707999999999999"/>
    <m/>
    <m/>
  </r>
  <r>
    <x v="10"/>
    <x v="0"/>
    <x v="0"/>
    <x v="0"/>
    <n v="0"/>
    <n v="8.75"/>
    <n v="8.75"/>
    <n v="0"/>
    <n v="8.7550000000000008"/>
    <n v="-5.0000000000000001E-3"/>
    <m/>
    <m/>
  </r>
  <r>
    <x v="10"/>
    <x v="1"/>
    <x v="0"/>
    <x v="0"/>
    <n v="0"/>
    <n v="8.75"/>
    <n v="8.75"/>
    <n v="0"/>
    <n v="8.75"/>
    <n v="0"/>
    <m/>
    <m/>
  </r>
  <r>
    <x v="10"/>
    <x v="2"/>
    <x v="0"/>
    <x v="0"/>
    <n v="0"/>
    <n v="8.75"/>
    <n v="8.75"/>
    <n v="0"/>
    <n v="8.7449999999999903"/>
    <n v="5.0000000000000001E-3"/>
    <m/>
    <m/>
  </r>
  <r>
    <x v="10"/>
    <x v="3"/>
    <x v="1"/>
    <x v="0"/>
    <n v="0"/>
    <n v="8.75"/>
    <n v="8.75"/>
    <n v="0"/>
    <n v="8.75"/>
    <n v="0"/>
    <m/>
    <m/>
  </r>
  <r>
    <x v="10"/>
    <x v="4"/>
    <x v="1"/>
    <x v="0"/>
    <n v="0"/>
    <n v="8.75"/>
    <n v="8.75"/>
    <n v="0"/>
    <n v="8.75"/>
    <n v="0"/>
    <m/>
    <m/>
  </r>
  <r>
    <x v="10"/>
    <x v="5"/>
    <x v="1"/>
    <x v="0"/>
    <n v="0"/>
    <n v="8.75"/>
    <n v="8.75"/>
    <n v="-11"/>
    <n v="8.75"/>
    <n v="0"/>
    <m/>
    <m/>
  </r>
  <r>
    <x v="11"/>
    <x v="6"/>
    <x v="2"/>
    <x v="0"/>
    <n v="0"/>
    <n v="8.75"/>
    <n v="8.75"/>
    <n v="0"/>
    <n v="8.75"/>
    <n v="0"/>
    <m/>
    <m/>
  </r>
  <r>
    <x v="11"/>
    <x v="7"/>
    <x v="2"/>
    <x v="0"/>
    <n v="0"/>
    <n v="8.75"/>
    <n v="8.75"/>
    <n v="0"/>
    <n v="8.75"/>
    <n v="0"/>
    <m/>
    <m/>
  </r>
  <r>
    <x v="11"/>
    <x v="8"/>
    <x v="2"/>
    <x v="0"/>
    <n v="-50"/>
    <n v="9.25"/>
    <n v="8.75"/>
    <n v="-12"/>
    <n v="9.0131599999999903"/>
    <n v="-0.26316000000000001"/>
    <m/>
    <m/>
  </r>
  <r>
    <x v="11"/>
    <x v="9"/>
    <x v="3"/>
    <x v="0"/>
    <n v="25"/>
    <n v="9.25"/>
    <n v="9.5"/>
    <n v="0"/>
    <n v="9.3657400000000006"/>
    <n v="0.13425999999999999"/>
    <m/>
    <m/>
  </r>
  <r>
    <x v="11"/>
    <x v="10"/>
    <x v="3"/>
    <x v="0"/>
    <n v="0"/>
    <n v="9.5"/>
    <n v="9.5"/>
    <n v="0"/>
    <n v="9.5"/>
    <n v="0"/>
    <m/>
    <m/>
  </r>
  <r>
    <x v="11"/>
    <x v="11"/>
    <x v="3"/>
    <x v="0"/>
    <n v="0"/>
    <n v="10.25"/>
    <n v="10.25"/>
    <n v="19"/>
    <n v="10.259600000000001"/>
    <n v="-9.5999999999999992E-3"/>
    <m/>
    <m/>
  </r>
  <r>
    <x v="11"/>
    <x v="0"/>
    <x v="0"/>
    <x v="0"/>
    <n v="-25"/>
    <n v="11"/>
    <n v="10.75"/>
    <n v="0"/>
    <n v="10.985300000000001"/>
    <n v="-0.23530000000000001"/>
    <m/>
    <m/>
  </r>
  <r>
    <x v="11"/>
    <x v="1"/>
    <x v="0"/>
    <x v="0"/>
    <n v="0"/>
    <n v="10.75"/>
    <n v="10.75"/>
    <n v="0"/>
    <n v="10.75"/>
    <n v="0"/>
    <m/>
    <m/>
  </r>
  <r>
    <x v="11"/>
    <x v="2"/>
    <x v="0"/>
    <x v="0"/>
    <n v="0"/>
    <n v="10.75"/>
    <n v="10.75"/>
    <n v="-6"/>
    <n v="10.815799999999999"/>
    <n v="-6.5799999999999997E-2"/>
    <m/>
    <m/>
  </r>
  <r>
    <x v="11"/>
    <x v="3"/>
    <x v="1"/>
    <x v="0"/>
    <n v="0"/>
    <n v="10.75"/>
    <n v="10.75"/>
    <n v="11"/>
    <n v="10.75"/>
    <n v="0"/>
    <m/>
    <m/>
  </r>
  <r>
    <x v="11"/>
    <x v="4"/>
    <x v="1"/>
    <x v="0"/>
    <n v="0"/>
    <n v="10.75"/>
    <n v="10.75"/>
    <n v="0"/>
    <n v="10.75"/>
    <n v="0"/>
    <m/>
    <m/>
  </r>
  <r>
    <x v="11"/>
    <x v="5"/>
    <x v="1"/>
    <x v="0"/>
    <n v="0"/>
    <n v="10.75"/>
    <n v="10.75"/>
    <n v="-15"/>
    <n v="10.7745"/>
    <n v="-2.4500000000000001E-2"/>
    <m/>
    <m/>
  </r>
  <r>
    <x v="12"/>
    <x v="6"/>
    <x v="2"/>
    <x v="0"/>
    <n v="0"/>
    <n v="11.25"/>
    <n v="11.25"/>
    <n v="-1"/>
    <n v="11.230399999999999"/>
    <n v="1.9599999999999999E-2"/>
    <m/>
    <m/>
  </r>
  <r>
    <x v="12"/>
    <x v="7"/>
    <x v="2"/>
    <x v="0"/>
    <n v="0"/>
    <n v="11.25"/>
    <n v="11.25"/>
    <n v="0"/>
    <n v="11.25"/>
    <n v="0"/>
    <m/>
    <m/>
  </r>
  <r>
    <x v="12"/>
    <x v="8"/>
    <x v="2"/>
    <x v="0"/>
    <n v="0"/>
    <n v="11.75"/>
    <n v="11.75"/>
    <n v="-20"/>
    <n v="11.789199999999999"/>
    <n v="-3.9199999999999999E-2"/>
    <m/>
    <m/>
  </r>
  <r>
    <x v="12"/>
    <x v="9"/>
    <x v="3"/>
    <x v="0"/>
    <n v="-25"/>
    <n v="12.25"/>
    <n v="12"/>
    <n v="0"/>
    <n v="12.168100000000001"/>
    <n v="-0.1681"/>
    <m/>
    <m/>
  </r>
  <r>
    <x v="12"/>
    <x v="10"/>
    <x v="3"/>
    <x v="0"/>
    <n v="0"/>
    <n v="12"/>
    <n v="12"/>
    <n v="0"/>
    <n v="12"/>
    <n v="0"/>
    <m/>
    <m/>
  </r>
  <r>
    <x v="12"/>
    <x v="11"/>
    <x v="3"/>
    <x v="0"/>
    <n v="0"/>
    <n v="12.25"/>
    <n v="12.25"/>
    <n v="0"/>
    <n v="12.245200000000001"/>
    <n v="4.7999999999999996E-3"/>
    <m/>
    <m/>
  </r>
  <r>
    <x v="12"/>
    <x v="0"/>
    <x v="0"/>
    <x v="0"/>
    <n v="0"/>
    <n v="12.5"/>
    <n v="12.5"/>
    <n v="-1"/>
    <n v="12.5"/>
    <n v="0"/>
    <m/>
    <m/>
  </r>
  <r>
    <x v="12"/>
    <x v="1"/>
    <x v="0"/>
    <x v="0"/>
    <n v="-50"/>
    <n v="12.5"/>
    <n v="12"/>
    <n v="-45"/>
    <n v="12.5"/>
    <n v="-0.5"/>
    <m/>
    <m/>
  </r>
  <r>
    <x v="12"/>
    <x v="2"/>
    <x v="0"/>
    <x v="0"/>
    <n v="0"/>
    <n v="12"/>
    <n v="12"/>
    <n v="0"/>
    <n v="12"/>
    <n v="0"/>
    <m/>
    <m/>
  </r>
  <r>
    <x v="12"/>
    <x v="3"/>
    <x v="1"/>
    <x v="0"/>
    <n v="0"/>
    <n v="11.5"/>
    <n v="11.5"/>
    <n v="0"/>
    <n v="11.466900000000001"/>
    <n v="3.3099999999999997E-2"/>
    <m/>
    <m/>
  </r>
  <r>
    <x v="12"/>
    <x v="4"/>
    <x v="1"/>
    <x v="0"/>
    <n v="0"/>
    <n v="11"/>
    <n v="11"/>
    <n v="11"/>
    <n v="10.9923"/>
    <n v="7.7000000000000002E-3"/>
    <m/>
    <m/>
  </r>
  <r>
    <x v="12"/>
    <x v="5"/>
    <x v="1"/>
    <x v="0"/>
    <n v="0"/>
    <n v="11"/>
    <n v="11"/>
    <n v="0"/>
    <n v="11"/>
    <n v="0"/>
    <m/>
    <m/>
  </r>
  <r>
    <x v="13"/>
    <x v="6"/>
    <x v="2"/>
    <x v="0"/>
    <n v="0"/>
    <n v="10.5"/>
    <n v="10.5"/>
    <n v="0"/>
    <n v="10.5"/>
    <n v="0"/>
    <m/>
    <m/>
  </r>
  <r>
    <x v="13"/>
    <x v="7"/>
    <x v="2"/>
    <x v="0"/>
    <n v="0"/>
    <n v="10.5"/>
    <n v="10.5"/>
    <n v="0"/>
    <n v="10.5"/>
    <n v="0"/>
    <m/>
    <m/>
  </r>
  <r>
    <x v="13"/>
    <x v="8"/>
    <x v="2"/>
    <x v="0"/>
    <n v="-25"/>
    <n v="10"/>
    <n v="9.75"/>
    <n v="0"/>
    <n v="9.9838699999999996"/>
    <n v="-0.23386999999999999"/>
    <m/>
    <m/>
  </r>
  <r>
    <x v="13"/>
    <x v="9"/>
    <x v="3"/>
    <x v="0"/>
    <n v="0"/>
    <n v="9"/>
    <n v="9"/>
    <n v="-25"/>
    <n v="9.0072500000000009"/>
    <n v="-7.2500000000000004E-3"/>
    <m/>
    <m/>
  </r>
  <r>
    <x v="13"/>
    <x v="10"/>
    <x v="3"/>
    <x v="0"/>
    <n v="0"/>
    <n v="8.5"/>
    <n v="8.5"/>
    <n v="0"/>
    <n v="8.4749999999999996"/>
    <n v="2.5000000000000001E-2"/>
    <m/>
    <m/>
  </r>
  <r>
    <x v="13"/>
    <x v="11"/>
    <x v="3"/>
    <x v="0"/>
    <n v="0"/>
    <n v="8.5"/>
    <n v="8.5"/>
    <n v="0"/>
    <n v="8.5"/>
    <n v="0"/>
    <m/>
    <m/>
  </r>
  <r>
    <x v="13"/>
    <x v="0"/>
    <x v="0"/>
    <x v="0"/>
    <n v="0"/>
    <n v="8"/>
    <n v="8"/>
    <n v="0"/>
    <n v="8"/>
    <n v="0"/>
    <m/>
    <m/>
  </r>
  <r>
    <x v="13"/>
    <x v="1"/>
    <x v="0"/>
    <x v="0"/>
    <n v="0"/>
    <n v="7.5"/>
    <n v="7.5"/>
    <n v="0"/>
    <n v="7.5"/>
    <n v="0"/>
    <m/>
    <m/>
  </r>
  <r>
    <x v="13"/>
    <x v="2"/>
    <x v="0"/>
    <x v="0"/>
    <n v="0"/>
    <n v="7.5"/>
    <n v="7.5"/>
    <n v="0"/>
    <n v="7.5"/>
    <n v="0"/>
    <m/>
    <m/>
  </r>
  <r>
    <x v="13"/>
    <x v="3"/>
    <x v="1"/>
    <x v="0"/>
    <n v="-25"/>
    <n v="7.5"/>
    <n v="7.25"/>
    <n v="0"/>
    <n v="7.3801399999999999"/>
    <n v="-0.13014000000000001"/>
    <m/>
    <m/>
  </r>
  <r>
    <x v="13"/>
    <x v="4"/>
    <x v="1"/>
    <x v="0"/>
    <n v="0"/>
    <n v="7.25"/>
    <n v="7.25"/>
    <n v="1"/>
    <n v="7.25"/>
    <n v="0"/>
    <m/>
    <m/>
  </r>
  <r>
    <x v="13"/>
    <x v="5"/>
    <x v="1"/>
    <x v="0"/>
    <n v="0"/>
    <n v="7.25"/>
    <n v="7.25"/>
    <n v="0"/>
    <n v="7.25"/>
    <n v="0"/>
    <m/>
    <m/>
  </r>
  <r>
    <x v="14"/>
    <x v="6"/>
    <x v="2"/>
    <x v="0"/>
    <n v="0"/>
    <n v="7.25"/>
    <n v="7.25"/>
    <n v="3"/>
    <n v="7.25"/>
    <n v="0"/>
    <m/>
    <m/>
  </r>
  <r>
    <x v="14"/>
    <x v="7"/>
    <x v="2"/>
    <x v="0"/>
    <n v="0"/>
    <n v="7.25"/>
    <n v="7.25"/>
    <n v="0"/>
    <n v="7.25"/>
    <n v="0"/>
    <m/>
    <m/>
  </r>
  <r>
    <x v="14"/>
    <x v="8"/>
    <x v="2"/>
    <x v="0"/>
    <n v="0"/>
    <n v="7.25"/>
    <n v="7.25"/>
    <n v="13"/>
    <n v="7.25"/>
    <n v="0"/>
    <m/>
    <m/>
  </r>
  <r>
    <x v="14"/>
    <x v="9"/>
    <x v="3"/>
    <x v="0"/>
    <n v="0"/>
    <n v="7.5"/>
    <n v="7.5"/>
    <n v="-29"/>
    <n v="7.4870700000000001"/>
    <n v="1.2930000000000001E-2"/>
    <m/>
    <m/>
  </r>
  <r>
    <x v="14"/>
    <x v="10"/>
    <x v="3"/>
    <x v="0"/>
    <n v="25"/>
    <n v="7.75"/>
    <n v="8"/>
    <n v="0"/>
    <n v="7.8333300000000001"/>
    <n v="0.16667000000000001"/>
    <m/>
    <m/>
  </r>
  <r>
    <x v="14"/>
    <x v="11"/>
    <x v="3"/>
    <x v="0"/>
    <n v="0"/>
    <n v="8"/>
    <n v="8"/>
    <n v="0"/>
    <n v="8"/>
    <n v="0"/>
    <m/>
    <m/>
  </r>
  <r>
    <x v="14"/>
    <x v="0"/>
    <x v="0"/>
    <x v="0"/>
    <n v="0"/>
    <n v="8.5"/>
    <n v="8.5"/>
    <n v="0"/>
    <n v="8.5"/>
    <n v="0"/>
    <m/>
    <m/>
  </r>
  <r>
    <x v="14"/>
    <x v="1"/>
    <x v="0"/>
    <x v="0"/>
    <n v="0"/>
    <n v="9"/>
    <n v="9"/>
    <n v="27"/>
    <n v="9"/>
    <n v="0"/>
    <m/>
    <m/>
  </r>
  <r>
    <x v="14"/>
    <x v="2"/>
    <x v="0"/>
    <x v="0"/>
    <n v="0"/>
    <n v="9"/>
    <n v="9"/>
    <n v="0"/>
    <n v="9"/>
    <n v="0"/>
    <m/>
    <m/>
  </r>
  <r>
    <x v="14"/>
    <x v="3"/>
    <x v="1"/>
    <x v="0"/>
    <n v="0"/>
    <n v="9.5"/>
    <n v="9.5"/>
    <n v="0"/>
    <n v="9.5"/>
    <n v="0"/>
    <m/>
    <m/>
  </r>
  <r>
    <x v="14"/>
    <x v="4"/>
    <x v="1"/>
    <x v="0"/>
    <n v="0"/>
    <n v="10"/>
    <n v="10"/>
    <n v="-18"/>
    <n v="9.99038"/>
    <n v="9.6200000000000001E-3"/>
    <m/>
    <m/>
  </r>
  <r>
    <x v="14"/>
    <x v="5"/>
    <x v="1"/>
    <x v="0"/>
    <n v="0"/>
    <n v="10"/>
    <n v="10"/>
    <n v="0"/>
    <n v="10"/>
    <n v="0"/>
    <m/>
    <m/>
  </r>
  <r>
    <x v="15"/>
    <x v="6"/>
    <x v="2"/>
    <x v="0"/>
    <n v="25"/>
    <n v="10.25"/>
    <n v="10.5"/>
    <n v="0"/>
    <n v="10.3432"/>
    <n v="0.15679999999999999"/>
    <m/>
    <m/>
  </r>
  <r>
    <x v="15"/>
    <x v="7"/>
    <x v="2"/>
    <x v="0"/>
    <n v="0"/>
    <n v="10.75"/>
    <n v="10.75"/>
    <n v="0"/>
    <n v="10.811500000000001"/>
    <n v="-6.1499999999999999E-2"/>
    <m/>
    <m/>
  </r>
  <r>
    <x v="15"/>
    <x v="8"/>
    <x v="2"/>
    <x v="0"/>
    <n v="0"/>
    <n v="10.75"/>
    <n v="10.75"/>
    <n v="0"/>
    <n v="10.75"/>
    <n v="0"/>
    <m/>
    <m/>
  </r>
  <r>
    <x v="15"/>
    <x v="9"/>
    <x v="3"/>
    <x v="0"/>
    <n v="0"/>
    <n v="11"/>
    <n v="11"/>
    <n v="0"/>
    <n v="11"/>
    <n v="0"/>
    <m/>
    <m/>
  </r>
  <r>
    <x v="15"/>
    <x v="10"/>
    <x v="3"/>
    <x v="0"/>
    <n v="0"/>
    <n v="11"/>
    <n v="11"/>
    <n v="0"/>
    <n v="11.032999999999999"/>
    <n v="-3.3000000000000002E-2"/>
    <m/>
    <m/>
  </r>
  <r>
    <x v="15"/>
    <x v="11"/>
    <x v="3"/>
    <x v="0"/>
    <n v="0"/>
    <n v="11"/>
    <n v="11"/>
    <n v="0"/>
    <n v="11"/>
    <n v="0"/>
    <m/>
    <m/>
  </r>
  <r>
    <x v="15"/>
    <x v="0"/>
    <x v="0"/>
    <x v="0"/>
    <n v="0"/>
    <n v="11"/>
    <n v="11"/>
    <n v="0"/>
    <n v="11"/>
    <n v="0"/>
    <m/>
    <m/>
  </r>
  <r>
    <x v="15"/>
    <x v="1"/>
    <x v="0"/>
    <x v="0"/>
    <n v="0"/>
    <n v="11"/>
    <n v="11"/>
    <n v="0"/>
    <n v="11"/>
    <n v="0"/>
    <m/>
    <m/>
  </r>
  <r>
    <x v="15"/>
    <x v="2"/>
    <x v="0"/>
    <x v="0"/>
    <n v="0"/>
    <n v="11"/>
    <n v="11"/>
    <n v="0"/>
    <n v="10.9954"/>
    <n v="4.5999999999999999E-3"/>
    <m/>
    <m/>
  </r>
  <r>
    <x v="15"/>
    <x v="3"/>
    <x v="1"/>
    <x v="0"/>
    <n v="25"/>
    <n v="11"/>
    <n v="11.25"/>
    <n v="34"/>
    <n v="11.0046"/>
    <n v="0.24540000000000001"/>
    <m/>
    <m/>
  </r>
  <r>
    <x v="15"/>
    <x v="4"/>
    <x v="1"/>
    <x v="0"/>
    <n v="0"/>
    <n v="11.25"/>
    <n v="11.25"/>
    <n v="0"/>
    <n v="11.25"/>
    <n v="0"/>
    <m/>
    <m/>
  </r>
  <r>
    <x v="15"/>
    <x v="5"/>
    <x v="1"/>
    <x v="0"/>
    <n v="0"/>
    <n v="11.75"/>
    <n v="11.75"/>
    <n v="-19"/>
    <n v="11.6409"/>
    <n v="0.1091"/>
    <m/>
    <m/>
  </r>
  <r>
    <x v="16"/>
    <x v="6"/>
    <x v="2"/>
    <x v="0"/>
    <n v="0"/>
    <n v="12.25"/>
    <n v="12.25"/>
    <n v="0"/>
    <n v="12.2333"/>
    <n v="1.67E-2"/>
    <m/>
    <m/>
  </r>
  <r>
    <x v="16"/>
    <x v="7"/>
    <x v="2"/>
    <x v="0"/>
    <n v="0"/>
    <n v="12.25"/>
    <n v="12.25"/>
    <n v="0"/>
    <n v="12.25"/>
    <n v="0"/>
    <m/>
    <m/>
  </r>
  <r>
    <x v="16"/>
    <x v="8"/>
    <x v="2"/>
    <x v="0"/>
    <n v="0"/>
    <n v="12.75"/>
    <n v="12.75"/>
    <n v="12"/>
    <n v="12.7341"/>
    <n v="1.5900000000000001E-2"/>
    <m/>
    <m/>
  </r>
  <r>
    <x v="16"/>
    <x v="9"/>
    <x v="3"/>
    <x v="0"/>
    <n v="0"/>
    <n v="13.25"/>
    <n v="13.25"/>
    <n v="21"/>
    <n v="13.2172"/>
    <n v="3.2800000000000003E-2"/>
    <m/>
    <m/>
  </r>
  <r>
    <x v="16"/>
    <x v="10"/>
    <x v="3"/>
    <x v="0"/>
    <n v="0"/>
    <n v="13.25"/>
    <n v="13.25"/>
    <n v="0"/>
    <n v="13.25"/>
    <n v="0"/>
    <m/>
    <m/>
  </r>
  <r>
    <x v="16"/>
    <x v="11"/>
    <x v="3"/>
    <x v="0"/>
    <n v="0"/>
    <n v="13.75"/>
    <n v="13.75"/>
    <n v="0"/>
    <n v="13.7455"/>
    <n v="4.4999999999999997E-3"/>
    <m/>
    <m/>
  </r>
  <r>
    <x v="16"/>
    <x v="0"/>
    <x v="0"/>
    <x v="0"/>
    <n v="0"/>
    <n v="14.25"/>
    <n v="14.25"/>
    <n v="-25"/>
    <n v="14.2155"/>
    <n v="3.4500000000000003E-2"/>
    <m/>
    <m/>
  </r>
  <r>
    <x v="16"/>
    <x v="1"/>
    <x v="0"/>
    <x v="0"/>
    <n v="0"/>
    <n v="14.25"/>
    <n v="14.25"/>
    <n v="0"/>
    <n v="14.25"/>
    <n v="0"/>
    <m/>
    <m/>
  </r>
  <r>
    <x v="16"/>
    <x v="2"/>
    <x v="0"/>
    <x v="0"/>
    <n v="0"/>
    <n v="14.25"/>
    <n v="14.25"/>
    <n v="-16"/>
    <n v="14.2723"/>
    <n v="-2.23E-2"/>
    <m/>
    <m/>
  </r>
  <r>
    <x v="16"/>
    <x v="3"/>
    <x v="1"/>
    <x v="0"/>
    <n v="0"/>
    <n v="14.25"/>
    <n v="14.25"/>
    <n v="-18"/>
    <n v="14.25"/>
    <n v="0"/>
    <m/>
    <m/>
  </r>
  <r>
    <x v="16"/>
    <x v="4"/>
    <x v="1"/>
    <x v="0"/>
    <n v="0"/>
    <n v="14.25"/>
    <n v="14.25"/>
    <n v="24"/>
    <n v="14.255000000000001"/>
    <n v="-5.0000000000000001E-3"/>
    <m/>
    <m/>
  </r>
  <r>
    <x v="16"/>
    <x v="5"/>
    <x v="1"/>
    <x v="0"/>
    <n v="0"/>
    <n v="14.25"/>
    <n v="14.25"/>
    <n v="0"/>
    <n v="14.25"/>
    <n v="0"/>
    <m/>
    <m/>
  </r>
  <r>
    <x v="17"/>
    <x v="6"/>
    <x v="2"/>
    <x v="0"/>
    <n v="-25"/>
    <n v="14.5"/>
    <n v="14.25"/>
    <n v="-26"/>
    <n v="14.557"/>
    <n v="-0.307"/>
    <m/>
    <m/>
  </r>
  <r>
    <x v="17"/>
    <x v="7"/>
    <x v="2"/>
    <x v="0"/>
    <n v="0"/>
    <n v="14.25"/>
    <n v="14.25"/>
    <n v="0"/>
    <n v="14.25"/>
    <n v="0"/>
    <m/>
    <m/>
  </r>
  <r>
    <x v="17"/>
    <x v="8"/>
    <x v="2"/>
    <x v="0"/>
    <n v="0"/>
    <n v="14.25"/>
    <n v="14.25"/>
    <n v="-2"/>
    <n v="14.266299999999999"/>
    <n v="-1.6299999999999999E-2"/>
    <m/>
    <m/>
  </r>
  <r>
    <x v="17"/>
    <x v="9"/>
    <x v="3"/>
    <x v="0"/>
    <n v="0"/>
    <n v="14.25"/>
    <n v="14.25"/>
    <n v="8"/>
    <n v="14.25"/>
    <n v="0"/>
    <m/>
    <m/>
  </r>
  <r>
    <x v="17"/>
    <x v="10"/>
    <x v="3"/>
    <x v="0"/>
    <n v="0"/>
    <n v="14.25"/>
    <n v="14.25"/>
    <n v="0"/>
    <n v="14.25"/>
    <n v="0"/>
    <m/>
    <m/>
  </r>
  <r>
    <x v="17"/>
    <x v="11"/>
    <x v="3"/>
    <x v="0"/>
    <n v="0"/>
    <n v="14.25"/>
    <n v="14.25"/>
    <n v="10"/>
    <n v="14.25"/>
    <n v="0"/>
    <m/>
    <m/>
  </r>
  <r>
    <x v="17"/>
    <x v="0"/>
    <x v="0"/>
    <x v="0"/>
    <n v="0"/>
    <n v="14.25"/>
    <n v="14.25"/>
    <n v="18"/>
    <n v="14.25"/>
    <n v="0"/>
    <m/>
    <m/>
  </r>
  <r>
    <x v="17"/>
    <x v="1"/>
    <x v="0"/>
    <x v="0"/>
    <n v="0"/>
    <n v="14.25"/>
    <n v="14.25"/>
    <n v="-15"/>
    <n v="14.25"/>
    <n v="0"/>
    <m/>
    <m/>
  </r>
  <r>
    <x v="17"/>
    <x v="2"/>
    <x v="0"/>
    <x v="0"/>
    <n v="0"/>
    <n v="14.25"/>
    <n v="14.25"/>
    <n v="0"/>
    <n v="14.25"/>
    <n v="0"/>
    <m/>
    <m/>
  </r>
  <r>
    <x v="17"/>
    <x v="3"/>
    <x v="1"/>
    <x v="0"/>
    <n v="0"/>
    <n v="14"/>
    <n v="14"/>
    <n v="18"/>
    <n v="13.919499999999999"/>
    <n v="8.0500000000000002E-2"/>
    <m/>
    <m/>
  </r>
  <r>
    <x v="17"/>
    <x v="4"/>
    <x v="1"/>
    <x v="0"/>
    <n v="0"/>
    <n v="13.75"/>
    <n v="13.75"/>
    <n v="18"/>
    <n v="13.717000000000001"/>
    <n v="3.3000000000000002E-2"/>
    <m/>
    <m/>
  </r>
  <r>
    <x v="17"/>
    <x v="5"/>
    <x v="1"/>
    <x v="0"/>
    <n v="0"/>
    <n v="13.75"/>
    <n v="13.75"/>
    <n v="0"/>
    <n v="13.75"/>
    <n v="0"/>
    <m/>
    <m/>
  </r>
  <r>
    <x v="18"/>
    <x v="6"/>
    <x v="2"/>
    <x v="0"/>
    <n v="-25"/>
    <n v="13.25"/>
    <n v="13"/>
    <n v="-34"/>
    <n v="13.234400000000001"/>
    <n v="-0.2344"/>
    <m/>
    <m/>
  </r>
  <r>
    <x v="18"/>
    <x v="7"/>
    <x v="2"/>
    <x v="0"/>
    <n v="0"/>
    <n v="12.25"/>
    <n v="12.25"/>
    <n v="-13"/>
    <n v="12.245200000000001"/>
    <n v="4.7999999999999996E-3"/>
    <m/>
    <m/>
  </r>
  <r>
    <x v="18"/>
    <x v="8"/>
    <x v="2"/>
    <x v="0"/>
    <n v="0"/>
    <n v="12.25"/>
    <n v="12.25"/>
    <n v="0"/>
    <n v="12.25"/>
    <n v="0"/>
    <m/>
    <m/>
  </r>
  <r>
    <x v="18"/>
    <x v="9"/>
    <x v="3"/>
    <x v="0"/>
    <n v="0"/>
    <n v="11.25"/>
    <n v="11.25"/>
    <n v="2"/>
    <n v="11.2386"/>
    <n v="1.14E-2"/>
    <m/>
    <m/>
  </r>
  <r>
    <x v="18"/>
    <x v="10"/>
    <x v="3"/>
    <x v="0"/>
    <n v="0"/>
    <n v="10.25"/>
    <n v="10.25"/>
    <n v="16"/>
    <n v="10.2606"/>
    <n v="-1.06E-2"/>
    <m/>
    <m/>
  </r>
  <r>
    <x v="18"/>
    <x v="11"/>
    <x v="3"/>
    <x v="0"/>
    <n v="0"/>
    <n v="10.25"/>
    <n v="10.25"/>
    <n v="0"/>
    <n v="10.25"/>
    <n v="0"/>
    <m/>
    <m/>
  </r>
  <r>
    <x v="18"/>
    <x v="0"/>
    <x v="0"/>
    <x v="0"/>
    <n v="0"/>
    <n v="9.25"/>
    <n v="9.25"/>
    <n v="-27"/>
    <n v="9.25"/>
    <n v="0"/>
    <m/>
    <m/>
  </r>
  <r>
    <x v="18"/>
    <x v="1"/>
    <x v="0"/>
    <x v="0"/>
    <n v="0"/>
    <n v="9.25"/>
    <n v="9.25"/>
    <n v="0"/>
    <n v="9.25"/>
    <n v="0"/>
    <m/>
    <m/>
  </r>
  <r>
    <x v="18"/>
    <x v="2"/>
    <x v="0"/>
    <x v="0"/>
    <n v="0"/>
    <n v="8.25"/>
    <n v="8.25"/>
    <n v="0"/>
    <n v="8.2619000000000007"/>
    <n v="-1.1900000000000001E-2"/>
    <m/>
    <m/>
  </r>
  <r>
    <x v="18"/>
    <x v="3"/>
    <x v="1"/>
    <x v="0"/>
    <n v="0"/>
    <n v="7.5"/>
    <n v="7.5"/>
    <n v="11"/>
    <n v="7.5"/>
    <n v="0"/>
    <m/>
    <m/>
  </r>
  <r>
    <x v="18"/>
    <x v="4"/>
    <x v="1"/>
    <x v="0"/>
    <n v="0"/>
    <n v="7.5"/>
    <n v="7.5"/>
    <n v="0"/>
    <n v="7.5"/>
    <n v="0"/>
    <m/>
    <m/>
  </r>
  <r>
    <x v="18"/>
    <x v="5"/>
    <x v="1"/>
    <x v="0"/>
    <n v="0"/>
    <n v="7"/>
    <n v="7"/>
    <n v="2"/>
    <n v="7"/>
    <n v="0"/>
    <m/>
    <m/>
  </r>
  <r>
    <x v="19"/>
    <x v="6"/>
    <x v="2"/>
    <x v="0"/>
    <n v="0"/>
    <n v="7"/>
    <n v="7"/>
    <n v="0"/>
    <n v="7"/>
    <n v="0"/>
    <m/>
    <m/>
  </r>
  <r>
    <x v="19"/>
    <x v="7"/>
    <x v="2"/>
    <x v="0"/>
    <n v="0"/>
    <n v="6.75"/>
    <n v="6.75"/>
    <n v="-7"/>
    <n v="6.75"/>
    <n v="0"/>
    <m/>
    <m/>
  </r>
  <r>
    <x v="19"/>
    <x v="8"/>
    <x v="2"/>
    <x v="0"/>
    <n v="0"/>
    <n v="6.5"/>
    <n v="6.5"/>
    <n v="-23"/>
    <n v="6.5116300000000003"/>
    <n v="-1.163E-2"/>
    <m/>
    <m/>
  </r>
  <r>
    <x v="19"/>
    <x v="9"/>
    <x v="3"/>
    <x v="0"/>
    <n v="0"/>
    <n v="6.5"/>
    <n v="6.5"/>
    <n v="0"/>
    <n v="6.5"/>
    <n v="0"/>
    <m/>
    <m/>
  </r>
  <r>
    <x v="19"/>
    <x v="10"/>
    <x v="3"/>
    <x v="0"/>
    <n v="25"/>
    <n v="6.25"/>
    <n v="6.5"/>
    <n v="34"/>
    <n v="6.2628199999999996"/>
    <n v="0.23718"/>
    <m/>
    <m/>
  </r>
  <r>
    <x v="19"/>
    <x v="11"/>
    <x v="3"/>
    <x v="0"/>
    <n v="0"/>
    <n v="6.5"/>
    <n v="6.5"/>
    <n v="0"/>
    <n v="6.5102000000000002"/>
    <n v="-1.0200000000000001E-2"/>
    <m/>
    <m/>
  </r>
  <r>
    <x v="19"/>
    <x v="0"/>
    <x v="0"/>
    <x v="0"/>
    <n v="0"/>
    <n v="6.5"/>
    <n v="6.5"/>
    <n v="0"/>
    <n v="6.5"/>
    <n v="0"/>
    <m/>
    <m/>
  </r>
  <r>
    <x v="19"/>
    <x v="1"/>
    <x v="0"/>
    <x v="0"/>
    <n v="0"/>
    <n v="6.5"/>
    <n v="6.5"/>
    <n v="-2"/>
    <n v="6.5192300000000003"/>
    <n v="-1.9230000000000001E-2"/>
    <m/>
    <m/>
  </r>
  <r>
    <x v="19"/>
    <x v="2"/>
    <x v="0"/>
    <x v="0"/>
    <n v="0"/>
    <n v="6.5"/>
    <n v="6.5"/>
    <n v="-8"/>
    <n v="6.5065799999999996"/>
    <n v="-6.5799999999999999E-3"/>
    <m/>
    <m/>
  </r>
  <r>
    <x v="19"/>
    <x v="3"/>
    <x v="1"/>
    <x v="0"/>
    <n v="0"/>
    <n v="6.5"/>
    <n v="6.5"/>
    <n v="-3"/>
    <n v="6.5116300000000003"/>
    <n v="-1.163E-2"/>
    <m/>
    <m/>
  </r>
  <r>
    <x v="19"/>
    <x v="4"/>
    <x v="1"/>
    <x v="0"/>
    <n v="0"/>
    <n v="6.5"/>
    <n v="6.5"/>
    <n v="0"/>
    <n v="6.5"/>
    <n v="0"/>
    <m/>
    <m/>
  </r>
  <r>
    <x v="19"/>
    <x v="5"/>
    <x v="1"/>
    <x v="0"/>
    <n v="0"/>
    <n v="6.5"/>
    <n v="6.5"/>
    <n v="-2"/>
    <n v="6.5"/>
    <n v="0"/>
    <m/>
    <m/>
  </r>
  <r>
    <x v="20"/>
    <x v="6"/>
    <x v="2"/>
    <x v="0"/>
    <n v="0"/>
    <n v="6.5"/>
    <n v="6.5"/>
    <n v="0"/>
    <n v="6.5"/>
    <n v="0"/>
    <m/>
    <m/>
  </r>
  <r>
    <x v="20"/>
    <x v="7"/>
    <x v="2"/>
    <x v="0"/>
    <n v="0"/>
    <n v="6.5"/>
    <n v="6.5"/>
    <n v="6"/>
    <n v="6.5"/>
    <n v="0"/>
    <m/>
    <m/>
  </r>
  <r>
    <x v="20"/>
    <x v="8"/>
    <x v="2"/>
    <x v="0"/>
    <n v="0"/>
    <n v="6.5"/>
    <n v="6.5"/>
    <n v="14"/>
    <n v="6.5"/>
    <n v="0"/>
    <m/>
    <m/>
  </r>
  <r>
    <x v="20"/>
    <x v="9"/>
    <x v="3"/>
    <x v="0"/>
    <n v="0"/>
    <n v="6.5"/>
    <n v="6.5"/>
    <n v="0"/>
    <n v="6.5"/>
    <n v="0"/>
    <m/>
    <m/>
  </r>
  <r>
    <x v="20"/>
    <x v="10"/>
    <x v="3"/>
    <x v="0"/>
    <n v="0"/>
    <n v="6.5"/>
    <n v="6.5"/>
    <n v="-3"/>
    <n v="6.4878"/>
    <n v="1.2200000000000001E-2"/>
    <m/>
    <m/>
  </r>
  <r>
    <x v="20"/>
    <x v="11"/>
    <x v="3"/>
    <x v="0"/>
    <n v="0"/>
    <n v="6.5"/>
    <n v="6.5"/>
    <n v="0"/>
    <n v="6.4935900000000002"/>
    <n v="6.4099999999999999E-3"/>
    <m/>
    <m/>
  </r>
  <r>
    <x v="20"/>
    <x v="0"/>
    <x v="0"/>
    <x v="0"/>
    <n v="-25"/>
    <n v="6.25"/>
    <n v="6"/>
    <n v="-8"/>
    <n v="6.1611099999999999"/>
    <n v="-0.16111"/>
    <m/>
    <m/>
  </r>
  <r>
    <x v="20"/>
    <x v="1"/>
    <x v="0"/>
    <x v="0"/>
    <n v="0"/>
    <n v="6"/>
    <n v="6"/>
    <n v="0"/>
    <n v="6"/>
    <n v="0"/>
    <m/>
    <m/>
  </r>
  <r>
    <x v="20"/>
    <x v="2"/>
    <x v="0"/>
    <x v="0"/>
    <n v="0"/>
    <n v="5.5"/>
    <n v="5.5"/>
    <n v="-5"/>
    <n v="5.5"/>
    <n v="0"/>
    <m/>
    <m/>
  </r>
  <r>
    <x v="20"/>
    <x v="3"/>
    <x v="1"/>
    <x v="0"/>
    <n v="0"/>
    <n v="5"/>
    <n v="5"/>
    <n v="11"/>
    <n v="5"/>
    <n v="0"/>
    <m/>
    <m/>
  </r>
  <r>
    <x v="20"/>
    <x v="4"/>
    <x v="1"/>
    <x v="0"/>
    <n v="0"/>
    <n v="5"/>
    <n v="5"/>
    <n v="0"/>
    <n v="5"/>
    <n v="0"/>
    <m/>
    <m/>
  </r>
  <r>
    <x v="20"/>
    <x v="5"/>
    <x v="1"/>
    <x v="0"/>
    <n v="0"/>
    <n v="4.5"/>
    <n v="4.5"/>
    <n v="-4"/>
    <n v="4.5"/>
    <n v="0"/>
    <m/>
    <m/>
  </r>
  <r>
    <x v="21"/>
    <x v="6"/>
    <x v="2"/>
    <x v="0"/>
    <n v="0"/>
    <n v="4.5"/>
    <n v="4.5"/>
    <n v="0"/>
    <n v="4.5"/>
    <n v="0"/>
    <m/>
    <m/>
  </r>
  <r>
    <x v="21"/>
    <x v="7"/>
    <x v="2"/>
    <x v="0"/>
    <n v="0"/>
    <n v="4.25"/>
    <n v="4.25"/>
    <n v="-6"/>
    <n v="4.3055599999999998"/>
    <n v="-5.5559999999999998E-2"/>
    <m/>
    <m/>
  </r>
  <r>
    <x v="21"/>
    <x v="8"/>
    <x v="2"/>
    <x v="0"/>
    <n v="0"/>
    <n v="3.75"/>
    <n v="3.75"/>
    <n v="-4"/>
    <n v="3.8541699999999999"/>
    <n v="-0.10417"/>
    <m/>
    <m/>
  </r>
  <r>
    <x v="21"/>
    <x v="9"/>
    <x v="3"/>
    <x v="0"/>
    <n v="0"/>
    <n v="3.75"/>
    <n v="3.75"/>
    <n v="0"/>
    <n v="3.75"/>
    <n v="0"/>
    <m/>
    <m/>
  </r>
  <r>
    <x v="21"/>
    <x v="10"/>
    <x v="3"/>
    <x v="0"/>
    <n v="-25"/>
    <n v="3.25"/>
    <n v="3"/>
    <n v="-18"/>
    <n v="3.20946"/>
    <n v="-0.20946000000000001"/>
    <m/>
    <m/>
  </r>
  <r>
    <x v="21"/>
    <x v="11"/>
    <x v="3"/>
    <x v="0"/>
    <n v="0"/>
    <n v="2.25"/>
    <n v="2.25"/>
    <n v="0"/>
    <n v="2.2569400000000002"/>
    <n v="-6.94E-3"/>
    <m/>
    <m/>
  </r>
  <r>
    <x v="21"/>
    <x v="0"/>
    <x v="0"/>
    <x v="0"/>
    <n v="0"/>
    <n v="2.25"/>
    <n v="2.25"/>
    <n v="0"/>
    <n v="2.25"/>
    <n v="0"/>
    <m/>
    <m/>
  </r>
  <r>
    <x v="21"/>
    <x v="1"/>
    <x v="0"/>
    <x v="0"/>
    <n v="0"/>
    <n v="2"/>
    <n v="2"/>
    <n v="-17"/>
    <n v="2.0270299999999999"/>
    <n v="-2.7029999999999998E-2"/>
    <m/>
    <m/>
  </r>
  <r>
    <x v="21"/>
    <x v="2"/>
    <x v="0"/>
    <x v="0"/>
    <n v="0"/>
    <n v="2"/>
    <n v="2"/>
    <n v="2"/>
    <n v="2"/>
    <n v="0"/>
    <m/>
    <m/>
  </r>
  <r>
    <x v="21"/>
    <x v="3"/>
    <x v="1"/>
    <x v="0"/>
    <n v="0"/>
    <n v="2"/>
    <n v="2"/>
    <n v="-7"/>
    <n v="2"/>
    <n v="0"/>
    <m/>
    <m/>
  </r>
  <r>
    <x v="21"/>
    <x v="4"/>
    <x v="1"/>
    <x v="0"/>
    <n v="0"/>
    <n v="2"/>
    <n v="2"/>
    <n v="0"/>
    <n v="2"/>
    <n v="0"/>
    <m/>
    <m/>
  </r>
  <r>
    <x v="21"/>
    <x v="5"/>
    <x v="1"/>
    <x v="0"/>
    <n v="0"/>
    <n v="2"/>
    <n v="2"/>
    <n v="4"/>
    <n v="2"/>
    <n v="0"/>
    <m/>
    <m/>
  </r>
  <r>
    <x v="22"/>
    <x v="6"/>
    <x v="2"/>
    <x v="0"/>
    <n v="0"/>
    <n v="2"/>
    <n v="2"/>
    <n v="14"/>
    <n v="2"/>
    <n v="0"/>
    <m/>
    <m/>
  </r>
  <r>
    <x v="22"/>
    <x v="7"/>
    <x v="2"/>
    <x v="0"/>
    <n v="0"/>
    <n v="2"/>
    <n v="2"/>
    <n v="0"/>
    <n v="2"/>
    <n v="0"/>
    <m/>
    <m/>
  </r>
  <r>
    <x v="22"/>
    <x v="8"/>
    <x v="2"/>
    <x v="0"/>
    <n v="25"/>
    <n v="2.5"/>
    <n v="2.75"/>
    <n v="29"/>
    <n v="2.4821399999999998"/>
    <n v="0.26785999999999999"/>
    <m/>
    <m/>
  </r>
  <r>
    <x v="22"/>
    <x v="9"/>
    <x v="3"/>
    <x v="0"/>
    <n v="0"/>
    <n v="2.75"/>
    <n v="2.75"/>
    <n v="0"/>
    <n v="2.75"/>
    <n v="0"/>
    <m/>
    <m/>
  </r>
  <r>
    <x v="22"/>
    <x v="10"/>
    <x v="3"/>
    <x v="0"/>
    <n v="0"/>
    <n v="3.5"/>
    <n v="3.5"/>
    <n v="0"/>
    <n v="3.5"/>
    <n v="0"/>
    <m/>
    <m/>
  </r>
  <r>
    <x v="22"/>
    <x v="11"/>
    <x v="3"/>
    <x v="0"/>
    <n v="0"/>
    <n v="4.25"/>
    <n v="4.25"/>
    <n v="21"/>
    <n v="4.25"/>
    <n v="0"/>
    <m/>
    <m/>
  </r>
  <r>
    <x v="22"/>
    <x v="0"/>
    <x v="0"/>
    <x v="0"/>
    <n v="0"/>
    <n v="4.25"/>
    <n v="4.25"/>
    <n v="0"/>
    <n v="4.25"/>
    <n v="0"/>
    <m/>
    <m/>
  </r>
  <r>
    <x v="22"/>
    <x v="1"/>
    <x v="0"/>
    <x v="0"/>
    <n v="0"/>
    <n v="5.25"/>
    <n v="5.25"/>
    <n v="25"/>
    <n v="5.2378"/>
    <n v="1.2200000000000001E-2"/>
    <m/>
    <m/>
  </r>
  <r>
    <x v="22"/>
    <x v="2"/>
    <x v="0"/>
    <x v="0"/>
    <n v="0"/>
    <n v="6.25"/>
    <n v="6.25"/>
    <n v="7"/>
    <n v="6.2820499999999999"/>
    <n v="-3.2050000000000002E-2"/>
    <m/>
    <m/>
  </r>
  <r>
    <x v="22"/>
    <x v="3"/>
    <x v="1"/>
    <x v="0"/>
    <n v="0"/>
    <n v="7.75"/>
    <n v="7.75"/>
    <n v="-2"/>
    <n v="7.6428599999999998"/>
    <n v="0.10714"/>
    <m/>
    <m/>
  </r>
  <r>
    <x v="22"/>
    <x v="4"/>
    <x v="1"/>
    <x v="0"/>
    <n v="0"/>
    <n v="7.75"/>
    <n v="7.75"/>
    <n v="0"/>
    <n v="7.75"/>
    <n v="0"/>
    <m/>
    <m/>
  </r>
  <r>
    <x v="22"/>
    <x v="5"/>
    <x v="1"/>
    <x v="0"/>
    <n v="0"/>
    <n v="9.25"/>
    <n v="9.25"/>
    <n v="25"/>
    <n v="9.25"/>
    <n v="0"/>
    <m/>
    <m/>
  </r>
  <r>
    <x v="23"/>
    <x v="6"/>
    <x v="2"/>
    <x v="0"/>
    <n v="0"/>
    <n v="9.25"/>
    <n v="9.25"/>
    <n v="0"/>
    <n v="9.25"/>
    <n v="0"/>
    <m/>
    <m/>
  </r>
  <r>
    <x v="23"/>
    <x v="7"/>
    <x v="2"/>
    <x v="0"/>
    <n v="0"/>
    <n v="10.75"/>
    <n v="10.75"/>
    <n v="-3"/>
    <n v="10.744"/>
    <n v="6.0000000000000001E-3"/>
    <m/>
    <m/>
  </r>
  <r>
    <x v="23"/>
    <x v="8"/>
    <x v="2"/>
    <x v="0"/>
    <n v="0"/>
    <n v="11.75"/>
    <n v="11.75"/>
    <n v="-21"/>
    <n v="11.795500000000001"/>
    <n v="-4.5499999999999999E-2"/>
    <m/>
    <m/>
  </r>
  <r>
    <x v="23"/>
    <x v="9"/>
    <x v="3"/>
    <x v="0"/>
    <n v="0"/>
    <n v="11.75"/>
    <n v="11.75"/>
    <n v="0"/>
    <n v="11.75"/>
    <n v="0"/>
    <m/>
    <m/>
  </r>
  <r>
    <x v="23"/>
    <x v="10"/>
    <x v="3"/>
    <x v="0"/>
    <n v="0"/>
    <n v="12.75"/>
    <n v="12.75"/>
    <n v="23"/>
    <n v="12.75"/>
    <n v="0"/>
    <m/>
    <m/>
  </r>
  <r>
    <x v="23"/>
    <x v="11"/>
    <x v="3"/>
    <x v="0"/>
    <n v="0"/>
    <n v="13.25"/>
    <n v="13.25"/>
    <n v="0"/>
    <n v="13.2622"/>
    <n v="-1.2200000000000001E-2"/>
    <m/>
    <m/>
  </r>
  <r>
    <x v="23"/>
    <x v="0"/>
    <x v="0"/>
    <x v="0"/>
    <n v="0"/>
    <n v="13.25"/>
    <n v="13.25"/>
    <n v="0"/>
    <n v="13.25"/>
    <n v="0"/>
    <m/>
    <m/>
  </r>
  <r>
    <x v="23"/>
    <x v="1"/>
    <x v="0"/>
    <x v="0"/>
    <n v="0"/>
    <n v="13.75"/>
    <n v="13.75"/>
    <n v="-18"/>
    <n v="13.75"/>
    <n v="0"/>
    <m/>
    <m/>
  </r>
  <r>
    <x v="23"/>
    <x v="2"/>
    <x v="0"/>
    <x v="0"/>
    <n v="0"/>
    <n v="13.75"/>
    <n v="13.75"/>
    <n v="-22"/>
    <n v="13.7889"/>
    <n v="-3.8899999999999997E-2"/>
    <m/>
    <m/>
  </r>
  <r>
    <x v="23"/>
    <x v="3"/>
    <x v="1"/>
    <x v="0"/>
    <n v="0"/>
    <n v="13.75"/>
    <n v="13.75"/>
    <n v="5"/>
    <n v="13.75"/>
    <n v="0"/>
    <m/>
    <m/>
  </r>
  <r>
    <x v="23"/>
    <x v="4"/>
    <x v="1"/>
    <x v="0"/>
    <n v="0"/>
    <n v="13.75"/>
    <n v="13.75"/>
    <n v="0"/>
    <n v="13.75"/>
    <n v="0"/>
    <m/>
    <m/>
  </r>
  <r>
    <x v="23"/>
    <x v="5"/>
    <x v="1"/>
    <x v="0"/>
    <n v="0"/>
    <n v="13.75"/>
    <n v="13.75"/>
    <n v="-3"/>
    <n v="13.75"/>
    <n v="0"/>
    <m/>
    <m/>
  </r>
  <r>
    <x v="24"/>
    <x v="6"/>
    <x v="2"/>
    <x v="0"/>
    <n v="0"/>
    <n v="13.75"/>
    <n v="13.75"/>
    <m/>
    <n v="13.75"/>
    <n v="0"/>
    <m/>
    <m/>
  </r>
  <r>
    <x v="24"/>
    <x v="7"/>
    <x v="2"/>
    <x v="0"/>
    <n v="0"/>
    <n v="13.75"/>
    <n v="13.75"/>
    <m/>
    <n v="13.75"/>
    <n v="0"/>
    <m/>
    <m/>
  </r>
  <r>
    <x v="24"/>
    <x v="8"/>
    <x v="2"/>
    <x v="0"/>
    <n v="0"/>
    <n v="13.75"/>
    <n v="13.75"/>
    <m/>
    <n v="13.75"/>
    <n v="0"/>
    <m/>
    <m/>
  </r>
  <r>
    <x v="24"/>
    <x v="9"/>
    <x v="3"/>
    <x v="0"/>
    <n v="0"/>
    <n v="13.75"/>
    <n v="13.75"/>
    <m/>
    <n v="13.75"/>
    <n v="0"/>
    <m/>
    <m/>
  </r>
  <r>
    <x v="24"/>
    <x v="10"/>
    <x v="3"/>
    <x v="0"/>
    <n v="0"/>
    <n v="13.75"/>
    <n v="13.75"/>
    <m/>
    <n v="13.7432"/>
    <n v="6.7999999999999996E-3"/>
    <m/>
    <m/>
  </r>
  <r>
    <x v="24"/>
    <x v="11"/>
    <x v="3"/>
    <x v="0"/>
    <n v="0"/>
    <n v="13.75"/>
    <n v="13.75"/>
    <m/>
    <n v="13.75"/>
    <n v="0"/>
    <m/>
    <m/>
  </r>
  <r>
    <x v="24"/>
    <x v="0"/>
    <x v="0"/>
    <x v="0"/>
    <n v="0"/>
    <n v="13.75"/>
    <n v="13.75"/>
    <m/>
    <n v="13.75"/>
    <n v="0"/>
    <m/>
    <m/>
  </r>
  <r>
    <x v="24"/>
    <x v="1"/>
    <x v="0"/>
    <x v="0"/>
    <n v="-25"/>
    <n v="13.5"/>
    <n v="13.25"/>
    <m/>
    <n v="13.4329"/>
    <n v="-0.18290000000000001"/>
    <m/>
    <m/>
  </r>
  <r>
    <x v="24"/>
    <x v="2"/>
    <x v="0"/>
    <x v="0"/>
    <n v="0"/>
    <n v="12.75"/>
    <n v="12.75"/>
    <m/>
    <n v="12.75"/>
    <n v="0"/>
    <m/>
    <m/>
  </r>
  <r>
    <x v="24"/>
    <x v="3"/>
    <x v="1"/>
    <x v="0"/>
    <n v="0"/>
    <n v="12.75"/>
    <n v="12.75"/>
    <m/>
    <n v="12.75"/>
    <n v="0"/>
    <m/>
    <m/>
  </r>
  <r>
    <x v="24"/>
    <x v="4"/>
    <x v="1"/>
    <x v="0"/>
    <n v="0"/>
    <n v="12.25"/>
    <n v="12.25"/>
    <m/>
    <n v="12.25"/>
    <n v="0"/>
    <m/>
    <m/>
  </r>
  <r>
    <x v="24"/>
    <x v="5"/>
    <x v="1"/>
    <x v="0"/>
    <n v="0"/>
    <n v="11.75"/>
    <n v="11.75"/>
    <m/>
    <n v="11.75"/>
    <n v="0"/>
    <m/>
    <m/>
  </r>
  <r>
    <x v="25"/>
    <x v="6"/>
    <x v="2"/>
    <x v="0"/>
    <n v="0"/>
    <n v="11.25"/>
    <n v="11.25"/>
    <m/>
    <n v="11.25"/>
    <n v="0"/>
    <m/>
    <m/>
  </r>
  <r>
    <x v="25"/>
    <x v="7"/>
    <x v="2"/>
    <x v="0"/>
    <n v="0"/>
    <n v="11.25"/>
    <n v="11.25"/>
    <m/>
    <n v="11.25"/>
    <n v="0"/>
    <m/>
    <m/>
  </r>
  <r>
    <x v="25"/>
    <x v="8"/>
    <x v="2"/>
    <x v="0"/>
    <n v="0"/>
    <n v="10.75"/>
    <n v="10.75"/>
    <m/>
    <n v="10.75"/>
    <n v="0"/>
    <m/>
    <m/>
  </r>
  <r>
    <x v="25"/>
    <x v="9"/>
    <x v="3"/>
    <x v="0"/>
    <n v="0"/>
    <n v="10.75"/>
    <n v="10.75"/>
    <m/>
    <n v="10.75"/>
    <n v="0"/>
    <m/>
    <m/>
  </r>
  <r>
    <x v="25"/>
    <x v="10"/>
    <x v="3"/>
    <x v="0"/>
    <n v="0"/>
    <n v="10.5"/>
    <n v="10.5"/>
    <m/>
    <n v="10.416700000000001"/>
    <n v="8.3299999999999999E-2"/>
    <m/>
    <m/>
  </r>
  <r>
    <x v="25"/>
    <x v="11"/>
    <x v="3"/>
    <x v="0"/>
    <n v="0"/>
    <n v="10.5"/>
    <n v="10.5"/>
    <m/>
    <n v="10.485300000000001"/>
    <n v="1.47E-2"/>
    <m/>
    <m/>
  </r>
  <r>
    <x v="25"/>
    <x v="0"/>
    <x v="0"/>
    <x v="0"/>
    <n v="0"/>
    <n v="10.5"/>
    <n v="10.5"/>
    <m/>
    <n v="10.5"/>
    <n v="0"/>
    <m/>
    <m/>
  </r>
  <r>
    <x v="25"/>
    <x v="1"/>
    <x v="0"/>
    <x v="0"/>
    <n v="0"/>
    <n v="10.5"/>
    <n v="10.5"/>
    <m/>
    <n v="10.5"/>
    <n v="0"/>
    <m/>
    <m/>
  </r>
  <r>
    <x v="25"/>
    <x v="2"/>
    <x v="0"/>
    <x v="0"/>
    <n v="0"/>
    <n v="10.75"/>
    <n v="10.75"/>
    <m/>
    <n v="10.75"/>
    <n v="0"/>
    <m/>
    <m/>
  </r>
  <r>
    <x v="25"/>
    <x v="3"/>
    <x v="1"/>
    <x v="0"/>
    <n v="0"/>
    <n v="10.75"/>
    <n v="10.75"/>
    <m/>
    <n v="10.75"/>
    <n v="0"/>
    <m/>
    <m/>
  </r>
  <r>
    <x v="25"/>
    <x v="4"/>
    <x v="1"/>
    <x v="0"/>
    <n v="0"/>
    <n v="11.25"/>
    <n v="11.25"/>
    <m/>
    <n v="11.25"/>
    <n v="0"/>
    <m/>
    <m/>
  </r>
  <r>
    <x v="25"/>
    <x v="5"/>
    <x v="1"/>
    <x v="0"/>
    <n v="25"/>
    <n v="12"/>
    <n v="12.25"/>
    <m/>
    <n v="12.0929"/>
    <n v="0.15709999999999999"/>
    <m/>
    <m/>
  </r>
  <r>
    <x v="26"/>
    <x v="6"/>
    <x v="2"/>
    <x v="0"/>
    <n v="0"/>
    <n v="13.25"/>
    <n v="13.25"/>
    <m/>
    <n v="13.25"/>
    <n v="0"/>
    <m/>
    <m/>
  </r>
  <r>
    <x v="26"/>
    <x v="7"/>
    <x v="2"/>
    <x v="0"/>
    <n v="0"/>
    <n v="13.25"/>
    <n v="13.25"/>
    <m/>
    <n v="13.25"/>
    <n v="0"/>
    <m/>
    <m/>
  </r>
  <r>
    <x v="26"/>
    <x v="8"/>
    <x v="2"/>
    <x v="0"/>
    <n v="0"/>
    <n v="14.25"/>
    <n v="14.25"/>
    <m/>
    <n v="14.25"/>
    <n v="0"/>
    <m/>
    <m/>
  </r>
  <r>
    <x v="26"/>
    <x v="9"/>
    <x v="3"/>
    <x v="0"/>
    <n v="0"/>
    <n v="14.25"/>
    <n v="14.25"/>
    <m/>
    <n v="14.25"/>
    <n v="0"/>
    <m/>
    <m/>
  </r>
  <r>
    <x v="26"/>
    <x v="10"/>
    <x v="3"/>
    <x v="0"/>
    <n v="0"/>
    <n v="14.75"/>
    <n v="14.75"/>
    <m/>
    <n v="14.7424"/>
    <n v="7.6E-3"/>
    <m/>
    <m/>
  </r>
  <r>
    <x v="2"/>
    <x v="1"/>
    <x v="0"/>
    <x v="1"/>
    <n v="0"/>
    <n v="6.5"/>
    <n v="6.5"/>
    <m/>
    <n v="6.5"/>
    <n v="0"/>
    <m/>
    <m/>
  </r>
  <r>
    <x v="2"/>
    <x v="2"/>
    <x v="0"/>
    <x v="1"/>
    <n v="0"/>
    <n v="6.5"/>
    <n v="6.5"/>
    <m/>
    <n v="6.55"/>
    <n v="-5"/>
    <m/>
    <m/>
  </r>
  <r>
    <x v="2"/>
    <x v="3"/>
    <x v="1"/>
    <x v="1"/>
    <n v="0"/>
    <n v="6.5"/>
    <n v="6.5"/>
    <m/>
    <n v="6.5"/>
    <n v="0"/>
    <m/>
    <m/>
  </r>
  <r>
    <x v="2"/>
    <x v="4"/>
    <x v="1"/>
    <x v="1"/>
    <n v="0"/>
    <n v="6.5"/>
    <n v="6.5"/>
    <m/>
    <n v="6.5"/>
    <n v="0"/>
    <m/>
    <m/>
  </r>
  <r>
    <x v="2"/>
    <x v="5"/>
    <x v="1"/>
    <x v="1"/>
    <n v="0"/>
    <n v="6.5"/>
    <n v="6.5"/>
    <m/>
    <n v="6.5"/>
    <n v="0"/>
    <m/>
    <m/>
  </r>
  <r>
    <x v="3"/>
    <x v="6"/>
    <x v="2"/>
    <x v="1"/>
    <n v="0"/>
    <n v="6"/>
    <n v="6"/>
    <m/>
    <n v="6.11111"/>
    <n v="-11.111000000000001"/>
    <m/>
    <m/>
  </r>
  <r>
    <x v="3"/>
    <x v="7"/>
    <x v="2"/>
    <x v="1"/>
    <n v="0"/>
    <n v="5.5"/>
    <n v="5.5"/>
    <m/>
    <n v="5.6071400000000002"/>
    <n v="-10.714"/>
    <m/>
    <m/>
  </r>
  <r>
    <x v="3"/>
    <x v="8"/>
    <x v="2"/>
    <x v="1"/>
    <n v="-25"/>
    <n v="5"/>
    <n v="4.75"/>
    <m/>
    <n v="5.0227300000000001"/>
    <n v="-27.273"/>
    <m/>
    <m/>
  </r>
  <r>
    <x v="3"/>
    <x v="9"/>
    <x v="3"/>
    <x v="1"/>
    <n v="0"/>
    <n v="4.75"/>
    <n v="4.75"/>
    <m/>
    <n v="4.7"/>
    <n v="5"/>
    <m/>
    <m/>
  </r>
  <r>
    <x v="3"/>
    <x v="10"/>
    <x v="3"/>
    <x v="1"/>
    <n v="-25"/>
    <n v="4.25"/>
    <n v="4"/>
    <m/>
    <n v="4.2307699999999997"/>
    <n v="-23.077000000000002"/>
    <m/>
    <m/>
  </r>
  <r>
    <x v="3"/>
    <x v="11"/>
    <x v="3"/>
    <x v="1"/>
    <n v="0"/>
    <n v="4"/>
    <n v="4"/>
    <m/>
    <n v="4"/>
    <n v="0"/>
    <m/>
    <m/>
  </r>
  <r>
    <x v="3"/>
    <x v="0"/>
    <x v="0"/>
    <x v="1"/>
    <n v="-50"/>
    <n v="3.75"/>
    <n v="3.25"/>
    <m/>
    <n v="3.7692299999999999"/>
    <n v="-51.923000000000002"/>
    <m/>
    <m/>
  </r>
  <r>
    <x v="3"/>
    <x v="1"/>
    <x v="0"/>
    <x v="1"/>
    <n v="-25"/>
    <n v="3.25"/>
    <n v="3"/>
    <m/>
    <n v="3.1458300000000001"/>
    <n v="-14.583"/>
    <m/>
    <m/>
  </r>
  <r>
    <x v="3"/>
    <x v="2"/>
    <x v="0"/>
    <x v="1"/>
    <n v="0"/>
    <n v="3"/>
    <n v="3"/>
    <m/>
    <n v="2.9791699999999999"/>
    <n v="2.0830000000000002"/>
    <m/>
    <m/>
  </r>
  <r>
    <x v="3"/>
    <x v="3"/>
    <x v="1"/>
    <x v="1"/>
    <n v="0"/>
    <n v="3"/>
    <n v="3"/>
    <m/>
    <n v="3"/>
    <n v="0"/>
    <m/>
    <m/>
  </r>
  <r>
    <x v="3"/>
    <x v="4"/>
    <x v="1"/>
    <x v="1"/>
    <n v="0"/>
    <n v="3"/>
    <n v="3"/>
    <m/>
    <n v="3"/>
    <n v="0"/>
    <m/>
    <m/>
  </r>
  <r>
    <x v="3"/>
    <x v="5"/>
    <x v="1"/>
    <x v="1"/>
    <n v="0"/>
    <n v="3"/>
    <n v="3"/>
    <m/>
    <n v="2.90625"/>
    <n v="9.375"/>
    <m/>
    <m/>
  </r>
  <r>
    <x v="4"/>
    <x v="6"/>
    <x v="2"/>
    <x v="1"/>
    <n v="-25"/>
    <n v="3"/>
    <n v="2.75"/>
    <m/>
    <n v="2.9318200000000001"/>
    <n v="-18.181999999999999"/>
    <m/>
    <m/>
  </r>
  <r>
    <x v="4"/>
    <x v="7"/>
    <x v="2"/>
    <x v="1"/>
    <n v="0"/>
    <n v="2.75"/>
    <n v="2.75"/>
    <m/>
    <n v="2.75"/>
    <n v="0"/>
    <m/>
    <m/>
  </r>
  <r>
    <x v="4"/>
    <x v="8"/>
    <x v="2"/>
    <x v="1"/>
    <n v="0"/>
    <n v="2.75"/>
    <n v="2.75"/>
    <m/>
    <n v="2.75"/>
    <n v="0"/>
    <m/>
    <m/>
  </r>
  <r>
    <x v="4"/>
    <x v="9"/>
    <x v="3"/>
    <x v="1"/>
    <n v="0"/>
    <n v="2.75"/>
    <n v="2.75"/>
    <m/>
    <n v="2.7777799999999999"/>
    <n v="-2.778"/>
    <m/>
    <m/>
  </r>
  <r>
    <x v="4"/>
    <x v="10"/>
    <x v="3"/>
    <x v="1"/>
    <n v="0"/>
    <n v="2.75"/>
    <n v="2.75"/>
    <m/>
    <n v="2.7708300000000001"/>
    <n v="-2.0830000000000002"/>
    <m/>
    <m/>
  </r>
  <r>
    <x v="4"/>
    <x v="11"/>
    <x v="3"/>
    <x v="1"/>
    <n v="0"/>
    <n v="2.75"/>
    <n v="2.75"/>
    <m/>
    <n v="2.75"/>
    <n v="0"/>
    <m/>
    <m/>
  </r>
  <r>
    <x v="4"/>
    <x v="0"/>
    <x v="0"/>
    <x v="1"/>
    <n v="0"/>
    <n v="2.75"/>
    <n v="2.75"/>
    <m/>
    <n v="2.75"/>
    <n v="0"/>
    <m/>
    <m/>
  </r>
  <r>
    <x v="4"/>
    <x v="1"/>
    <x v="0"/>
    <x v="1"/>
    <n v="0"/>
    <n v="2.75"/>
    <n v="2.75"/>
    <m/>
    <n v="2.75"/>
    <n v="0"/>
    <m/>
    <m/>
  </r>
  <r>
    <x v="4"/>
    <x v="2"/>
    <x v="0"/>
    <x v="1"/>
    <n v="0"/>
    <n v="2.75"/>
    <n v="2.75"/>
    <m/>
    <n v="2.75"/>
    <n v="0"/>
    <m/>
    <m/>
  </r>
  <r>
    <x v="4"/>
    <x v="3"/>
    <x v="1"/>
    <x v="1"/>
    <n v="0"/>
    <n v="2.75"/>
    <n v="2.75"/>
    <m/>
    <n v="2.75"/>
    <n v="0"/>
    <m/>
    <m/>
  </r>
  <r>
    <x v="4"/>
    <x v="4"/>
    <x v="1"/>
    <x v="1"/>
    <n v="0"/>
    <n v="2.75"/>
    <n v="2.75"/>
    <m/>
    <n v="2.7142900000000001"/>
    <n v="3.5710000000000002"/>
    <m/>
    <m/>
  </r>
  <r>
    <x v="4"/>
    <x v="5"/>
    <x v="1"/>
    <x v="1"/>
    <n v="-50"/>
    <n v="2.75"/>
    <n v="2.25"/>
    <m/>
    <n v="2.6818200000000001"/>
    <n v="-43.182000000000002"/>
    <m/>
    <m/>
  </r>
  <r>
    <x v="5"/>
    <x v="6"/>
    <x v="2"/>
    <x v="1"/>
    <n v="-50"/>
    <n v="2.25"/>
    <n v="1.75"/>
    <m/>
    <n v="2.25"/>
    <n v="-50"/>
    <m/>
    <m/>
  </r>
  <r>
    <x v="5"/>
    <x v="7"/>
    <x v="2"/>
    <x v="1"/>
    <n v="0"/>
    <n v="1.75"/>
    <n v="1.75"/>
    <m/>
    <n v="1.75"/>
    <n v="0"/>
    <m/>
    <m/>
  </r>
  <r>
    <x v="5"/>
    <x v="8"/>
    <x v="2"/>
    <x v="1"/>
    <n v="0"/>
    <n v="1.75"/>
    <n v="1.75"/>
    <m/>
    <n v="1.7291700000000001"/>
    <n v="2.0830000000000002"/>
    <m/>
    <m/>
  </r>
  <r>
    <x v="5"/>
    <x v="9"/>
    <x v="3"/>
    <x v="1"/>
    <n v="0"/>
    <n v="1.75"/>
    <n v="1.75"/>
    <m/>
    <n v="1.7272700000000001"/>
    <n v="2.2730000000000001"/>
    <m/>
    <m/>
  </r>
  <r>
    <x v="5"/>
    <x v="10"/>
    <x v="3"/>
    <x v="1"/>
    <n v="0"/>
    <n v="1.75"/>
    <n v="1.75"/>
    <m/>
    <n v="1.75"/>
    <n v="0"/>
    <m/>
    <m/>
  </r>
  <r>
    <x v="5"/>
    <x v="11"/>
    <x v="3"/>
    <x v="1"/>
    <n v="0"/>
    <n v="1.75"/>
    <n v="1.75"/>
    <m/>
    <n v="1.75"/>
    <n v="0"/>
    <m/>
    <m/>
  </r>
  <r>
    <x v="5"/>
    <x v="0"/>
    <x v="0"/>
    <x v="1"/>
    <n v="0"/>
    <n v="1.75"/>
    <n v="1.75"/>
    <m/>
    <n v="1.75"/>
    <n v="0"/>
    <m/>
    <m/>
  </r>
  <r>
    <x v="5"/>
    <x v="1"/>
    <x v="0"/>
    <x v="1"/>
    <n v="0"/>
    <n v="1.75"/>
    <n v="1.75"/>
    <m/>
    <n v="1.75"/>
    <n v="0"/>
    <m/>
    <m/>
  </r>
  <r>
    <x v="5"/>
    <x v="2"/>
    <x v="0"/>
    <x v="1"/>
    <n v="0"/>
    <n v="2"/>
    <n v="2"/>
    <m/>
    <n v="1.875"/>
    <n v="12.5"/>
    <m/>
    <m/>
  </r>
  <r>
    <x v="5"/>
    <x v="3"/>
    <x v="1"/>
    <x v="1"/>
    <n v="0"/>
    <n v="2"/>
    <n v="2"/>
    <m/>
    <n v="2.11111"/>
    <n v="-11.111000000000001"/>
    <m/>
    <m/>
  </r>
  <r>
    <x v="5"/>
    <x v="4"/>
    <x v="1"/>
    <x v="1"/>
    <n v="0"/>
    <n v="2.25"/>
    <n v="2.25"/>
    <m/>
    <n v="2.125"/>
    <n v="12.5"/>
    <m/>
    <m/>
  </r>
  <r>
    <x v="5"/>
    <x v="5"/>
    <x v="1"/>
    <x v="1"/>
    <n v="-25"/>
    <n v="2.5"/>
    <n v="2.25"/>
    <m/>
    <n v="2.4305599999999998"/>
    <n v="-18.056000000000001"/>
    <m/>
    <m/>
  </r>
  <r>
    <x v="6"/>
    <x v="6"/>
    <x v="2"/>
    <x v="1"/>
    <n v="25"/>
    <n v="2.25"/>
    <n v="2.5"/>
    <m/>
    <n v="2.3181799999999999"/>
    <n v="18.181999999999999"/>
    <m/>
    <m/>
  </r>
  <r>
    <x v="6"/>
    <x v="7"/>
    <x v="2"/>
    <x v="1"/>
    <n v="25"/>
    <n v="2.5"/>
    <n v="2.75"/>
    <m/>
    <n v="2.5416699999999999"/>
    <n v="20.832999999999998"/>
    <m/>
    <m/>
  </r>
  <r>
    <x v="6"/>
    <x v="8"/>
    <x v="2"/>
    <x v="1"/>
    <n v="0"/>
    <n v="2.75"/>
    <n v="2.75"/>
    <m/>
    <n v="2.8571399999999998"/>
    <n v="-10.714"/>
    <m/>
    <m/>
  </r>
  <r>
    <x v="6"/>
    <x v="9"/>
    <x v="3"/>
    <x v="1"/>
    <n v="0"/>
    <n v="3"/>
    <n v="3"/>
    <m/>
    <n v="2.9807700000000001"/>
    <n v="1.923"/>
    <m/>
    <m/>
  </r>
  <r>
    <x v="6"/>
    <x v="10"/>
    <x v="3"/>
    <x v="1"/>
    <n v="0"/>
    <n v="3.25"/>
    <n v="3.25"/>
    <m/>
    <n v="3.1875"/>
    <n v="6.25"/>
    <m/>
    <m/>
  </r>
  <r>
    <x v="6"/>
    <x v="11"/>
    <x v="3"/>
    <x v="1"/>
    <n v="-25"/>
    <n v="3.5"/>
    <n v="3.25"/>
    <m/>
    <n v="3.46875"/>
    <n v="-21.875"/>
    <m/>
    <m/>
  </r>
  <r>
    <x v="6"/>
    <x v="0"/>
    <x v="0"/>
    <x v="1"/>
    <n v="0"/>
    <n v="3.5"/>
    <n v="3.5"/>
    <m/>
    <n v="3.5"/>
    <n v="0"/>
    <m/>
    <m/>
  </r>
  <r>
    <x v="6"/>
    <x v="1"/>
    <x v="0"/>
    <x v="1"/>
    <n v="0"/>
    <n v="3.75"/>
    <n v="3.75"/>
    <m/>
    <n v="3.7692299999999999"/>
    <n v="-1.923"/>
    <m/>
    <m/>
  </r>
  <r>
    <x v="6"/>
    <x v="2"/>
    <x v="0"/>
    <x v="1"/>
    <n v="0"/>
    <n v="4"/>
    <n v="4"/>
    <m/>
    <n v="4"/>
    <n v="0"/>
    <m/>
    <m/>
  </r>
  <r>
    <x v="6"/>
    <x v="3"/>
    <x v="1"/>
    <x v="1"/>
    <n v="0"/>
    <n v="4.25"/>
    <n v="4.25"/>
    <m/>
    <n v="4.2727300000000001"/>
    <n v="-2.2730000000000001"/>
    <m/>
    <m/>
  </r>
  <r>
    <x v="6"/>
    <x v="4"/>
    <x v="1"/>
    <x v="1"/>
    <n v="0"/>
    <n v="4.5"/>
    <n v="4.5"/>
    <m/>
    <n v="4.5"/>
    <n v="0"/>
    <m/>
    <m/>
  </r>
  <r>
    <x v="6"/>
    <x v="5"/>
    <x v="1"/>
    <x v="1"/>
    <n v="-25"/>
    <n v="4.75"/>
    <n v="4.5"/>
    <m/>
    <n v="4.65625"/>
    <n v="-15.625"/>
    <m/>
    <m/>
  </r>
  <r>
    <x v="7"/>
    <x v="6"/>
    <x v="2"/>
    <x v="1"/>
    <n v="-25"/>
    <n v="4.75"/>
    <n v="4.5"/>
    <m/>
    <n v="4.6730799999999997"/>
    <n v="-17.308"/>
    <m/>
    <m/>
  </r>
  <r>
    <x v="7"/>
    <x v="7"/>
    <x v="2"/>
    <x v="1"/>
    <n v="0"/>
    <n v="4.75"/>
    <n v="4.75"/>
    <m/>
    <n v="4.75"/>
    <n v="0"/>
    <m/>
    <m/>
  </r>
  <r>
    <x v="7"/>
    <x v="8"/>
    <x v="2"/>
    <x v="1"/>
    <n v="0"/>
    <n v="4.75"/>
    <n v="4.75"/>
    <m/>
    <n v="4.7833300000000003"/>
    <n v="-3.3330000000000002"/>
    <m/>
    <m/>
  </r>
  <r>
    <x v="7"/>
    <x v="9"/>
    <x v="3"/>
    <x v="1"/>
    <n v="0"/>
    <n v="5"/>
    <n v="5"/>
    <m/>
    <n v="4.9166699999999999"/>
    <n v="8.3330000000000002"/>
    <m/>
    <m/>
  </r>
  <r>
    <x v="7"/>
    <x v="10"/>
    <x v="3"/>
    <x v="1"/>
    <n v="0"/>
    <n v="5"/>
    <n v="5"/>
    <m/>
    <n v="5"/>
    <n v="0"/>
    <m/>
    <m/>
  </r>
  <r>
    <x v="7"/>
    <x v="11"/>
    <x v="3"/>
    <x v="1"/>
    <n v="0"/>
    <n v="5"/>
    <n v="5"/>
    <m/>
    <n v="5"/>
    <n v="0"/>
    <m/>
    <m/>
  </r>
  <r>
    <x v="7"/>
    <x v="0"/>
    <x v="0"/>
    <x v="1"/>
    <n v="0"/>
    <n v="5.25"/>
    <n v="5.25"/>
    <m/>
    <n v="5.2291699999999999"/>
    <n v="2.0830000000000002"/>
    <m/>
    <m/>
  </r>
  <r>
    <x v="7"/>
    <x v="1"/>
    <x v="0"/>
    <x v="1"/>
    <n v="0"/>
    <n v="5.25"/>
    <n v="5.25"/>
    <m/>
    <n v="5.25"/>
    <n v="0"/>
    <m/>
    <m/>
  </r>
  <r>
    <x v="7"/>
    <x v="2"/>
    <x v="0"/>
    <x v="1"/>
    <n v="0"/>
    <n v="5.25"/>
    <n v="5.25"/>
    <m/>
    <n v="5.25"/>
    <n v="0"/>
    <m/>
    <m/>
  </r>
  <r>
    <x v="7"/>
    <x v="3"/>
    <x v="1"/>
    <x v="1"/>
    <n v="0"/>
    <n v="5.25"/>
    <n v="5.25"/>
    <m/>
    <n v="5.25"/>
    <n v="0"/>
    <m/>
    <m/>
  </r>
  <r>
    <x v="7"/>
    <x v="4"/>
    <x v="1"/>
    <x v="1"/>
    <n v="0"/>
    <n v="5.25"/>
    <n v="5.25"/>
    <m/>
    <n v="5.25"/>
    <n v="0"/>
    <m/>
    <m/>
  </r>
  <r>
    <x v="7"/>
    <x v="5"/>
    <x v="1"/>
    <x v="1"/>
    <n v="0"/>
    <n v="5.25"/>
    <n v="5.25"/>
    <m/>
    <n v="5.2968799999999998"/>
    <n v="-4.6879999999999997"/>
    <m/>
    <m/>
  </r>
  <r>
    <x v="8"/>
    <x v="6"/>
    <x v="2"/>
    <x v="1"/>
    <n v="-25"/>
    <n v="5.25"/>
    <n v="5"/>
    <m/>
    <n v="5.25"/>
    <n v="-25"/>
    <m/>
    <m/>
  </r>
  <r>
    <x v="8"/>
    <x v="7"/>
    <x v="2"/>
    <x v="1"/>
    <n v="0"/>
    <n v="5"/>
    <n v="5"/>
    <m/>
    <n v="5"/>
    <n v="0"/>
    <m/>
    <m/>
  </r>
  <r>
    <x v="8"/>
    <x v="8"/>
    <x v="2"/>
    <x v="1"/>
    <n v="0"/>
    <n v="5"/>
    <n v="5"/>
    <m/>
    <n v="4.9249999999999998"/>
    <n v="7.5"/>
    <m/>
    <m/>
  </r>
  <r>
    <x v="8"/>
    <x v="9"/>
    <x v="3"/>
    <x v="1"/>
    <n v="0"/>
    <n v="5"/>
    <n v="5"/>
    <m/>
    <n v="4.9833299999999996"/>
    <n v="1.667"/>
    <m/>
    <m/>
  </r>
  <r>
    <x v="8"/>
    <x v="10"/>
    <x v="3"/>
    <x v="1"/>
    <n v="0"/>
    <n v="5"/>
    <n v="5"/>
    <m/>
    <n v="5"/>
    <n v="0"/>
    <m/>
    <m/>
  </r>
  <r>
    <x v="8"/>
    <x v="11"/>
    <x v="3"/>
    <x v="1"/>
    <n v="0"/>
    <n v="5"/>
    <n v="5"/>
    <m/>
    <n v="5.0277799999999999"/>
    <n v="-2.778"/>
    <m/>
    <m/>
  </r>
  <r>
    <x v="8"/>
    <x v="0"/>
    <x v="0"/>
    <x v="1"/>
    <n v="0"/>
    <n v="5.25"/>
    <n v="5.25"/>
    <m/>
    <n v="5.2374999999999998"/>
    <n v="1.25"/>
    <m/>
    <m/>
  </r>
  <r>
    <x v="8"/>
    <x v="1"/>
    <x v="0"/>
    <x v="1"/>
    <n v="0"/>
    <n v="5.5"/>
    <n v="5.5"/>
    <m/>
    <n v="5.5"/>
    <n v="0"/>
    <m/>
    <m/>
  </r>
  <r>
    <x v="8"/>
    <x v="2"/>
    <x v="0"/>
    <x v="1"/>
    <n v="0"/>
    <n v="5.75"/>
    <n v="5.75"/>
    <m/>
    <n v="5.74"/>
    <n v="1"/>
    <m/>
    <m/>
  </r>
  <r>
    <x v="8"/>
    <x v="3"/>
    <x v="1"/>
    <x v="1"/>
    <n v="0"/>
    <n v="5.75"/>
    <n v="5.75"/>
    <m/>
    <n v="5.84375"/>
    <n v="-9.375"/>
    <m/>
    <m/>
  </r>
  <r>
    <x v="8"/>
    <x v="4"/>
    <x v="1"/>
    <x v="1"/>
    <n v="0"/>
    <n v="5.75"/>
    <n v="5.75"/>
    <m/>
    <n v="5.7708300000000001"/>
    <n v="-2.0830000000000002"/>
    <m/>
    <m/>
  </r>
  <r>
    <x v="8"/>
    <x v="5"/>
    <x v="1"/>
    <x v="1"/>
    <n v="25"/>
    <n v="5.75"/>
    <n v="6"/>
    <m/>
    <n v="5.83"/>
    <n v="17"/>
    <m/>
    <m/>
  </r>
  <r>
    <x v="9"/>
    <x v="6"/>
    <x v="2"/>
    <x v="1"/>
    <n v="0"/>
    <n v="6.25"/>
    <n v="6.25"/>
    <m/>
    <n v="6.25"/>
    <n v="0"/>
    <m/>
    <m/>
  </r>
  <r>
    <x v="9"/>
    <x v="7"/>
    <x v="2"/>
    <x v="1"/>
    <n v="0"/>
    <n v="6.25"/>
    <n v="6.25"/>
    <m/>
    <n v="6.3026299999999997"/>
    <n v="-5.2629999999999999"/>
    <m/>
    <m/>
  </r>
  <r>
    <x v="9"/>
    <x v="8"/>
    <x v="2"/>
    <x v="1"/>
    <n v="0"/>
    <n v="6.25"/>
    <n v="6.25"/>
    <m/>
    <n v="6.3375000000000004"/>
    <n v="-8.75"/>
    <m/>
    <m/>
  </r>
  <r>
    <x v="9"/>
    <x v="9"/>
    <x v="3"/>
    <x v="1"/>
    <n v="0"/>
    <n v="6.25"/>
    <n v="6.25"/>
    <m/>
    <n v="6.2833300000000003"/>
    <n v="-3.3330000000000002"/>
    <m/>
    <m/>
  </r>
  <r>
    <x v="9"/>
    <x v="10"/>
    <x v="3"/>
    <x v="1"/>
    <n v="0"/>
    <n v="6.25"/>
    <n v="6.25"/>
    <m/>
    <n v="6.25"/>
    <n v="0"/>
    <m/>
    <m/>
  </r>
  <r>
    <x v="9"/>
    <x v="11"/>
    <x v="3"/>
    <x v="1"/>
    <n v="25"/>
    <n v="6.5"/>
    <n v="6.75"/>
    <m/>
    <n v="6.5"/>
    <n v="25"/>
    <m/>
    <m/>
  </r>
  <r>
    <x v="9"/>
    <x v="0"/>
    <x v="0"/>
    <x v="1"/>
    <n v="0"/>
    <n v="7.25"/>
    <n v="7.25"/>
    <m/>
    <n v="7.26"/>
    <n v="-1"/>
    <m/>
    <m/>
  </r>
  <r>
    <x v="9"/>
    <x v="1"/>
    <x v="0"/>
    <x v="1"/>
    <n v="0"/>
    <n v="7.75"/>
    <n v="7.75"/>
    <m/>
    <n v="7.7083300000000001"/>
    <n v="4.1669999999999998"/>
    <m/>
    <m/>
  </r>
  <r>
    <x v="9"/>
    <x v="2"/>
    <x v="0"/>
    <x v="1"/>
    <n v="0"/>
    <n v="8.25"/>
    <n v="8.25"/>
    <m/>
    <n v="8.2023799999999998"/>
    <n v="4.7619999999999996"/>
    <m/>
    <m/>
  </r>
  <r>
    <x v="9"/>
    <x v="3"/>
    <x v="1"/>
    <x v="1"/>
    <n v="0"/>
    <n v="8.25"/>
    <n v="8.25"/>
    <m/>
    <n v="8.3365399999999994"/>
    <n v="-8.6539999999999999"/>
    <m/>
    <m/>
  </r>
  <r>
    <x v="9"/>
    <x v="4"/>
    <x v="1"/>
    <x v="1"/>
    <n v="0"/>
    <n v="8.25"/>
    <n v="8.25"/>
    <m/>
    <n v="8.2799999999999994"/>
    <n v="-3"/>
    <m/>
    <m/>
  </r>
  <r>
    <x v="9"/>
    <x v="5"/>
    <x v="1"/>
    <x v="1"/>
    <n v="0"/>
    <n v="8.25"/>
    <n v="8.25"/>
    <m/>
    <n v="8.23"/>
    <n v="2"/>
    <m/>
    <m/>
  </r>
  <r>
    <x v="10"/>
    <x v="6"/>
    <x v="2"/>
    <x v="1"/>
    <n v="-50"/>
    <n v="7.75"/>
    <n v="7.25"/>
    <m/>
    <n v="7.6749999999999998"/>
    <n v="-42.5"/>
    <m/>
    <m/>
  </r>
  <r>
    <x v="10"/>
    <x v="7"/>
    <x v="2"/>
    <x v="1"/>
    <n v="-150"/>
    <n v="6.25"/>
    <n v="4.75"/>
    <m/>
    <n v="6.1458300000000001"/>
    <n v="-139.583"/>
    <m/>
    <m/>
  </r>
  <r>
    <x v="10"/>
    <x v="8"/>
    <x v="2"/>
    <x v="1"/>
    <n v="-100"/>
    <n v="3.25"/>
    <n v="2.25"/>
    <m/>
    <n v="3.1296300000000001"/>
    <n v="-87.962999999999994"/>
    <m/>
    <m/>
  </r>
  <r>
    <x v="10"/>
    <x v="9"/>
    <x v="3"/>
    <x v="1"/>
    <n v="0"/>
    <n v="1.75"/>
    <n v="1.75"/>
    <m/>
    <n v="1.76"/>
    <n v="-1"/>
    <m/>
    <m/>
  </r>
  <r>
    <x v="10"/>
    <x v="10"/>
    <x v="3"/>
    <x v="1"/>
    <n v="-25"/>
    <n v="1.5"/>
    <n v="1.25"/>
    <m/>
    <n v="1.45238"/>
    <n v="-20.238"/>
    <m/>
    <m/>
  </r>
  <r>
    <x v="10"/>
    <x v="11"/>
    <x v="3"/>
    <x v="1"/>
    <n v="0"/>
    <n v="0.75"/>
    <n v="0.75"/>
    <m/>
    <n v="0.8125"/>
    <n v="-6.25"/>
    <m/>
    <m/>
  </r>
  <r>
    <x v="10"/>
    <x v="0"/>
    <x v="0"/>
    <x v="1"/>
    <n v="0"/>
    <n v="0.5"/>
    <n v="0.5"/>
    <m/>
    <n v="0.5"/>
    <n v="0"/>
    <m/>
    <m/>
  </r>
  <r>
    <x v="10"/>
    <x v="1"/>
    <x v="0"/>
    <x v="1"/>
    <n v="0"/>
    <n v="0.5"/>
    <n v="0.5"/>
    <m/>
    <n v="0.484375"/>
    <n v="1.5625"/>
    <m/>
    <m/>
  </r>
  <r>
    <x v="10"/>
    <x v="2"/>
    <x v="0"/>
    <x v="1"/>
    <n v="0"/>
    <n v="0.5"/>
    <n v="0.5"/>
    <m/>
    <n v="0.5"/>
    <n v="0"/>
    <m/>
    <m/>
  </r>
  <r>
    <x v="10"/>
    <x v="3"/>
    <x v="1"/>
    <x v="1"/>
    <n v="0"/>
    <n v="0.5"/>
    <n v="0.5"/>
    <m/>
    <n v="0.5"/>
    <n v="0"/>
    <m/>
    <m/>
  </r>
  <r>
    <x v="10"/>
    <x v="4"/>
    <x v="1"/>
    <x v="1"/>
    <n v="0"/>
    <n v="0.5"/>
    <n v="0.5"/>
    <m/>
    <n v="0.5"/>
    <n v="0"/>
    <m/>
    <m/>
  </r>
  <r>
    <x v="10"/>
    <x v="5"/>
    <x v="1"/>
    <x v="1"/>
    <n v="0"/>
    <n v="0.5"/>
    <n v="0.5"/>
    <n v="-4"/>
    <n v="0.5"/>
    <n v="0"/>
    <m/>
    <m/>
  </r>
  <r>
    <x v="11"/>
    <x v="6"/>
    <x v="2"/>
    <x v="1"/>
    <n v="0"/>
    <n v="0.5"/>
    <n v="0.5"/>
    <n v="-1"/>
    <n v="0.5"/>
    <n v="0"/>
    <m/>
    <m/>
  </r>
  <r>
    <x v="11"/>
    <x v="7"/>
    <x v="2"/>
    <x v="1"/>
    <n v="0"/>
    <n v="0.5"/>
    <n v="0.5"/>
    <n v="-3"/>
    <n v="0.5"/>
    <n v="0"/>
    <m/>
    <m/>
  </r>
  <r>
    <x v="11"/>
    <x v="8"/>
    <x v="2"/>
    <x v="1"/>
    <n v="0"/>
    <n v="0.5"/>
    <n v="0.5"/>
    <n v="-5"/>
    <n v="0.5"/>
    <n v="0"/>
    <m/>
    <m/>
  </r>
  <r>
    <x v="11"/>
    <x v="9"/>
    <x v="3"/>
    <x v="1"/>
    <n v="0"/>
    <n v="0.5"/>
    <n v="0.5"/>
    <n v="1"/>
    <n v="0.5"/>
    <n v="0"/>
    <m/>
    <m/>
  </r>
  <r>
    <x v="11"/>
    <x v="10"/>
    <x v="3"/>
    <x v="1"/>
    <n v="0"/>
    <n v="0.5"/>
    <n v="0.5"/>
    <n v="-7"/>
    <n v="0.55000000000000004"/>
    <n v="-5"/>
    <m/>
    <m/>
  </r>
  <r>
    <x v="11"/>
    <x v="11"/>
    <x v="3"/>
    <x v="1"/>
    <n v="25"/>
    <n v="0.75"/>
    <n v="1"/>
    <n v="25"/>
    <n v="0.77083299999999999"/>
    <n v="22.916699999999999"/>
    <m/>
    <m/>
  </r>
  <r>
    <x v="11"/>
    <x v="0"/>
    <x v="0"/>
    <x v="1"/>
    <n v="0"/>
    <n v="1.5"/>
    <n v="1.5"/>
    <n v="0"/>
    <n v="1.48438"/>
    <n v="1.5620000000000001"/>
    <m/>
    <m/>
  </r>
  <r>
    <x v="11"/>
    <x v="1"/>
    <x v="0"/>
    <x v="1"/>
    <n v="0"/>
    <n v="2"/>
    <n v="2"/>
    <n v="6"/>
    <n v="2"/>
    <n v="0"/>
    <m/>
    <m/>
  </r>
  <r>
    <x v="11"/>
    <x v="2"/>
    <x v="0"/>
    <x v="1"/>
    <n v="0"/>
    <n v="2.5"/>
    <n v="2.5"/>
    <n v="-5"/>
    <n v="2.5"/>
    <n v="0"/>
    <m/>
    <m/>
  </r>
  <r>
    <x v="11"/>
    <x v="3"/>
    <x v="1"/>
    <x v="1"/>
    <n v="0"/>
    <n v="2.75"/>
    <n v="2.75"/>
    <n v="-5"/>
    <n v="2.8333300000000001"/>
    <n v="-8.3330000000000002"/>
    <m/>
    <m/>
  </r>
  <r>
    <x v="11"/>
    <x v="4"/>
    <x v="1"/>
    <x v="1"/>
    <n v="0"/>
    <n v="3"/>
    <n v="3"/>
    <n v="2"/>
    <n v="2.9705900000000001"/>
    <n v="2.9409999999999998"/>
    <m/>
    <m/>
  </r>
  <r>
    <x v="11"/>
    <x v="5"/>
    <x v="1"/>
    <x v="1"/>
    <n v="0"/>
    <n v="3.25"/>
    <n v="3.25"/>
    <n v="1"/>
    <n v="3.1931799999999999"/>
    <n v="5.6820000000000004"/>
    <m/>
    <m/>
  </r>
  <r>
    <x v="12"/>
    <x v="6"/>
    <x v="2"/>
    <x v="1"/>
    <n v="-25"/>
    <n v="3.5"/>
    <n v="3.25"/>
    <n v="-2"/>
    <n v="3.3809499999999999"/>
    <n v="-13.095000000000001"/>
    <m/>
    <m/>
  </r>
  <r>
    <x v="12"/>
    <x v="7"/>
    <x v="2"/>
    <x v="1"/>
    <n v="0"/>
    <n v="3.5"/>
    <n v="3.5"/>
    <n v="3"/>
    <n v="3.4642900000000001"/>
    <n v="3.5710000000000002"/>
    <m/>
    <m/>
  </r>
  <r>
    <x v="12"/>
    <x v="8"/>
    <x v="2"/>
    <x v="1"/>
    <n v="25"/>
    <n v="3.75"/>
    <n v="4"/>
    <n v="30"/>
    <n v="3.78409"/>
    <n v="21.591000000000001"/>
    <m/>
    <m/>
  </r>
  <r>
    <x v="12"/>
    <x v="9"/>
    <x v="3"/>
    <x v="1"/>
    <n v="0"/>
    <n v="4.5"/>
    <n v="4.5"/>
    <n v="-1"/>
    <n v="4.4761899999999999"/>
    <n v="2.3809999999999998"/>
    <m/>
    <m/>
  </r>
  <r>
    <x v="12"/>
    <x v="10"/>
    <x v="3"/>
    <x v="1"/>
    <n v="25"/>
    <n v="4.75"/>
    <n v="5"/>
    <n v="8"/>
    <n v="4.8055599999999998"/>
    <n v="19.443999999999999"/>
    <m/>
    <m/>
  </r>
  <r>
    <x v="12"/>
    <x v="11"/>
    <x v="3"/>
    <x v="1"/>
    <n v="0"/>
    <n v="5.25"/>
    <n v="5.25"/>
    <n v="7"/>
    <n v="5.2631600000000001"/>
    <n v="-1.3160000000000001"/>
    <m/>
    <m/>
  </r>
  <r>
    <x v="12"/>
    <x v="0"/>
    <x v="0"/>
    <x v="1"/>
    <n v="0"/>
    <n v="5.25"/>
    <n v="5.25"/>
    <n v="5"/>
    <n v="5.2916699999999999"/>
    <n v="-4.1669999999999998"/>
    <m/>
    <m/>
  </r>
  <r>
    <x v="12"/>
    <x v="1"/>
    <x v="0"/>
    <x v="1"/>
    <n v="0"/>
    <n v="5.25"/>
    <n v="5.25"/>
    <n v="-15"/>
    <n v="5.25"/>
    <n v="0"/>
    <m/>
    <m/>
  </r>
  <r>
    <x v="12"/>
    <x v="2"/>
    <x v="0"/>
    <x v="1"/>
    <n v="0"/>
    <n v="5.25"/>
    <n v="5.25"/>
    <n v="2"/>
    <n v="5.25"/>
    <n v="0"/>
    <m/>
    <m/>
  </r>
  <r>
    <x v="12"/>
    <x v="3"/>
    <x v="1"/>
    <x v="1"/>
    <n v="0"/>
    <n v="5.25"/>
    <n v="5.25"/>
    <n v="3"/>
    <n v="5.2"/>
    <n v="5"/>
    <m/>
    <m/>
  </r>
  <r>
    <x v="12"/>
    <x v="4"/>
    <x v="1"/>
    <x v="1"/>
    <n v="0"/>
    <n v="5.25"/>
    <n v="5.25"/>
    <n v="0"/>
    <n v="5.25"/>
    <n v="0"/>
    <m/>
    <m/>
  </r>
  <r>
    <x v="12"/>
    <x v="5"/>
    <x v="1"/>
    <x v="1"/>
    <n v="0"/>
    <n v="5.25"/>
    <n v="5.25"/>
    <n v="-4"/>
    <n v="5.2"/>
    <n v="5"/>
    <m/>
    <m/>
  </r>
  <r>
    <x v="13"/>
    <x v="6"/>
    <x v="2"/>
    <x v="1"/>
    <n v="-25"/>
    <n v="5.25"/>
    <n v="5"/>
    <n v="-17"/>
    <n v="5.2"/>
    <n v="-20"/>
    <m/>
    <m/>
  </r>
  <r>
    <x v="13"/>
    <x v="7"/>
    <x v="2"/>
    <x v="1"/>
    <n v="0"/>
    <n v="5"/>
    <n v="5"/>
    <n v="12"/>
    <n v="4.9000000000000004"/>
    <n v="10"/>
    <m/>
    <m/>
  </r>
  <r>
    <x v="13"/>
    <x v="8"/>
    <x v="2"/>
    <x v="1"/>
    <n v="0"/>
    <n v="5"/>
    <n v="5"/>
    <n v="3"/>
    <n v="5"/>
    <n v="0"/>
    <m/>
    <m/>
  </r>
  <r>
    <x v="13"/>
    <x v="9"/>
    <x v="3"/>
    <x v="1"/>
    <n v="0"/>
    <n v="5"/>
    <n v="5"/>
    <n v="0"/>
    <n v="5.0125000000000002"/>
    <n v="-1.25"/>
    <m/>
    <m/>
  </r>
  <r>
    <x v="13"/>
    <x v="10"/>
    <x v="3"/>
    <x v="1"/>
    <n v="0"/>
    <n v="5"/>
    <n v="5"/>
    <n v="0"/>
    <n v="5"/>
    <n v="0"/>
    <m/>
    <m/>
  </r>
  <r>
    <x v="13"/>
    <x v="11"/>
    <x v="3"/>
    <x v="1"/>
    <n v="0"/>
    <n v="5"/>
    <n v="5"/>
    <n v="6"/>
    <n v="5"/>
    <n v="0"/>
    <m/>
    <m/>
  </r>
  <r>
    <x v="13"/>
    <x v="0"/>
    <x v="0"/>
    <x v="1"/>
    <n v="0"/>
    <n v="5"/>
    <n v="5"/>
    <n v="1"/>
    <n v="5"/>
    <n v="0"/>
    <m/>
    <m/>
  </r>
  <r>
    <x v="13"/>
    <x v="1"/>
    <x v="0"/>
    <x v="1"/>
    <n v="0"/>
    <n v="5"/>
    <n v="5"/>
    <n v="0"/>
    <n v="5"/>
    <n v="0"/>
    <m/>
    <m/>
  </r>
  <r>
    <x v="13"/>
    <x v="2"/>
    <x v="0"/>
    <x v="1"/>
    <n v="0"/>
    <n v="5"/>
    <n v="5"/>
    <n v="6"/>
    <n v="5"/>
    <n v="0"/>
    <m/>
    <m/>
  </r>
  <r>
    <x v="13"/>
    <x v="3"/>
    <x v="1"/>
    <x v="1"/>
    <n v="0"/>
    <n v="5"/>
    <n v="5"/>
    <n v="2"/>
    <n v="5"/>
    <n v="0"/>
    <m/>
    <m/>
  </r>
  <r>
    <x v="13"/>
    <x v="4"/>
    <x v="1"/>
    <x v="1"/>
    <n v="0"/>
    <n v="5"/>
    <n v="5"/>
    <n v="-4"/>
    <n v="5"/>
    <n v="0"/>
    <m/>
    <m/>
  </r>
  <r>
    <x v="13"/>
    <x v="5"/>
    <x v="1"/>
    <x v="1"/>
    <n v="0"/>
    <n v="5"/>
    <n v="5"/>
    <n v="-2"/>
    <n v="5"/>
    <n v="0"/>
    <m/>
    <m/>
  </r>
  <r>
    <x v="14"/>
    <x v="6"/>
    <x v="2"/>
    <x v="1"/>
    <n v="0"/>
    <n v="5"/>
    <n v="5"/>
    <n v="0"/>
    <n v="5"/>
    <n v="0"/>
    <m/>
    <m/>
  </r>
  <r>
    <x v="14"/>
    <x v="7"/>
    <x v="2"/>
    <x v="1"/>
    <n v="0"/>
    <n v="5"/>
    <n v="5"/>
    <n v="3"/>
    <n v="5"/>
    <n v="0"/>
    <m/>
    <m/>
  </r>
  <r>
    <x v="14"/>
    <x v="8"/>
    <x v="2"/>
    <x v="1"/>
    <n v="0"/>
    <n v="5"/>
    <n v="5"/>
    <n v="1"/>
    <n v="5"/>
    <n v="0"/>
    <m/>
    <m/>
  </r>
  <r>
    <x v="14"/>
    <x v="9"/>
    <x v="3"/>
    <x v="1"/>
    <n v="0"/>
    <n v="5"/>
    <n v="5"/>
    <n v="-11"/>
    <n v="5"/>
    <n v="0"/>
    <m/>
    <m/>
  </r>
  <r>
    <x v="14"/>
    <x v="10"/>
    <x v="3"/>
    <x v="1"/>
    <n v="0"/>
    <n v="5"/>
    <n v="5"/>
    <n v="1"/>
    <n v="5"/>
    <n v="0"/>
    <m/>
    <m/>
  </r>
  <r>
    <x v="14"/>
    <x v="11"/>
    <x v="3"/>
    <x v="1"/>
    <n v="0"/>
    <n v="5"/>
    <n v="5"/>
    <n v="4"/>
    <n v="4.9473700000000003"/>
    <n v="5.2629999999999999"/>
    <m/>
    <m/>
  </r>
  <r>
    <x v="14"/>
    <x v="0"/>
    <x v="0"/>
    <x v="1"/>
    <n v="0"/>
    <n v="5"/>
    <n v="5"/>
    <n v="-1"/>
    <n v="4.9264700000000001"/>
    <n v="7.3529999999999998"/>
    <m/>
    <m/>
  </r>
  <r>
    <x v="14"/>
    <x v="1"/>
    <x v="0"/>
    <x v="1"/>
    <n v="0"/>
    <n v="5"/>
    <n v="5"/>
    <n v="7"/>
    <n v="4.8947399999999996"/>
    <n v="10.526"/>
    <m/>
    <m/>
  </r>
  <r>
    <x v="14"/>
    <x v="2"/>
    <x v="0"/>
    <x v="1"/>
    <n v="0"/>
    <n v="5"/>
    <n v="5"/>
    <n v="4"/>
    <n v="4.9473700000000003"/>
    <n v="5.2629999999999999"/>
    <m/>
    <m/>
  </r>
  <r>
    <x v="14"/>
    <x v="3"/>
    <x v="1"/>
    <x v="1"/>
    <n v="-25"/>
    <n v="5"/>
    <n v="4.75"/>
    <n v="-18"/>
    <n v="4.9736799999999999"/>
    <n v="-22.367999999999999"/>
    <m/>
    <m/>
  </r>
  <r>
    <x v="14"/>
    <x v="4"/>
    <x v="1"/>
    <x v="1"/>
    <n v="0"/>
    <n v="4.5"/>
    <n v="4.5"/>
    <n v="1"/>
    <n v="4.5952400000000004"/>
    <n v="-9.5239999999999991"/>
    <m/>
    <m/>
  </r>
  <r>
    <x v="14"/>
    <x v="5"/>
    <x v="1"/>
    <x v="1"/>
    <n v="0"/>
    <n v="4.5"/>
    <n v="4.5"/>
    <n v="0"/>
    <n v="4.4800000000000004"/>
    <n v="2"/>
    <m/>
    <m/>
  </r>
  <r>
    <x v="15"/>
    <x v="6"/>
    <x v="2"/>
    <x v="1"/>
    <n v="0"/>
    <n v="4.5"/>
    <n v="4.5"/>
    <n v="-2"/>
    <n v="4.4318200000000001"/>
    <n v="6.8179999999999996"/>
    <m/>
    <m/>
  </r>
  <r>
    <x v="15"/>
    <x v="7"/>
    <x v="2"/>
    <x v="1"/>
    <n v="0"/>
    <n v="4.25"/>
    <n v="4.25"/>
    <n v="-5"/>
    <n v="4.2727300000000001"/>
    <n v="-2.2730000000000001"/>
    <m/>
    <m/>
  </r>
  <r>
    <x v="15"/>
    <x v="8"/>
    <x v="2"/>
    <x v="1"/>
    <n v="0"/>
    <n v="4"/>
    <n v="4"/>
    <n v="-1"/>
    <n v="4.03125"/>
    <n v="-3.125"/>
    <m/>
    <m/>
  </r>
  <r>
    <x v="15"/>
    <x v="9"/>
    <x v="3"/>
    <x v="1"/>
    <n v="0"/>
    <n v="4"/>
    <n v="4"/>
    <n v="0"/>
    <n v="3.9473699999999998"/>
    <n v="5.2629999999999999"/>
    <m/>
    <m/>
  </r>
  <r>
    <x v="15"/>
    <x v="10"/>
    <x v="3"/>
    <x v="1"/>
    <n v="0"/>
    <n v="4"/>
    <n v="4"/>
    <n v="4"/>
    <n v="3.96739"/>
    <n v="3.2610000000000001"/>
    <m/>
    <m/>
  </r>
  <r>
    <x v="15"/>
    <x v="11"/>
    <x v="3"/>
    <x v="1"/>
    <n v="0"/>
    <n v="4"/>
    <n v="4"/>
    <n v="0"/>
    <n v="3.98529"/>
    <n v="1.4710000000000001"/>
    <m/>
    <m/>
  </r>
  <r>
    <x v="15"/>
    <x v="0"/>
    <x v="0"/>
    <x v="1"/>
    <n v="0"/>
    <n v="3.75"/>
    <n v="3.75"/>
    <n v="0"/>
    <n v="3.8541699999999999"/>
    <n v="-10.417"/>
    <m/>
    <m/>
  </r>
  <r>
    <x v="15"/>
    <x v="1"/>
    <x v="0"/>
    <x v="1"/>
    <n v="0"/>
    <n v="3.5"/>
    <n v="3.5"/>
    <n v="0"/>
    <n v="3.4886400000000002"/>
    <n v="1.1359999999999999"/>
    <m/>
    <m/>
  </r>
  <r>
    <x v="15"/>
    <x v="2"/>
    <x v="0"/>
    <x v="1"/>
    <n v="0"/>
    <n v="3.25"/>
    <n v="3.25"/>
    <n v="0"/>
    <n v="3.25"/>
    <n v="0"/>
    <m/>
    <m/>
  </r>
  <r>
    <x v="15"/>
    <x v="3"/>
    <x v="1"/>
    <x v="1"/>
    <n v="0"/>
    <n v="3"/>
    <n v="3"/>
    <n v="6"/>
    <n v="3.03409"/>
    <n v="-3.4089999999999998"/>
    <m/>
    <m/>
  </r>
  <r>
    <x v="15"/>
    <x v="4"/>
    <x v="1"/>
    <x v="1"/>
    <n v="0"/>
    <n v="3"/>
    <n v="3"/>
    <n v="-4"/>
    <n v="3"/>
    <n v="0"/>
    <m/>
    <m/>
  </r>
  <r>
    <x v="15"/>
    <x v="5"/>
    <x v="1"/>
    <x v="1"/>
    <n v="0"/>
    <n v="3"/>
    <n v="3"/>
    <n v="-6"/>
    <n v="3"/>
    <n v="0"/>
    <m/>
    <m/>
  </r>
  <r>
    <x v="16"/>
    <x v="6"/>
    <x v="2"/>
    <x v="1"/>
    <n v="0"/>
    <n v="3"/>
    <n v="3"/>
    <n v="1"/>
    <n v="3"/>
    <n v="0"/>
    <m/>
    <m/>
  </r>
  <r>
    <x v="16"/>
    <x v="7"/>
    <x v="2"/>
    <x v="1"/>
    <n v="0"/>
    <n v="3"/>
    <n v="3"/>
    <n v="2"/>
    <n v="3"/>
    <n v="0"/>
    <m/>
    <m/>
  </r>
  <r>
    <x v="16"/>
    <x v="8"/>
    <x v="2"/>
    <x v="1"/>
    <n v="0"/>
    <n v="3"/>
    <n v="3"/>
    <n v="-1"/>
    <n v="3"/>
    <n v="0"/>
    <m/>
    <m/>
  </r>
  <r>
    <x v="16"/>
    <x v="9"/>
    <x v="3"/>
    <x v="1"/>
    <n v="0"/>
    <n v="3"/>
    <n v="3"/>
    <n v="1"/>
    <n v="3"/>
    <n v="0"/>
    <m/>
    <m/>
  </r>
  <r>
    <x v="16"/>
    <x v="10"/>
    <x v="3"/>
    <x v="1"/>
    <n v="0"/>
    <n v="3"/>
    <n v="3"/>
    <n v="-2"/>
    <n v="3"/>
    <n v="0"/>
    <m/>
    <m/>
  </r>
  <r>
    <x v="16"/>
    <x v="11"/>
    <x v="3"/>
    <x v="1"/>
    <n v="0"/>
    <n v="3"/>
    <n v="3"/>
    <n v="0"/>
    <n v="3"/>
    <n v="0"/>
    <m/>
    <m/>
  </r>
  <r>
    <x v="16"/>
    <x v="0"/>
    <x v="0"/>
    <x v="1"/>
    <n v="0"/>
    <n v="3"/>
    <n v="3"/>
    <n v="-1"/>
    <n v="3"/>
    <n v="0"/>
    <m/>
    <m/>
  </r>
  <r>
    <x v="16"/>
    <x v="1"/>
    <x v="0"/>
    <x v="1"/>
    <n v="0"/>
    <n v="3"/>
    <n v="3"/>
    <n v="-3"/>
    <n v="3"/>
    <n v="0"/>
    <m/>
    <m/>
  </r>
  <r>
    <x v="16"/>
    <x v="2"/>
    <x v="0"/>
    <x v="1"/>
    <n v="0"/>
    <n v="3"/>
    <n v="3"/>
    <n v="2"/>
    <n v="3.0416699999999999"/>
    <n v="-4.1669999999999998"/>
    <m/>
    <m/>
  </r>
  <r>
    <x v="16"/>
    <x v="3"/>
    <x v="1"/>
    <x v="1"/>
    <n v="0"/>
    <n v="3.25"/>
    <n v="3.25"/>
    <n v="8"/>
    <n v="3.1759300000000001"/>
    <n v="7.407"/>
    <m/>
    <m/>
  </r>
  <r>
    <x v="16"/>
    <x v="4"/>
    <x v="1"/>
    <x v="1"/>
    <n v="0"/>
    <n v="3.25"/>
    <n v="3.25"/>
    <n v="-6"/>
    <n v="3.3214299999999999"/>
    <n v="-7.1429999999999998"/>
    <m/>
    <m/>
  </r>
  <r>
    <x v="16"/>
    <x v="5"/>
    <x v="1"/>
    <x v="1"/>
    <n v="25"/>
    <n v="3.25"/>
    <n v="3.5"/>
    <n v="0"/>
    <n v="3.36538"/>
    <n v="13.462"/>
    <m/>
    <m/>
  </r>
  <r>
    <x v="17"/>
    <x v="6"/>
    <x v="2"/>
    <x v="1"/>
    <n v="0"/>
    <n v="3.5"/>
    <n v="3.5"/>
    <n v="-5"/>
    <n v="3.5"/>
    <n v="0"/>
    <m/>
    <m/>
  </r>
  <r>
    <x v="17"/>
    <x v="7"/>
    <x v="2"/>
    <x v="1"/>
    <n v="0"/>
    <n v="3.5"/>
    <n v="3.5"/>
    <n v="0"/>
    <n v="3.5"/>
    <n v="0"/>
    <m/>
    <m/>
  </r>
  <r>
    <x v="17"/>
    <x v="8"/>
    <x v="2"/>
    <x v="1"/>
    <n v="0"/>
    <n v="3.5"/>
    <n v="3.5"/>
    <n v="-7"/>
    <n v="3.5125000000000002"/>
    <n v="-1.25"/>
    <m/>
    <m/>
  </r>
  <r>
    <x v="17"/>
    <x v="9"/>
    <x v="3"/>
    <x v="1"/>
    <n v="0"/>
    <n v="3.5"/>
    <n v="3.5"/>
    <n v="-1"/>
    <n v="3.5"/>
    <n v="0"/>
    <m/>
    <m/>
  </r>
  <r>
    <x v="17"/>
    <x v="10"/>
    <x v="3"/>
    <x v="1"/>
    <n v="0"/>
    <n v="3.5"/>
    <n v="3.5"/>
    <n v="1"/>
    <n v="3.5"/>
    <n v="0"/>
    <m/>
    <m/>
  </r>
  <r>
    <x v="17"/>
    <x v="11"/>
    <x v="3"/>
    <x v="1"/>
    <n v="0"/>
    <n v="3.5"/>
    <n v="3.5"/>
    <n v="-1"/>
    <n v="3.5"/>
    <n v="0"/>
    <m/>
    <m/>
  </r>
  <r>
    <x v="17"/>
    <x v="0"/>
    <x v="0"/>
    <x v="1"/>
    <n v="0"/>
    <n v="3.5"/>
    <n v="3.5"/>
    <n v="2"/>
    <n v="3.5"/>
    <n v="0"/>
    <m/>
    <m/>
  </r>
  <r>
    <x v="17"/>
    <x v="1"/>
    <x v="0"/>
    <x v="1"/>
    <n v="0"/>
    <n v="3.5"/>
    <n v="3.5"/>
    <n v="-5"/>
    <n v="3.5"/>
    <n v="0"/>
    <m/>
    <m/>
  </r>
  <r>
    <x v="17"/>
    <x v="2"/>
    <x v="0"/>
    <x v="1"/>
    <n v="0"/>
    <n v="3.5"/>
    <n v="3.5"/>
    <n v="1"/>
    <n v="3.5"/>
    <n v="0"/>
    <m/>
    <m/>
  </r>
  <r>
    <x v="17"/>
    <x v="3"/>
    <x v="1"/>
    <x v="1"/>
    <n v="0"/>
    <n v="3.5"/>
    <n v="3.5"/>
    <n v="1"/>
    <n v="3.5"/>
    <n v="0"/>
    <m/>
    <m/>
  </r>
  <r>
    <x v="17"/>
    <x v="4"/>
    <x v="1"/>
    <x v="1"/>
    <n v="0"/>
    <n v="3.5"/>
    <n v="3.5"/>
    <n v="7"/>
    <n v="3.5"/>
    <n v="0"/>
    <m/>
    <m/>
  </r>
  <r>
    <x v="17"/>
    <x v="5"/>
    <x v="1"/>
    <x v="1"/>
    <n v="0"/>
    <n v="3.5"/>
    <n v="3.5"/>
    <n v="-2"/>
    <n v="3.4891299999999998"/>
    <n v="1.087"/>
    <m/>
    <m/>
  </r>
  <r>
    <x v="18"/>
    <x v="6"/>
    <x v="2"/>
    <x v="1"/>
    <n v="0"/>
    <n v="3.25"/>
    <n v="3.25"/>
    <n v="-1"/>
    <n v="3.2727300000000001"/>
    <n v="-2.2730000000000001"/>
    <m/>
    <m/>
  </r>
  <r>
    <x v="18"/>
    <x v="7"/>
    <x v="2"/>
    <x v="1"/>
    <n v="0"/>
    <n v="3.25"/>
    <n v="3.25"/>
    <n v="2"/>
    <n v="3.1363599999999998"/>
    <n v="11.364000000000001"/>
    <m/>
    <m/>
  </r>
  <r>
    <x v="18"/>
    <x v="8"/>
    <x v="2"/>
    <x v="1"/>
    <n v="0"/>
    <n v="3"/>
    <n v="3"/>
    <n v="2"/>
    <n v="3.01"/>
    <n v="-1"/>
    <m/>
    <m/>
  </r>
  <r>
    <x v="18"/>
    <x v="9"/>
    <x v="3"/>
    <x v="1"/>
    <n v="-25"/>
    <n v="3"/>
    <n v="2.75"/>
    <n v="0"/>
    <n v="2.93269"/>
    <n v="-18.268999999999998"/>
    <m/>
    <m/>
  </r>
  <r>
    <x v="18"/>
    <x v="10"/>
    <x v="3"/>
    <x v="1"/>
    <n v="-25"/>
    <n v="2.75"/>
    <n v="2.5"/>
    <n v="0"/>
    <n v="2.6607099999999999"/>
    <n v="-16.071000000000002"/>
    <m/>
    <m/>
  </r>
  <r>
    <x v="18"/>
    <x v="11"/>
    <x v="3"/>
    <x v="1"/>
    <n v="0"/>
    <n v="2.5"/>
    <n v="2.5"/>
    <n v="1"/>
    <n v="2.5"/>
    <n v="0"/>
    <m/>
    <m/>
  </r>
  <r>
    <x v="18"/>
    <x v="0"/>
    <x v="0"/>
    <x v="1"/>
    <n v="0"/>
    <n v="2.5"/>
    <n v="2.5"/>
    <n v="2"/>
    <n v="2.5"/>
    <n v="0"/>
    <m/>
    <m/>
  </r>
  <r>
    <x v="18"/>
    <x v="1"/>
    <x v="0"/>
    <x v="1"/>
    <n v="0"/>
    <n v="2.5"/>
    <n v="2.5"/>
    <n v="0"/>
    <n v="2.4874999999999998"/>
    <n v="1.25"/>
    <m/>
    <m/>
  </r>
  <r>
    <x v="18"/>
    <x v="2"/>
    <x v="0"/>
    <x v="1"/>
    <n v="0"/>
    <n v="2.5"/>
    <n v="2.5"/>
    <n v="2"/>
    <n v="2.5"/>
    <n v="0"/>
    <m/>
    <m/>
  </r>
  <r>
    <x v="18"/>
    <x v="3"/>
    <x v="1"/>
    <x v="1"/>
    <n v="0"/>
    <n v="2.5"/>
    <n v="2.5"/>
    <n v="1"/>
    <n v="2.5"/>
    <n v="0"/>
    <m/>
    <m/>
  </r>
  <r>
    <x v="18"/>
    <x v="4"/>
    <x v="1"/>
    <x v="1"/>
    <n v="0"/>
    <n v="2.5"/>
    <n v="2.5"/>
    <n v="-1"/>
    <n v="2.5"/>
    <n v="0"/>
    <m/>
    <m/>
  </r>
  <r>
    <x v="18"/>
    <x v="5"/>
    <x v="1"/>
    <x v="1"/>
    <n v="0"/>
    <n v="2.5"/>
    <n v="2.5"/>
    <n v="0"/>
    <n v="2.5"/>
    <n v="0"/>
    <m/>
    <m/>
  </r>
  <r>
    <x v="19"/>
    <x v="6"/>
    <x v="2"/>
    <x v="1"/>
    <n v="0"/>
    <n v="2.5"/>
    <n v="2.5"/>
    <n v="0"/>
    <n v="2.5"/>
    <n v="0"/>
    <m/>
    <m/>
  </r>
  <r>
    <x v="19"/>
    <x v="7"/>
    <x v="2"/>
    <x v="1"/>
    <n v="0"/>
    <n v="2.5"/>
    <n v="2.5"/>
    <n v="13"/>
    <n v="2.5"/>
    <n v="0"/>
    <m/>
    <m/>
  </r>
  <r>
    <x v="19"/>
    <x v="8"/>
    <x v="2"/>
    <x v="1"/>
    <n v="0"/>
    <n v="2.5"/>
    <n v="2.5"/>
    <n v="-2"/>
    <n v="2.5"/>
    <n v="0"/>
    <m/>
    <m/>
  </r>
  <r>
    <x v="19"/>
    <x v="9"/>
    <x v="3"/>
    <x v="1"/>
    <n v="0"/>
    <n v="2.5"/>
    <n v="2.5"/>
    <n v="0"/>
    <n v="2.5"/>
    <n v="0"/>
    <m/>
    <m/>
  </r>
  <r>
    <x v="19"/>
    <x v="10"/>
    <x v="3"/>
    <x v="1"/>
    <n v="0"/>
    <n v="2.5"/>
    <n v="2.5"/>
    <n v="0"/>
    <n v="2.4886400000000002"/>
    <n v="1.1359999999999999"/>
    <m/>
    <m/>
  </r>
  <r>
    <x v="19"/>
    <x v="11"/>
    <x v="3"/>
    <x v="1"/>
    <n v="0"/>
    <n v="2.5"/>
    <n v="2.5"/>
    <n v="-1"/>
    <n v="2.5"/>
    <n v="0"/>
    <m/>
    <m/>
  </r>
  <r>
    <x v="19"/>
    <x v="0"/>
    <x v="0"/>
    <x v="1"/>
    <n v="0"/>
    <n v="2.5"/>
    <n v="2.5"/>
    <n v="2"/>
    <n v="2.5"/>
    <n v="0"/>
    <m/>
    <m/>
  </r>
  <r>
    <x v="19"/>
    <x v="1"/>
    <x v="0"/>
    <x v="1"/>
    <n v="0"/>
    <n v="2.5"/>
    <n v="2.5"/>
    <n v="0"/>
    <n v="2.5"/>
    <n v="0"/>
    <m/>
    <m/>
  </r>
  <r>
    <x v="19"/>
    <x v="2"/>
    <x v="0"/>
    <x v="1"/>
    <n v="0"/>
    <n v="2.5"/>
    <n v="2.5"/>
    <n v="14"/>
    <n v="2.5118999999999998"/>
    <n v="-1.19"/>
    <m/>
    <m/>
  </r>
  <r>
    <x v="19"/>
    <x v="3"/>
    <x v="1"/>
    <x v="1"/>
    <n v="0"/>
    <n v="2.75"/>
    <n v="2.75"/>
    <n v="-1"/>
    <n v="2.63043"/>
    <n v="11.957000000000001"/>
    <m/>
    <m/>
  </r>
  <r>
    <x v="19"/>
    <x v="4"/>
    <x v="1"/>
    <x v="1"/>
    <n v="0"/>
    <n v="2.75"/>
    <n v="2.75"/>
    <n v="0"/>
    <n v="2.75"/>
    <n v="0"/>
    <m/>
    <m/>
  </r>
  <r>
    <x v="19"/>
    <x v="5"/>
    <x v="1"/>
    <x v="1"/>
    <n v="0"/>
    <n v="2.75"/>
    <n v="2.75"/>
    <n v="-7"/>
    <n v="2.8229199999999999"/>
    <n v="-7.2919999999999998"/>
    <m/>
    <m/>
  </r>
  <r>
    <x v="20"/>
    <x v="6"/>
    <x v="2"/>
    <x v="1"/>
    <n v="0"/>
    <n v="3"/>
    <n v="3"/>
    <n v="-2"/>
    <n v="3"/>
    <n v="0"/>
    <m/>
    <m/>
  </r>
  <r>
    <x v="20"/>
    <x v="7"/>
    <x v="2"/>
    <x v="1"/>
    <n v="0"/>
    <n v="3"/>
    <n v="3"/>
    <n v="0"/>
    <n v="3"/>
    <n v="0"/>
    <m/>
    <m/>
  </r>
  <r>
    <x v="20"/>
    <x v="8"/>
    <x v="2"/>
    <x v="1"/>
    <n v="0"/>
    <n v="3"/>
    <n v="3"/>
    <n v="0"/>
    <n v="3"/>
    <n v="0"/>
    <m/>
    <m/>
  </r>
  <r>
    <x v="20"/>
    <x v="9"/>
    <x v="3"/>
    <x v="1"/>
    <n v="0"/>
    <n v="3"/>
    <n v="3"/>
    <n v="0"/>
    <n v="3"/>
    <n v="0"/>
    <m/>
    <m/>
  </r>
  <r>
    <x v="20"/>
    <x v="10"/>
    <x v="3"/>
    <x v="1"/>
    <n v="0"/>
    <n v="3"/>
    <n v="3"/>
    <n v="-1"/>
    <n v="3"/>
    <n v="0"/>
    <m/>
    <m/>
  </r>
  <r>
    <x v="20"/>
    <x v="11"/>
    <x v="3"/>
    <x v="1"/>
    <n v="-50"/>
    <n v="3"/>
    <n v="2.5"/>
    <n v="0"/>
    <n v="3"/>
    <n v="-50"/>
    <m/>
    <m/>
  </r>
  <r>
    <x v="20"/>
    <x v="0"/>
    <x v="0"/>
    <x v="1"/>
    <n v="0"/>
    <n v="2.5"/>
    <n v="2.5"/>
    <n v="-13"/>
    <n v="2.5"/>
    <n v="0"/>
    <m/>
    <m/>
  </r>
  <r>
    <x v="20"/>
    <x v="1"/>
    <x v="0"/>
    <x v="1"/>
    <n v="0"/>
    <n v="2.5"/>
    <n v="2.5"/>
    <n v="0"/>
    <n v="2.5"/>
    <n v="0"/>
    <m/>
    <m/>
  </r>
  <r>
    <x v="20"/>
    <x v="2"/>
    <x v="0"/>
    <x v="1"/>
    <n v="0"/>
    <n v="2"/>
    <n v="2"/>
    <n v="-18"/>
    <n v="2.0714299999999999"/>
    <n v="-7.1429999999999998"/>
    <m/>
    <m/>
  </r>
  <r>
    <x v="20"/>
    <x v="3"/>
    <x v="1"/>
    <x v="1"/>
    <n v="0"/>
    <n v="1.75"/>
    <n v="1.75"/>
    <n v="-4"/>
    <n v="1.7261899999999999"/>
    <n v="2.3809999999999998"/>
    <m/>
    <m/>
  </r>
  <r>
    <x v="20"/>
    <x v="4"/>
    <x v="1"/>
    <x v="1"/>
    <n v="0"/>
    <n v="1.75"/>
    <n v="1.75"/>
    <n v="0"/>
    <n v="1.75"/>
    <n v="0"/>
    <m/>
    <m/>
  </r>
  <r>
    <x v="20"/>
    <x v="5"/>
    <x v="1"/>
    <x v="1"/>
    <n v="25"/>
    <n v="1.5"/>
    <n v="1.75"/>
    <n v="16"/>
    <n v="1.61111"/>
    <n v="13.888999999999999"/>
    <m/>
    <m/>
  </r>
  <r>
    <x v="21"/>
    <x v="6"/>
    <x v="2"/>
    <x v="1"/>
    <n v="0"/>
    <n v="1.75"/>
    <n v="1.75"/>
    <n v="2"/>
    <n v="1.75"/>
    <n v="0"/>
    <m/>
    <m/>
  </r>
  <r>
    <x v="21"/>
    <x v="7"/>
    <x v="2"/>
    <x v="1"/>
    <n v="0"/>
    <n v="1.75"/>
    <n v="1.75"/>
    <n v="0"/>
    <n v="1.75"/>
    <n v="0"/>
    <m/>
    <m/>
  </r>
  <r>
    <x v="21"/>
    <x v="8"/>
    <x v="2"/>
    <x v="1"/>
    <n v="0"/>
    <n v="1"/>
    <n v="1"/>
    <n v="-19"/>
    <n v="1"/>
    <n v="0"/>
    <m/>
    <m/>
  </r>
  <r>
    <x v="21"/>
    <x v="9"/>
    <x v="3"/>
    <x v="1"/>
    <n v="0"/>
    <n v="0.5"/>
    <n v="0.5"/>
    <n v="2"/>
    <n v="0.55000000000000004"/>
    <n v="-5"/>
    <m/>
    <m/>
  </r>
  <r>
    <x v="21"/>
    <x v="10"/>
    <x v="3"/>
    <x v="1"/>
    <n v="0"/>
    <n v="0.5"/>
    <n v="0.5"/>
    <n v="1"/>
    <n v="0.5"/>
    <n v="0"/>
    <m/>
    <m/>
  </r>
  <r>
    <x v="21"/>
    <x v="11"/>
    <x v="3"/>
    <x v="1"/>
    <n v="0"/>
    <n v="0.5"/>
    <n v="0.5"/>
    <n v="-1"/>
    <n v="0.5"/>
    <n v="0"/>
    <m/>
    <m/>
  </r>
  <r>
    <x v="21"/>
    <x v="0"/>
    <x v="0"/>
    <x v="1"/>
    <n v="0"/>
    <n v="0.5"/>
    <n v="0.5"/>
    <n v="0"/>
    <n v="0.5"/>
    <n v="0"/>
    <m/>
    <m/>
  </r>
  <r>
    <x v="21"/>
    <x v="1"/>
    <x v="0"/>
    <x v="1"/>
    <n v="0"/>
    <n v="0.5"/>
    <n v="0.5"/>
    <n v="0"/>
    <n v="0.5"/>
    <n v="0"/>
    <m/>
    <m/>
  </r>
  <r>
    <x v="21"/>
    <x v="2"/>
    <x v="0"/>
    <x v="1"/>
    <n v="0"/>
    <n v="0.5"/>
    <n v="0.5"/>
    <n v="7"/>
    <n v="0.5"/>
    <n v="0"/>
    <m/>
    <m/>
  </r>
  <r>
    <x v="21"/>
    <x v="3"/>
    <x v="1"/>
    <x v="1"/>
    <n v="0"/>
    <n v="0.5"/>
    <n v="0.5"/>
    <n v="0"/>
    <n v="0.5"/>
    <n v="0"/>
    <m/>
    <m/>
  </r>
  <r>
    <x v="21"/>
    <x v="4"/>
    <x v="1"/>
    <x v="1"/>
    <n v="0"/>
    <n v="0.5"/>
    <n v="0.5"/>
    <n v="0"/>
    <n v="0.5"/>
    <n v="0"/>
    <m/>
    <m/>
  </r>
  <r>
    <x v="21"/>
    <x v="5"/>
    <x v="1"/>
    <x v="1"/>
    <n v="0"/>
    <n v="0.5"/>
    <n v="0.5"/>
    <n v="0"/>
    <n v="0.5"/>
    <n v="0"/>
    <m/>
    <m/>
  </r>
  <r>
    <x v="22"/>
    <x v="6"/>
    <x v="2"/>
    <x v="1"/>
    <n v="0"/>
    <n v="0.5"/>
    <n v="0.5"/>
    <n v="-2"/>
    <n v="0.5"/>
    <n v="0"/>
    <m/>
    <m/>
  </r>
  <r>
    <x v="22"/>
    <x v="7"/>
    <x v="2"/>
    <x v="1"/>
    <n v="0"/>
    <n v="0.5"/>
    <n v="0.5"/>
    <n v="0"/>
    <n v="0.5"/>
    <n v="0"/>
    <m/>
    <m/>
  </r>
  <r>
    <x v="22"/>
    <x v="8"/>
    <x v="2"/>
    <x v="1"/>
    <n v="0"/>
    <n v="0.5"/>
    <n v="0.5"/>
    <n v="8"/>
    <n v="0.5"/>
    <n v="0"/>
    <m/>
    <m/>
  </r>
  <r>
    <x v="22"/>
    <x v="9"/>
    <x v="3"/>
    <x v="1"/>
    <n v="0"/>
    <n v="0.5"/>
    <n v="0.5"/>
    <n v="0"/>
    <n v="0.5"/>
    <n v="0"/>
    <m/>
    <m/>
  </r>
  <r>
    <x v="22"/>
    <x v="10"/>
    <x v="3"/>
    <x v="1"/>
    <n v="0"/>
    <n v="0.5"/>
    <n v="0.5"/>
    <n v="13"/>
    <n v="0.5"/>
    <n v="0"/>
    <m/>
    <m/>
  </r>
  <r>
    <x v="22"/>
    <x v="11"/>
    <x v="3"/>
    <x v="1"/>
    <n v="0"/>
    <n v="0.5"/>
    <n v="0.5"/>
    <n v="25"/>
    <n v="0.5"/>
    <n v="0"/>
    <m/>
    <m/>
  </r>
  <r>
    <x v="22"/>
    <x v="0"/>
    <x v="0"/>
    <x v="1"/>
    <n v="0"/>
    <n v="0.75"/>
    <n v="0.75"/>
    <n v="-9"/>
    <n v="0.734375"/>
    <n v="1.5625"/>
    <m/>
    <m/>
  </r>
  <r>
    <x v="22"/>
    <x v="1"/>
    <x v="0"/>
    <x v="1"/>
    <n v="0"/>
    <n v="0.75"/>
    <n v="0.75"/>
    <n v="0"/>
    <n v="0.75"/>
    <n v="0"/>
    <m/>
    <m/>
  </r>
  <r>
    <x v="22"/>
    <x v="2"/>
    <x v="0"/>
    <x v="1"/>
    <n v="25"/>
    <n v="1.25"/>
    <n v="1.5"/>
    <n v="72"/>
    <n v="1.1764699999999999"/>
    <n v="32.353000000000002"/>
    <m/>
    <m/>
  </r>
  <r>
    <x v="22"/>
    <x v="3"/>
    <x v="1"/>
    <x v="1"/>
    <n v="25"/>
    <n v="2.5"/>
    <n v="2.75"/>
    <n v="36"/>
    <n v="2.4464299999999999"/>
    <n v="30.356999999999999"/>
    <m/>
    <m/>
  </r>
  <r>
    <x v="22"/>
    <x v="4"/>
    <x v="1"/>
    <x v="1"/>
    <n v="0"/>
    <n v="2.75"/>
    <n v="2.75"/>
    <n v="0"/>
    <n v="2.75"/>
    <n v="0"/>
    <m/>
    <m/>
  </r>
  <r>
    <x v="22"/>
    <x v="5"/>
    <x v="1"/>
    <x v="1"/>
    <n v="0"/>
    <n v="4"/>
    <n v="4"/>
    <n v="7"/>
    <n v="3.9843799999999998"/>
    <n v="1.5620000000000001"/>
    <m/>
    <m/>
  </r>
  <r>
    <x v="23"/>
    <x v="6"/>
    <x v="2"/>
    <x v="1"/>
    <n v="25"/>
    <n v="5.25"/>
    <n v="5.5"/>
    <n v="39"/>
    <n v="5.3166700000000002"/>
    <n v="18.332999999999998"/>
    <m/>
    <m/>
  </r>
  <r>
    <x v="23"/>
    <x v="7"/>
    <x v="2"/>
    <x v="1"/>
    <n v="0"/>
    <n v="5.5"/>
    <n v="5.5"/>
    <n v="0"/>
    <n v="5.5"/>
    <n v="0"/>
    <m/>
    <m/>
  </r>
  <r>
    <x v="23"/>
    <x v="8"/>
    <x v="2"/>
    <x v="1"/>
    <n v="-50"/>
    <n v="7.5"/>
    <n v="7"/>
    <n v="-93"/>
    <n v="7.3026299999999997"/>
    <n v="-30.263000000000002"/>
    <m/>
    <m/>
  </r>
  <r>
    <x v="23"/>
    <x v="9"/>
    <x v="3"/>
    <x v="1"/>
    <n v="0"/>
    <n v="7"/>
    <n v="7"/>
    <n v="0"/>
    <n v="7"/>
    <n v="0"/>
    <m/>
    <m/>
  </r>
  <r>
    <x v="23"/>
    <x v="10"/>
    <x v="3"/>
    <x v="1"/>
    <n v="25"/>
    <n v="8"/>
    <n v="8.25"/>
    <n v="51"/>
    <n v="7.9411800000000001"/>
    <n v="30.882000000000001"/>
    <m/>
    <m/>
  </r>
  <r>
    <x v="23"/>
    <x v="11"/>
    <x v="3"/>
    <x v="1"/>
    <n v="0"/>
    <n v="9"/>
    <n v="9"/>
    <n v="9"/>
    <n v="9.09375"/>
    <n v="-9.375"/>
    <m/>
    <m/>
  </r>
  <r>
    <x v="23"/>
    <x v="0"/>
    <x v="0"/>
    <x v="1"/>
    <n v="25"/>
    <n v="9.5"/>
    <n v="9.75"/>
    <n v="37"/>
    <n v="9.6785700000000006"/>
    <n v="7.1429999999999998"/>
    <m/>
    <m/>
  </r>
  <r>
    <x v="23"/>
    <x v="1"/>
    <x v="0"/>
    <x v="1"/>
    <n v="0"/>
    <n v="9.75"/>
    <n v="9.75"/>
    <n v="0"/>
    <n v="9.75"/>
    <n v="0"/>
    <m/>
    <m/>
  </r>
  <r>
    <x v="23"/>
    <x v="2"/>
    <x v="0"/>
    <x v="1"/>
    <n v="25"/>
    <n v="10.5"/>
    <n v="10.75"/>
    <n v="17"/>
    <n v="10.4062"/>
    <n v="34.380000000000003"/>
    <m/>
    <m/>
  </r>
  <r>
    <x v="23"/>
    <x v="3"/>
    <x v="1"/>
    <x v="1"/>
    <n v="0"/>
    <n v="11.25"/>
    <n v="11.25"/>
    <n v="-30"/>
    <n v="11.1579"/>
    <n v="9.2100000000000009"/>
    <m/>
    <m/>
  </r>
  <r>
    <x v="23"/>
    <x v="4"/>
    <x v="1"/>
    <x v="1"/>
    <n v="0"/>
    <n v="11.25"/>
    <n v="11.25"/>
    <n v="0"/>
    <n v="11.25"/>
    <n v="0"/>
    <m/>
    <m/>
  </r>
  <r>
    <x v="23"/>
    <x v="5"/>
    <x v="1"/>
    <x v="1"/>
    <n v="0"/>
    <n v="11.25"/>
    <n v="11.25"/>
    <n v="45"/>
    <n v="11.25"/>
    <n v="0"/>
    <m/>
    <m/>
  </r>
  <r>
    <x v="24"/>
    <x v="6"/>
    <x v="2"/>
    <x v="1"/>
    <n v="0"/>
    <n v="11.25"/>
    <n v="11.25"/>
    <m/>
    <n v="11.25"/>
    <n v="0"/>
    <m/>
    <m/>
  </r>
  <r>
    <x v="24"/>
    <x v="7"/>
    <x v="2"/>
    <x v="1"/>
    <n v="0"/>
    <n v="11.25"/>
    <n v="11.25"/>
    <m/>
    <n v="11.25"/>
    <n v="0"/>
    <m/>
    <m/>
  </r>
  <r>
    <x v="24"/>
    <x v="8"/>
    <x v="2"/>
    <x v="1"/>
    <n v="0"/>
    <n v="11.25"/>
    <n v="11.25"/>
    <m/>
    <n v="11.25"/>
    <n v="0"/>
    <m/>
    <m/>
  </r>
  <r>
    <x v="24"/>
    <x v="9"/>
    <x v="3"/>
    <x v="1"/>
    <n v="0"/>
    <n v="11.25"/>
    <n v="11.25"/>
    <m/>
    <n v="11.25"/>
    <n v="0"/>
    <m/>
    <m/>
  </r>
  <r>
    <x v="24"/>
    <x v="10"/>
    <x v="3"/>
    <x v="1"/>
    <n v="0"/>
    <n v="11.25"/>
    <n v="11.25"/>
    <m/>
    <n v="11.25"/>
    <n v="0"/>
    <m/>
    <m/>
  </r>
  <r>
    <x v="24"/>
    <x v="11"/>
    <x v="3"/>
    <x v="1"/>
    <n v="0"/>
    <n v="11.25"/>
    <n v="11.25"/>
    <m/>
    <n v="11.237500000000001"/>
    <n v="1.25"/>
    <m/>
    <m/>
  </r>
  <r>
    <x v="24"/>
    <x v="0"/>
    <x v="0"/>
    <x v="1"/>
    <n v="-25"/>
    <n v="10.5"/>
    <n v="10.25"/>
    <m/>
    <n v="10.509600000000001"/>
    <n v="-25.96"/>
    <m/>
    <m/>
  </r>
  <r>
    <x v="24"/>
    <x v="1"/>
    <x v="0"/>
    <x v="1"/>
    <n v="0"/>
    <n v="10.25"/>
    <n v="10.25"/>
    <m/>
    <n v="10.25"/>
    <n v="0"/>
    <m/>
    <m/>
  </r>
  <r>
    <x v="24"/>
    <x v="2"/>
    <x v="0"/>
    <x v="1"/>
    <n v="0"/>
    <n v="9.5"/>
    <n v="9.5"/>
    <m/>
    <n v="9.3977299999999993"/>
    <n v="10.227"/>
    <m/>
    <m/>
  </r>
  <r>
    <x v="24"/>
    <x v="3"/>
    <x v="1"/>
    <x v="1"/>
    <n v="25"/>
    <n v="8.75"/>
    <n v="9"/>
    <m/>
    <n v="8.7954500000000007"/>
    <n v="20.454999999999998"/>
    <m/>
    <m/>
  </r>
  <r>
    <x v="24"/>
    <x v="4"/>
    <x v="1"/>
    <x v="1"/>
    <n v="0"/>
    <n v="9"/>
    <n v="9"/>
    <m/>
    <n v="9"/>
    <n v="0"/>
    <m/>
    <m/>
  </r>
  <r>
    <x v="24"/>
    <x v="5"/>
    <x v="1"/>
    <x v="1"/>
    <n v="0"/>
    <n v="8.25"/>
    <n v="8.25"/>
    <m/>
    <n v="8.35"/>
    <n v="-10"/>
    <m/>
    <m/>
  </r>
  <r>
    <x v="25"/>
    <x v="6"/>
    <x v="2"/>
    <x v="1"/>
    <n v="0"/>
    <n v="8.25"/>
    <n v="8.25"/>
    <m/>
    <n v="8.25"/>
    <n v="0"/>
    <m/>
    <m/>
  </r>
  <r>
    <x v="25"/>
    <x v="7"/>
    <x v="2"/>
    <x v="1"/>
    <n v="0"/>
    <n v="7.25"/>
    <n v="7.25"/>
    <m/>
    <n v="7.2738100000000001"/>
    <n v="-2.3809999999999998"/>
    <m/>
    <m/>
  </r>
  <r>
    <x v="25"/>
    <x v="8"/>
    <x v="2"/>
    <x v="1"/>
    <n v="0"/>
    <n v="7.25"/>
    <n v="7.25"/>
    <m/>
    <n v="7.25"/>
    <n v="0"/>
    <m/>
    <m/>
  </r>
  <r>
    <x v="25"/>
    <x v="9"/>
    <x v="3"/>
    <x v="1"/>
    <n v="0"/>
    <n v="6.5"/>
    <n v="6.5"/>
    <m/>
    <n v="6.46739"/>
    <n v="3.2610000000000001"/>
    <m/>
    <m/>
  </r>
  <r>
    <x v="25"/>
    <x v="10"/>
    <x v="3"/>
    <x v="1"/>
    <n v="0"/>
    <n v="6"/>
    <n v="6"/>
    <m/>
    <n v="6"/>
    <n v="0"/>
    <m/>
    <m/>
  </r>
  <r>
    <x v="25"/>
    <x v="11"/>
    <x v="3"/>
    <x v="1"/>
    <n v="0"/>
    <n v="5.75"/>
    <n v="5.75"/>
    <m/>
    <n v="5.7023799999999998"/>
    <n v="4.7619999999999996"/>
    <m/>
    <m/>
  </r>
  <r>
    <x v="25"/>
    <x v="0"/>
    <x v="0"/>
    <x v="1"/>
    <n v="25"/>
    <n v="5.5"/>
    <n v="5.75"/>
    <m/>
    <n v="5.55"/>
    <n v="20"/>
    <m/>
    <m/>
  </r>
  <r>
    <x v="25"/>
    <x v="1"/>
    <x v="0"/>
    <x v="1"/>
    <n v="0"/>
    <n v="5.75"/>
    <n v="5.75"/>
    <m/>
    <n v="5.75"/>
    <n v="0"/>
    <m/>
    <m/>
  </r>
  <r>
    <x v="25"/>
    <x v="2"/>
    <x v="0"/>
    <x v="1"/>
    <n v="0"/>
    <n v="5.5"/>
    <n v="5.5"/>
    <m/>
    <n v="5.53409"/>
    <n v="-3.4089999999999998"/>
    <m/>
    <m/>
  </r>
  <r>
    <x v="25"/>
    <x v="3"/>
    <x v="1"/>
    <x v="1"/>
    <n v="0"/>
    <n v="5.25"/>
    <n v="5.25"/>
    <m/>
    <n v="5.25"/>
    <n v="0"/>
    <m/>
    <m/>
  </r>
  <r>
    <x v="25"/>
    <x v="4"/>
    <x v="1"/>
    <x v="1"/>
    <n v="0"/>
    <n v="5.25"/>
    <n v="5.25"/>
    <m/>
    <n v="5.25"/>
    <n v="0"/>
    <m/>
    <m/>
  </r>
  <r>
    <x v="25"/>
    <x v="5"/>
    <x v="1"/>
    <x v="1"/>
    <n v="0"/>
    <n v="5"/>
    <n v="5"/>
    <m/>
    <n v="5.03409"/>
    <n v="-3.4089999999999998"/>
    <m/>
    <m/>
  </r>
  <r>
    <x v="26"/>
    <x v="6"/>
    <x v="2"/>
    <x v="1"/>
    <n v="0"/>
    <n v="5"/>
    <n v="5"/>
    <m/>
    <n v="5"/>
    <n v="0"/>
    <m/>
    <m/>
  </r>
  <r>
    <x v="26"/>
    <x v="7"/>
    <x v="2"/>
    <x v="1"/>
    <n v="0"/>
    <n v="5"/>
    <n v="5"/>
    <m/>
    <n v="5"/>
    <n v="0"/>
    <m/>
    <m/>
  </r>
  <r>
    <x v="26"/>
    <x v="8"/>
    <x v="2"/>
    <x v="1"/>
    <n v="0"/>
    <n v="5"/>
    <n v="5"/>
    <m/>
    <n v="5"/>
    <n v="0"/>
    <m/>
    <m/>
  </r>
  <r>
    <x v="26"/>
    <x v="9"/>
    <x v="3"/>
    <x v="1"/>
    <n v="0"/>
    <n v="5"/>
    <n v="5"/>
    <m/>
    <n v="5"/>
    <n v="0"/>
    <m/>
    <m/>
  </r>
  <r>
    <x v="3"/>
    <x v="8"/>
    <x v="2"/>
    <x v="2"/>
    <n v="-0.25"/>
    <n v="7.5"/>
    <n v="7.25"/>
    <m/>
    <n v="7.5333300000000003"/>
    <n v="-0.28333000000000003"/>
    <n v="-0.6885"/>
    <m/>
  </r>
  <r>
    <x v="3"/>
    <x v="9"/>
    <x v="3"/>
    <x v="2"/>
    <n v="-0.5"/>
    <n v="6.75"/>
    <n v="6.25"/>
    <m/>
    <n v="6.75"/>
    <n v="-0.5"/>
    <n v="-0.57296999999999998"/>
    <m/>
  </r>
  <r>
    <x v="3"/>
    <x v="10"/>
    <x v="3"/>
    <x v="2"/>
    <n v="-0.25"/>
    <n v="6"/>
    <n v="5.75"/>
    <m/>
    <n v="6.0555599999999998"/>
    <n v="-0.30556"/>
    <n v="-0.49603999999999998"/>
    <m/>
  </r>
  <r>
    <x v="3"/>
    <x v="11"/>
    <x v="3"/>
    <x v="2"/>
    <n v="0"/>
    <n v="5.25"/>
    <n v="5.25"/>
    <m/>
    <n v="5.3958300000000001"/>
    <n v="-0.14582999999999999"/>
    <n v="-0.31707999999999997"/>
    <m/>
  </r>
  <r>
    <x v="3"/>
    <x v="0"/>
    <x v="0"/>
    <x v="2"/>
    <n v="0"/>
    <n v="5.25"/>
    <n v="5.25"/>
    <m/>
    <n v="5.25"/>
    <n v="0"/>
    <n v="-0.37217"/>
    <m/>
  </r>
  <r>
    <x v="3"/>
    <x v="1"/>
    <x v="0"/>
    <x v="2"/>
    <n v="0"/>
    <n v="5.25"/>
    <n v="5.25"/>
    <m/>
    <n v="5.25"/>
    <n v="0"/>
    <n v="-4.7213999999999999E-2"/>
    <m/>
  </r>
  <r>
    <x v="3"/>
    <x v="2"/>
    <x v="0"/>
    <x v="2"/>
    <n v="0"/>
    <n v="5.25"/>
    <n v="5.25"/>
    <m/>
    <n v="5.25"/>
    <n v="0"/>
    <n v="-8.2170000000000007E-2"/>
    <m/>
  </r>
  <r>
    <x v="3"/>
    <x v="3"/>
    <x v="1"/>
    <x v="2"/>
    <n v="0"/>
    <n v="5.25"/>
    <n v="5.25"/>
    <m/>
    <n v="5.25"/>
    <n v="0"/>
    <n v="-0.17102000000000001"/>
    <m/>
  </r>
  <r>
    <x v="3"/>
    <x v="4"/>
    <x v="1"/>
    <x v="2"/>
    <n v="0"/>
    <n v="5.25"/>
    <n v="5.25"/>
    <m/>
    <n v="5.25"/>
    <n v="0"/>
    <n v="-9.4044000000000003E-2"/>
    <m/>
  </r>
  <r>
    <x v="3"/>
    <x v="5"/>
    <x v="1"/>
    <x v="2"/>
    <n v="0"/>
    <n v="5.25"/>
    <n v="5.25"/>
    <m/>
    <n v="5.25"/>
    <n v="0"/>
    <n v="-0.12640000000000001"/>
    <m/>
  </r>
  <r>
    <x v="4"/>
    <x v="6"/>
    <x v="2"/>
    <x v="2"/>
    <n v="0"/>
    <n v="6.25"/>
    <n v="6.25"/>
    <m/>
    <n v="6.25"/>
    <n v="0"/>
    <n v="0.54706999999999995"/>
    <m/>
  </r>
  <r>
    <x v="4"/>
    <x v="7"/>
    <x v="2"/>
    <x v="2"/>
    <n v="0"/>
    <n v="6.25"/>
    <n v="6.25"/>
    <m/>
    <n v="6.25"/>
    <n v="0"/>
    <n v="-0.10251"/>
    <m/>
  </r>
  <r>
    <x v="4"/>
    <x v="8"/>
    <x v="2"/>
    <x v="2"/>
    <n v="0"/>
    <n v="6.25"/>
    <n v="6.25"/>
    <m/>
    <n v="6.25"/>
    <n v="0"/>
    <n v="-0.12884999999999999"/>
    <m/>
  </r>
  <r>
    <x v="4"/>
    <x v="9"/>
    <x v="3"/>
    <x v="2"/>
    <n v="0.25"/>
    <n v="7"/>
    <n v="7.25"/>
    <m/>
    <n v="7"/>
    <n v="0.25"/>
    <n v="0.37785000000000002"/>
    <m/>
  </r>
  <r>
    <x v="4"/>
    <x v="10"/>
    <x v="3"/>
    <x v="2"/>
    <n v="0"/>
    <n v="7.25"/>
    <n v="7.25"/>
    <m/>
    <n v="7.25"/>
    <n v="0"/>
    <n v="-0.15742"/>
    <m/>
  </r>
  <r>
    <x v="4"/>
    <x v="11"/>
    <x v="3"/>
    <x v="2"/>
    <n v="0"/>
    <n v="7.25"/>
    <n v="7.25"/>
    <m/>
    <n v="7.25"/>
    <n v="0"/>
    <n v="-0.21539"/>
    <m/>
  </r>
  <r>
    <x v="4"/>
    <x v="0"/>
    <x v="0"/>
    <x v="2"/>
    <n v="0"/>
    <n v="7.25"/>
    <n v="7.25"/>
    <m/>
    <n v="7.25"/>
    <n v="0"/>
    <n v="9.1651999999999997E-2"/>
    <m/>
  </r>
  <r>
    <x v="4"/>
    <x v="1"/>
    <x v="0"/>
    <x v="2"/>
    <n v="0"/>
    <n v="7.25"/>
    <n v="7.25"/>
    <m/>
    <n v="7.25"/>
    <n v="0"/>
    <n v="-8.5855999999999997E-4"/>
    <m/>
  </r>
  <r>
    <x v="4"/>
    <x v="2"/>
    <x v="0"/>
    <x v="2"/>
    <n v="0"/>
    <n v="7.25"/>
    <n v="7.25"/>
    <m/>
    <n v="7.25"/>
    <n v="0"/>
    <n v="-1.226E-2"/>
    <m/>
  </r>
  <r>
    <x v="4"/>
    <x v="3"/>
    <x v="1"/>
    <x v="2"/>
    <n v="0"/>
    <n v="7.25"/>
    <n v="7.25"/>
    <m/>
    <n v="7.3055599999999998"/>
    <n v="-5.5559999999999998E-2"/>
    <n v="-4.2604000000000003E-2"/>
    <m/>
  </r>
  <r>
    <x v="4"/>
    <x v="4"/>
    <x v="1"/>
    <x v="2"/>
    <n v="0"/>
    <n v="7.25"/>
    <n v="7.25"/>
    <m/>
    <n v="7.25"/>
    <n v="0"/>
    <n v="3.3797999999999999E-4"/>
    <m/>
  </r>
  <r>
    <x v="4"/>
    <x v="5"/>
    <x v="1"/>
    <x v="2"/>
    <n v="0"/>
    <n v="7.25"/>
    <n v="7.25"/>
    <m/>
    <n v="7.25"/>
    <n v="0"/>
    <n v="-0.10245"/>
    <m/>
  </r>
  <r>
    <x v="5"/>
    <x v="6"/>
    <x v="2"/>
    <x v="2"/>
    <n v="0"/>
    <n v="7.25"/>
    <n v="7.25"/>
    <m/>
    <n v="7.25"/>
    <n v="0"/>
    <n v="-5.4495000000000002E-2"/>
    <m/>
  </r>
  <r>
    <x v="5"/>
    <x v="7"/>
    <x v="2"/>
    <x v="2"/>
    <n v="0"/>
    <n v="7"/>
    <n v="7"/>
    <m/>
    <n v="7"/>
    <n v="0"/>
    <n v="-0.20965"/>
    <m/>
  </r>
  <r>
    <x v="5"/>
    <x v="8"/>
    <x v="2"/>
    <x v="2"/>
    <n v="0.25"/>
    <n v="6.5"/>
    <n v="6.75"/>
    <m/>
    <n v="6.6195700000000004"/>
    <n v="0.13042999999999999"/>
    <n v="-0.37280000000000002"/>
    <m/>
  </r>
  <r>
    <x v="5"/>
    <x v="9"/>
    <x v="3"/>
    <x v="2"/>
    <n v="0"/>
    <n v="6.75"/>
    <n v="6.75"/>
    <m/>
    <n v="6.6309500000000003"/>
    <n v="0.11905"/>
    <n v="-0.33282"/>
    <m/>
  </r>
  <r>
    <x v="5"/>
    <x v="10"/>
    <x v="3"/>
    <x v="2"/>
    <n v="0"/>
    <n v="6.75"/>
    <n v="6.75"/>
    <m/>
    <n v="6.75"/>
    <n v="0"/>
    <n v="-3.3223000000000003E-2"/>
    <m/>
  </r>
  <r>
    <x v="5"/>
    <x v="11"/>
    <x v="3"/>
    <x v="2"/>
    <n v="0"/>
    <n v="6.75"/>
    <n v="6.75"/>
    <m/>
    <n v="6.7333299999999996"/>
    <n v="1.6670000000000001E-2"/>
    <n v="3.6015999999999999E-2"/>
    <m/>
  </r>
  <r>
    <x v="5"/>
    <x v="0"/>
    <x v="0"/>
    <x v="2"/>
    <n v="0"/>
    <n v="6.75"/>
    <n v="6.75"/>
    <m/>
    <n v="6.77"/>
    <n v="-0.02"/>
    <n v="-0.27705000000000002"/>
    <m/>
  </r>
  <r>
    <x v="5"/>
    <x v="1"/>
    <x v="0"/>
    <x v="2"/>
    <n v="0"/>
    <n v="6.75"/>
    <n v="6.75"/>
    <m/>
    <n v="6.7954499999999998"/>
    <n v="-4.5449999999999997E-2"/>
    <n v="-8.3491999999999997E-2"/>
    <m/>
  </r>
  <r>
    <x v="5"/>
    <x v="2"/>
    <x v="0"/>
    <x v="2"/>
    <n v="0"/>
    <n v="6.75"/>
    <n v="6.75"/>
    <m/>
    <n v="6.75"/>
    <n v="0"/>
    <n v="-2.9019E-2"/>
    <m/>
  </r>
  <r>
    <x v="5"/>
    <x v="3"/>
    <x v="1"/>
    <x v="2"/>
    <n v="0"/>
    <n v="6.75"/>
    <n v="6.75"/>
    <m/>
    <n v="6.75"/>
    <n v="0"/>
    <n v="0.10650999999999999"/>
    <m/>
  </r>
  <r>
    <x v="5"/>
    <x v="4"/>
    <x v="1"/>
    <x v="2"/>
    <n v="0"/>
    <n v="6.75"/>
    <n v="6.75"/>
    <m/>
    <n v="6.75"/>
    <n v="0"/>
    <n v="-1.2309E-2"/>
    <m/>
  </r>
  <r>
    <x v="5"/>
    <x v="5"/>
    <x v="1"/>
    <x v="2"/>
    <n v="-0.25"/>
    <n v="6.75"/>
    <n v="6.5"/>
    <m/>
    <n v="6.75"/>
    <n v="-0.25"/>
    <n v="-7.7504000000000003E-2"/>
    <m/>
  </r>
  <r>
    <x v="6"/>
    <x v="6"/>
    <x v="2"/>
    <x v="2"/>
    <n v="0"/>
    <n v="6.5"/>
    <n v="6.5"/>
    <m/>
    <n v="6.5"/>
    <n v="0"/>
    <n v="1.3701E-3"/>
    <m/>
  </r>
  <r>
    <x v="6"/>
    <x v="7"/>
    <x v="2"/>
    <x v="2"/>
    <n v="0"/>
    <n v="6.5"/>
    <n v="6.5"/>
    <m/>
    <n v="6.5"/>
    <n v="0"/>
    <n v="4.4045000000000001E-2"/>
    <m/>
  </r>
  <r>
    <x v="6"/>
    <x v="8"/>
    <x v="2"/>
    <x v="2"/>
    <n v="0"/>
    <n v="6.5"/>
    <n v="6.5"/>
    <m/>
    <n v="6.4821400000000002"/>
    <n v="1.7860000000000001E-2"/>
    <n v="-3.2427999999999998E-2"/>
    <m/>
  </r>
  <r>
    <x v="6"/>
    <x v="9"/>
    <x v="3"/>
    <x v="2"/>
    <n v="0"/>
    <n v="6.5"/>
    <n v="6.5"/>
    <m/>
    <n v="6.5"/>
    <n v="0"/>
    <n v="-1.7569000000000001E-2"/>
    <m/>
  </r>
  <r>
    <x v="6"/>
    <x v="10"/>
    <x v="3"/>
    <x v="2"/>
    <n v="0"/>
    <n v="6.5"/>
    <n v="6.5"/>
    <m/>
    <n v="6.4881000000000002"/>
    <n v="1.1900000000000001E-2"/>
    <n v="4.5345999999999997E-2"/>
    <m/>
  </r>
  <r>
    <x v="6"/>
    <x v="11"/>
    <x v="3"/>
    <x v="2"/>
    <n v="0"/>
    <n v="6.5"/>
    <n v="6.5"/>
    <m/>
    <n v="6.4833299999999996"/>
    <n v="1.6670000000000001E-2"/>
    <n v="5.4993E-2"/>
    <m/>
  </r>
  <r>
    <x v="6"/>
    <x v="0"/>
    <x v="0"/>
    <x v="2"/>
    <n v="0"/>
    <n v="6.5"/>
    <n v="6.5"/>
    <m/>
    <n v="6.5"/>
    <n v="0"/>
    <n v="6.5404000000000004E-2"/>
    <m/>
  </r>
  <r>
    <x v="6"/>
    <x v="1"/>
    <x v="0"/>
    <x v="2"/>
    <n v="0"/>
    <n v="6.5"/>
    <n v="6.5"/>
    <m/>
    <n v="6.5"/>
    <n v="0"/>
    <n v="2.2589999999999999E-2"/>
    <m/>
  </r>
  <r>
    <x v="6"/>
    <x v="2"/>
    <x v="0"/>
    <x v="2"/>
    <n v="-0.5"/>
    <n v="6.5"/>
    <n v="6"/>
    <m/>
    <n v="6.4666699999999997"/>
    <n v="-0.46666999999999997"/>
    <n v="-0.54442999999999997"/>
    <m/>
  </r>
  <r>
    <x v="6"/>
    <x v="3"/>
    <x v="1"/>
    <x v="2"/>
    <n v="0"/>
    <n v="6"/>
    <n v="6"/>
    <m/>
    <n v="5.9230799999999997"/>
    <n v="7.6920000000000002E-2"/>
    <n v="0.10922"/>
    <m/>
  </r>
  <r>
    <x v="6"/>
    <x v="4"/>
    <x v="1"/>
    <x v="2"/>
    <n v="0"/>
    <n v="6"/>
    <n v="6"/>
    <m/>
    <n v="6"/>
    <n v="0"/>
    <n v="-3.2442000000000001E-4"/>
    <m/>
  </r>
  <r>
    <x v="6"/>
    <x v="5"/>
    <x v="1"/>
    <x v="2"/>
    <n v="0"/>
    <n v="6"/>
    <n v="6"/>
    <m/>
    <n v="6"/>
    <n v="0"/>
    <n v="-0.19677"/>
    <m/>
  </r>
  <r>
    <x v="7"/>
    <x v="6"/>
    <x v="2"/>
    <x v="2"/>
    <n v="0"/>
    <n v="6"/>
    <n v="6"/>
    <m/>
    <n v="6"/>
    <n v="0"/>
    <n v="4.9722000000000002E-2"/>
    <m/>
  </r>
  <r>
    <x v="7"/>
    <x v="7"/>
    <x v="2"/>
    <x v="2"/>
    <n v="0"/>
    <n v="6"/>
    <n v="6"/>
    <m/>
    <n v="6"/>
    <n v="0"/>
    <n v="5.6139000000000001E-2"/>
    <m/>
  </r>
  <r>
    <x v="7"/>
    <x v="8"/>
    <x v="2"/>
    <x v="2"/>
    <n v="0"/>
    <n v="6"/>
    <n v="6"/>
    <m/>
    <n v="6"/>
    <n v="0"/>
    <n v="0.14172000000000001"/>
    <m/>
  </r>
  <r>
    <x v="7"/>
    <x v="9"/>
    <x v="3"/>
    <x v="2"/>
    <n v="0.25"/>
    <n v="6"/>
    <n v="6.25"/>
    <m/>
    <n v="6.0227300000000001"/>
    <n v="0.22727"/>
    <n v="0.29188999999999998"/>
    <m/>
  </r>
  <r>
    <x v="7"/>
    <x v="10"/>
    <x v="3"/>
    <x v="2"/>
    <n v="-0.25"/>
    <n v="6.5"/>
    <n v="6.25"/>
    <m/>
    <n v="6.3815799999999996"/>
    <n v="-0.13158"/>
    <n v="7.8357999999999997E-2"/>
    <m/>
  </r>
  <r>
    <x v="7"/>
    <x v="11"/>
    <x v="3"/>
    <x v="2"/>
    <n v="0"/>
    <n v="6.5"/>
    <n v="6.5"/>
    <m/>
    <n v="6.4605300000000003"/>
    <n v="3.9469999999999998E-2"/>
    <n v="0.26917999999999997"/>
    <m/>
  </r>
  <r>
    <x v="7"/>
    <x v="0"/>
    <x v="0"/>
    <x v="2"/>
    <n v="0"/>
    <n v="6.5"/>
    <n v="6.5"/>
    <m/>
    <n v="6.5657899999999998"/>
    <n v="-6.5790000000000001E-2"/>
    <n v="0.15456"/>
    <m/>
  </r>
  <r>
    <x v="7"/>
    <x v="1"/>
    <x v="0"/>
    <x v="2"/>
    <n v="0"/>
    <n v="6.75"/>
    <n v="6.75"/>
    <m/>
    <n v="6.7205899999999996"/>
    <n v="2.9409999999999999E-2"/>
    <n v="0.36631999999999998"/>
    <m/>
  </r>
  <r>
    <x v="7"/>
    <x v="2"/>
    <x v="0"/>
    <x v="2"/>
    <n v="0.25"/>
    <n v="6.75"/>
    <n v="7"/>
    <m/>
    <n v="6.8518499999999998"/>
    <n v="0.14815"/>
    <n v="0.13011"/>
    <m/>
  </r>
  <r>
    <x v="7"/>
    <x v="3"/>
    <x v="1"/>
    <x v="2"/>
    <n v="0"/>
    <n v="7.25"/>
    <n v="7.25"/>
    <m/>
    <n v="7.1666699999999999"/>
    <n v="8.3330000000000001E-2"/>
    <n v="-0.10288"/>
    <m/>
  </r>
  <r>
    <x v="7"/>
    <x v="4"/>
    <x v="1"/>
    <x v="2"/>
    <n v="0"/>
    <n v="7.25"/>
    <n v="7.25"/>
    <m/>
    <n v="7.2954499999999998"/>
    <n v="-4.5449999999999997E-2"/>
    <n v="-2.5791999999999998E-3"/>
    <m/>
  </r>
  <r>
    <x v="7"/>
    <x v="5"/>
    <x v="1"/>
    <x v="2"/>
    <n v="0.25"/>
    <n v="7.25"/>
    <n v="7.5"/>
    <m/>
    <n v="7.3"/>
    <n v="0.2"/>
    <n v="0.13686000000000001"/>
    <m/>
  </r>
  <r>
    <x v="8"/>
    <x v="6"/>
    <x v="2"/>
    <x v="2"/>
    <n v="0.25"/>
    <n v="7.5"/>
    <n v="7.75"/>
    <m/>
    <n v="7.6203700000000003"/>
    <n v="0.12963"/>
    <n v="8.8174000000000002E-2"/>
    <m/>
  </r>
  <r>
    <x v="8"/>
    <x v="7"/>
    <x v="2"/>
    <x v="2"/>
    <n v="0"/>
    <n v="8"/>
    <n v="8"/>
    <m/>
    <n v="8.0192300000000003"/>
    <n v="-1.9230000000000001E-2"/>
    <n v="0.29408000000000001"/>
    <m/>
  </r>
  <r>
    <x v="8"/>
    <x v="8"/>
    <x v="2"/>
    <x v="2"/>
    <n v="0"/>
    <n v="8.25"/>
    <n v="8.25"/>
    <m/>
    <n v="8.25"/>
    <n v="0"/>
    <n v="0.25861000000000001"/>
    <m/>
  </r>
  <r>
    <x v="8"/>
    <x v="9"/>
    <x v="3"/>
    <x v="2"/>
    <n v="0"/>
    <n v="8.5"/>
    <n v="8.5"/>
    <m/>
    <n v="8.5227299999999993"/>
    <n v="-2.273E-2"/>
    <n v="-0.21609"/>
    <m/>
  </r>
  <r>
    <x v="8"/>
    <x v="10"/>
    <x v="3"/>
    <x v="2"/>
    <n v="0"/>
    <n v="8.75"/>
    <n v="8.75"/>
    <m/>
    <n v="8.7391299999999994"/>
    <n v="1.0869999999999999E-2"/>
    <n v="0.23022999999999999"/>
    <m/>
  </r>
  <r>
    <x v="8"/>
    <x v="11"/>
    <x v="3"/>
    <x v="2"/>
    <n v="0"/>
    <n v="9"/>
    <n v="9"/>
    <m/>
    <n v="8.92"/>
    <n v="0.08"/>
    <n v="0.19431999999999999"/>
    <m/>
  </r>
  <r>
    <x v="8"/>
    <x v="0"/>
    <x v="0"/>
    <x v="2"/>
    <n v="0"/>
    <n v="9.25"/>
    <n v="9.25"/>
    <m/>
    <n v="9.1371000000000002"/>
    <n v="0.1129"/>
    <n v="0.13608000000000001"/>
    <m/>
  </r>
  <r>
    <x v="8"/>
    <x v="1"/>
    <x v="0"/>
    <x v="2"/>
    <n v="-0.25"/>
    <n v="9.5"/>
    <n v="9.25"/>
    <m/>
    <n v="9.4137900000000005"/>
    <n v="-0.16378999999999999"/>
    <n v="9.6014000000000002E-2"/>
    <m/>
  </r>
  <r>
    <x v="8"/>
    <x v="2"/>
    <x v="0"/>
    <x v="2"/>
    <n v="0"/>
    <n v="9.25"/>
    <n v="9.25"/>
    <m/>
    <n v="9.2575800000000008"/>
    <n v="-7.5799999999999999E-3"/>
    <n v="0.16693"/>
    <m/>
  </r>
  <r>
    <x v="8"/>
    <x v="3"/>
    <x v="1"/>
    <x v="2"/>
    <n v="0"/>
    <n v="9.25"/>
    <n v="9.25"/>
    <m/>
    <n v="9.2567599999999999"/>
    <n v="-6.7600000000000004E-3"/>
    <n v="0.15728"/>
    <m/>
  </r>
  <r>
    <x v="8"/>
    <x v="4"/>
    <x v="1"/>
    <x v="2"/>
    <n v="0.25"/>
    <n v="9.25"/>
    <n v="9.5"/>
    <m/>
    <n v="9.2583300000000008"/>
    <n v="0.24167"/>
    <n v="0.44681999999999999"/>
    <m/>
  </r>
  <r>
    <x v="8"/>
    <x v="5"/>
    <x v="1"/>
    <x v="2"/>
    <n v="0"/>
    <n v="9.5"/>
    <n v="9.5"/>
    <m/>
    <n v="9.5073500000000006"/>
    <n v="-7.3499999999999998E-3"/>
    <n v="0.14158999999999999"/>
    <m/>
  </r>
  <r>
    <x v="9"/>
    <x v="6"/>
    <x v="2"/>
    <x v="2"/>
    <n v="0"/>
    <n v="9.5"/>
    <n v="9.5"/>
    <m/>
    <n v="9.5416699999999999"/>
    <n v="-4.1669999999999999E-2"/>
    <n v="5.6265999999999997E-2"/>
    <n v="-9.7000000000000003E-2"/>
  </r>
  <r>
    <x v="9"/>
    <x v="7"/>
    <x v="2"/>
    <x v="2"/>
    <n v="0.25"/>
    <n v="9.5"/>
    <n v="9.75"/>
    <m/>
    <n v="9.5878399999999999"/>
    <n v="0.16216"/>
    <n v="0.51388"/>
    <n v="0.114"/>
  </r>
  <r>
    <x v="9"/>
    <x v="8"/>
    <x v="2"/>
    <x v="2"/>
    <n v="0"/>
    <n v="9.75"/>
    <n v="9.75"/>
    <m/>
    <n v="9.75"/>
    <n v="0"/>
    <n v="4.0696000000000003E-2"/>
    <n v="-0.09"/>
  </r>
  <r>
    <x v="9"/>
    <x v="9"/>
    <x v="3"/>
    <x v="2"/>
    <n v="0"/>
    <n v="9.75"/>
    <n v="9.75"/>
    <m/>
    <n v="9.75"/>
    <n v="0"/>
    <n v="-0.2475"/>
    <n v="-8.2000000000000003E-2"/>
  </r>
  <r>
    <x v="9"/>
    <x v="10"/>
    <x v="3"/>
    <x v="2"/>
    <n v="0"/>
    <n v="9.75"/>
    <n v="9.75"/>
    <m/>
    <n v="9.8048800000000007"/>
    <n v="-5.4879999999999998E-2"/>
    <n v="0.17824999999999999"/>
    <n v="-7.8E-2"/>
  </r>
  <r>
    <x v="9"/>
    <x v="11"/>
    <x v="3"/>
    <x v="2"/>
    <n v="0"/>
    <n v="9.75"/>
    <n v="9.75"/>
    <m/>
    <n v="9.8525600000000004"/>
    <n v="-0.10256"/>
    <n v="0.29025000000000001"/>
    <n v="-7.8E-2"/>
  </r>
  <r>
    <x v="9"/>
    <x v="0"/>
    <x v="0"/>
    <x v="2"/>
    <n v="0.25"/>
    <n v="9.75"/>
    <n v="10"/>
    <m/>
    <n v="9.86585"/>
    <n v="0.13414999999999999"/>
    <n v="-0.15532000000000001"/>
    <n v="0.16600000000000001"/>
  </r>
  <r>
    <x v="9"/>
    <x v="1"/>
    <x v="0"/>
    <x v="2"/>
    <n v="0"/>
    <n v="10"/>
    <n v="10"/>
    <m/>
    <n v="10.025600000000001"/>
    <n v="-2.5600000000000001E-2"/>
    <n v="7.8077999999999995E-2"/>
    <n v="-8.1000000000000003E-2"/>
  </r>
  <r>
    <x v="9"/>
    <x v="2"/>
    <x v="0"/>
    <x v="2"/>
    <n v="0"/>
    <n v="10"/>
    <n v="10"/>
    <m/>
    <n v="10"/>
    <n v="0"/>
    <n v="0.16098999999999999"/>
    <n v="-7.0000000000000007E-2"/>
  </r>
  <r>
    <x v="9"/>
    <x v="3"/>
    <x v="1"/>
    <x v="2"/>
    <n v="0"/>
    <n v="10"/>
    <n v="10"/>
    <m/>
    <n v="9.9791699999999999"/>
    <n v="2.0830000000000001E-2"/>
    <n v="7.5242000000000003E-2"/>
    <n v="-8.1000000000000003E-2"/>
  </r>
  <r>
    <x v="9"/>
    <x v="4"/>
    <x v="1"/>
    <x v="2"/>
    <n v="0"/>
    <n v="10"/>
    <n v="10"/>
    <m/>
    <n v="9.9621200000000005"/>
    <n v="3.7879999999999997E-2"/>
    <n v="0.14244000000000001"/>
    <n v="-5.7000000000000002E-2"/>
  </r>
  <r>
    <x v="9"/>
    <x v="5"/>
    <x v="1"/>
    <x v="2"/>
    <n v="-0.5"/>
    <n v="10"/>
    <n v="9.5"/>
    <m/>
    <n v="9.875"/>
    <n v="-0.375"/>
    <n v="-0.31497999999999998"/>
    <n v="-0.29499999999999998"/>
  </r>
  <r>
    <x v="10"/>
    <x v="6"/>
    <x v="2"/>
    <x v="2"/>
    <n v="0"/>
    <n v="9"/>
    <n v="9"/>
    <m/>
    <n v="8.9871800000000004"/>
    <n v="1.282E-2"/>
    <n v="-0.33967999999999998"/>
    <n v="-0.44800000000000001"/>
  </r>
  <r>
    <x v="10"/>
    <x v="7"/>
    <x v="2"/>
    <x v="2"/>
    <n v="-0.5"/>
    <n v="8.5"/>
    <n v="8"/>
    <m/>
    <n v="8.4714299999999998"/>
    <n v="-0.47143000000000002"/>
    <n v="-0.79813000000000001"/>
    <n v="-1.0740000000000001"/>
  </r>
  <r>
    <x v="10"/>
    <x v="8"/>
    <x v="2"/>
    <x v="2"/>
    <n v="0"/>
    <n v="7"/>
    <n v="7"/>
    <m/>
    <n v="7.1742400000000002"/>
    <n v="-0.17424000000000001"/>
    <n v="-0.63466"/>
    <n v="-1.0069999999999999"/>
  </r>
  <r>
    <x v="10"/>
    <x v="9"/>
    <x v="3"/>
    <x v="2"/>
    <n v="0"/>
    <n v="6"/>
    <n v="6"/>
    <m/>
    <n v="6"/>
    <n v="0"/>
    <n v="-0.45376"/>
    <n v="-1.022"/>
  </r>
  <r>
    <x v="10"/>
    <x v="10"/>
    <x v="3"/>
    <x v="2"/>
    <n v="0"/>
    <n v="5"/>
    <n v="5"/>
    <m/>
    <n v="5.1206899999999997"/>
    <n v="-0.12069000000000001"/>
    <n v="-0.80989999999999995"/>
    <n v="-1.0049999999999999"/>
  </r>
  <r>
    <x v="10"/>
    <x v="11"/>
    <x v="3"/>
    <x v="2"/>
    <n v="0"/>
    <n v="4.5"/>
    <n v="4.5"/>
    <m/>
    <n v="4.5725800000000003"/>
    <n v="-7.2580000000000006E-2"/>
    <n v="-0.39698"/>
    <n v="-0.52500000000000002"/>
  </r>
  <r>
    <x v="10"/>
    <x v="0"/>
    <x v="0"/>
    <x v="2"/>
    <n v="0"/>
    <n v="4.5"/>
    <n v="4.5"/>
    <m/>
    <n v="4.48529"/>
    <n v="1.4710000000000001E-2"/>
    <n v="0.49711"/>
    <n v="-2E-3"/>
  </r>
  <r>
    <x v="10"/>
    <x v="1"/>
    <x v="0"/>
    <x v="2"/>
    <n v="0"/>
    <n v="4.5"/>
    <n v="4.5"/>
    <m/>
    <n v="4.4516099999999996"/>
    <n v="4.8390000000000002E-2"/>
    <n v="0.17061000000000001"/>
    <n v="0.161"/>
  </r>
  <r>
    <x v="10"/>
    <x v="2"/>
    <x v="0"/>
    <x v="2"/>
    <n v="-0.5"/>
    <n v="4.5"/>
    <n v="4"/>
    <m/>
    <n v="4.5"/>
    <n v="-0.5"/>
    <n v="-0.37276999999999999"/>
    <n v="-0.41899999999999998"/>
  </r>
  <r>
    <x v="10"/>
    <x v="3"/>
    <x v="1"/>
    <x v="2"/>
    <n v="0"/>
    <n v="4"/>
    <n v="4"/>
    <m/>
    <n v="3.9107099999999999"/>
    <n v="8.9289999999999994E-2"/>
    <n v="0.36219000000000001"/>
    <n v="-2.1999999999999999E-2"/>
  </r>
  <r>
    <x v="10"/>
    <x v="4"/>
    <x v="1"/>
    <x v="2"/>
    <n v="-0.5"/>
    <n v="4"/>
    <n v="3.5"/>
    <m/>
    <n v="3.9015200000000001"/>
    <n v="-0.40151999999999999"/>
    <n v="-0.32522000000000001"/>
    <n v="-0.498"/>
  </r>
  <r>
    <x v="10"/>
    <x v="5"/>
    <x v="1"/>
    <x v="2"/>
    <n v="0"/>
    <n v="3.5"/>
    <n v="3.5"/>
    <m/>
    <n v="3.46875"/>
    <n v="3.125E-2"/>
    <n v="0.12864999999999999"/>
    <n v="0.20699999999999999"/>
  </r>
  <r>
    <x v="11"/>
    <x v="6"/>
    <x v="2"/>
    <x v="2"/>
    <n v="0"/>
    <n v="3.5"/>
    <n v="3.5"/>
    <m/>
    <n v="3.5"/>
    <n v="0"/>
    <n v="0.12822"/>
    <n v="0.20699999999999999"/>
  </r>
  <r>
    <x v="11"/>
    <x v="7"/>
    <x v="2"/>
    <x v="2"/>
    <n v="0"/>
    <n v="3.5"/>
    <n v="3.5"/>
    <m/>
    <n v="3.5"/>
    <n v="0"/>
    <n v="3.1599000000000002E-2"/>
    <n v="0.112"/>
  </r>
  <r>
    <x v="11"/>
    <x v="8"/>
    <x v="2"/>
    <x v="2"/>
    <n v="0"/>
    <n v="3.5"/>
    <n v="3.5"/>
    <m/>
    <n v="3.5"/>
    <n v="0"/>
    <n v="-8.6746000000000004E-2"/>
    <n v="7.5999999999999998E-2"/>
  </r>
  <r>
    <x v="11"/>
    <x v="9"/>
    <x v="3"/>
    <x v="2"/>
    <n v="-0.5"/>
    <n v="3.5"/>
    <n v="3"/>
    <m/>
    <n v="3.5"/>
    <n v="-0.5"/>
    <n v="-0.41316999999999998"/>
    <n v="-0.51800000000000002"/>
  </r>
  <r>
    <x v="11"/>
    <x v="10"/>
    <x v="3"/>
    <x v="2"/>
    <n v="0"/>
    <n v="3"/>
    <n v="3"/>
    <m/>
    <n v="3"/>
    <n v="0"/>
    <n v="-1.2236E-2"/>
    <n v="-4.8000000000000001E-2"/>
  </r>
  <r>
    <x v="11"/>
    <x v="11"/>
    <x v="3"/>
    <x v="2"/>
    <n v="0"/>
    <n v="3"/>
    <n v="3"/>
    <m/>
    <n v="3"/>
    <n v="0"/>
    <n v="-0.19803999999999999"/>
    <n v="-4.8000000000000001E-2"/>
  </r>
  <r>
    <x v="11"/>
    <x v="0"/>
    <x v="0"/>
    <x v="2"/>
    <n v="0"/>
    <n v="3"/>
    <n v="3"/>
    <m/>
    <n v="3"/>
    <n v="0"/>
    <n v="-7.8219999999999998E-2"/>
    <n v="-5.5E-2"/>
  </r>
  <r>
    <x v="11"/>
    <x v="1"/>
    <x v="0"/>
    <x v="2"/>
    <n v="0"/>
    <n v="3"/>
    <n v="3"/>
    <m/>
    <n v="2.9565199999999998"/>
    <n v="4.3479999999999998E-2"/>
    <n v="-4.0917000000000002E-2"/>
    <n v="-4.2999999999999997E-2"/>
  </r>
  <r>
    <x v="11"/>
    <x v="2"/>
    <x v="0"/>
    <x v="2"/>
    <n v="0"/>
    <n v="3"/>
    <n v="3"/>
    <m/>
    <n v="3"/>
    <n v="0"/>
    <n v="8.8199000000000003E-3"/>
    <n v="-6.2E-2"/>
  </r>
  <r>
    <x v="11"/>
    <x v="3"/>
    <x v="1"/>
    <x v="2"/>
    <n v="0"/>
    <n v="3"/>
    <n v="3"/>
    <m/>
    <n v="2.9765600000000001"/>
    <n v="2.3439999999999999E-2"/>
    <n v="0.13754"/>
    <n v="-5.1999999999999998E-2"/>
  </r>
  <r>
    <x v="11"/>
    <x v="4"/>
    <x v="1"/>
    <x v="2"/>
    <n v="0"/>
    <n v="3"/>
    <n v="3"/>
    <m/>
    <n v="3"/>
    <n v="0"/>
    <n v="3.1741999999999999E-3"/>
    <n v="-4.8000000000000001E-2"/>
  </r>
  <r>
    <x v="11"/>
    <x v="5"/>
    <x v="1"/>
    <x v="2"/>
    <n v="0"/>
    <n v="3"/>
    <n v="3"/>
    <m/>
    <n v="3"/>
    <n v="0"/>
    <n v="9.8637000000000002E-2"/>
    <n v="-6.7000000000000004E-2"/>
  </r>
  <r>
    <x v="12"/>
    <x v="6"/>
    <x v="2"/>
    <x v="2"/>
    <n v="0"/>
    <n v="3"/>
    <n v="3"/>
    <m/>
    <n v="3.0083299999999999"/>
    <n v="-8.3300000000000006E-3"/>
    <n v="-0.11142000000000001"/>
    <n v="-6.4000000000000001E-2"/>
  </r>
  <r>
    <x v="12"/>
    <x v="7"/>
    <x v="2"/>
    <x v="2"/>
    <n v="0.25"/>
    <n v="3"/>
    <n v="3.25"/>
    <m/>
    <n v="3.0217399999999999"/>
    <n v="0.22825999999999999"/>
    <n v="0.21607000000000001"/>
    <n v="0.16500000000000001"/>
  </r>
  <r>
    <x v="12"/>
    <x v="8"/>
    <x v="2"/>
    <x v="2"/>
    <n v="0"/>
    <n v="3.5"/>
    <n v="3.5"/>
    <m/>
    <n v="3.4537"/>
    <n v="4.6300000000000001E-2"/>
    <n v="9.2851000000000003E-2"/>
    <n v="0.14899999999999999"/>
  </r>
  <r>
    <x v="12"/>
    <x v="9"/>
    <x v="3"/>
    <x v="2"/>
    <n v="0"/>
    <n v="3.75"/>
    <n v="3.75"/>
    <m/>
    <n v="3.69828"/>
    <n v="5.1720000000000002E-2"/>
    <n v="-3.6949999999999997E-2"/>
    <n v="0.05"/>
  </r>
  <r>
    <x v="12"/>
    <x v="10"/>
    <x v="3"/>
    <x v="2"/>
    <n v="0"/>
    <n v="4"/>
    <n v="4"/>
    <m/>
    <n v="4"/>
    <n v="0"/>
    <n v="0.19248999999999999"/>
    <n v="7.6999999999999999E-2"/>
  </r>
  <r>
    <x v="12"/>
    <x v="11"/>
    <x v="3"/>
    <x v="2"/>
    <n v="0"/>
    <n v="4.25"/>
    <n v="4.25"/>
    <m/>
    <n v="4.2391300000000003"/>
    <n v="1.0869999999999999E-2"/>
    <n v="0.16369"/>
    <n v="0.11799999999999999"/>
  </r>
  <r>
    <x v="12"/>
    <x v="0"/>
    <x v="0"/>
    <x v="2"/>
    <n v="0"/>
    <n v="4.5"/>
    <n v="4.5"/>
    <m/>
    <n v="4.47"/>
    <n v="0.03"/>
    <n v="0.17463999999999999"/>
    <n v="0.05"/>
  </r>
  <r>
    <x v="12"/>
    <x v="1"/>
    <x v="0"/>
    <x v="2"/>
    <n v="-0.25"/>
    <n v="4.75"/>
    <n v="4.5"/>
    <m/>
    <n v="4.6527799999999999"/>
    <n v="-0.15278"/>
    <n v="-4.2942000000000001E-2"/>
    <n v="-0.16"/>
  </r>
  <r>
    <x v="12"/>
    <x v="2"/>
    <x v="0"/>
    <x v="2"/>
    <n v="0"/>
    <n v="4.5"/>
    <n v="4.5"/>
    <m/>
    <n v="4.5"/>
    <n v="0"/>
    <n v="-8.1485000000000002E-2"/>
    <n v="-7.4999999999999997E-2"/>
  </r>
  <r>
    <x v="12"/>
    <x v="3"/>
    <x v="1"/>
    <x v="2"/>
    <n v="0"/>
    <n v="4.5"/>
    <n v="4.5"/>
    <m/>
    <n v="4.5086199999999996"/>
    <n v="-8.6199999999999992E-3"/>
    <n v="-0.11089"/>
    <n v="-0.107"/>
  </r>
  <r>
    <x v="12"/>
    <x v="4"/>
    <x v="1"/>
    <x v="2"/>
    <n v="0"/>
    <n v="4.75"/>
    <n v="4.75"/>
    <m/>
    <n v="4.6285699999999999"/>
    <n v="0.12143"/>
    <n v="0.16864000000000001"/>
    <n v="0.111"/>
  </r>
  <r>
    <x v="12"/>
    <x v="5"/>
    <x v="1"/>
    <x v="2"/>
    <n v="0"/>
    <n v="4.75"/>
    <n v="4.75"/>
    <m/>
    <n v="4.7968799999999998"/>
    <n v="-4.6879999999999998E-2"/>
    <n v="-0.18276000000000001"/>
    <n v="-7.0999999999999994E-2"/>
  </r>
  <r>
    <x v="13"/>
    <x v="6"/>
    <x v="2"/>
    <x v="2"/>
    <n v="0.25"/>
    <n v="4.75"/>
    <n v="5"/>
    <m/>
    <n v="4.7578100000000001"/>
    <n v="0.24218999999999999"/>
    <n v="0.28262999999999999"/>
    <n v="0.21"/>
  </r>
  <r>
    <x v="13"/>
    <x v="7"/>
    <x v="2"/>
    <x v="2"/>
    <n v="0"/>
    <n v="5.25"/>
    <n v="5.25"/>
    <m/>
    <n v="5.1527799999999999"/>
    <n v="9.7220000000000001E-2"/>
    <n v="0.27857999999999999"/>
    <n v="0.16600000000000001"/>
  </r>
  <r>
    <x v="13"/>
    <x v="8"/>
    <x v="2"/>
    <x v="2"/>
    <n v="0"/>
    <n v="5.25"/>
    <n v="5.25"/>
    <m/>
    <n v="5.3666700000000001"/>
    <n v="-0.11667"/>
    <n v="-1.1277000000000001E-2"/>
    <n v="-8.0000000000000002E-3"/>
  </r>
  <r>
    <x v="13"/>
    <x v="9"/>
    <x v="3"/>
    <x v="2"/>
    <n v="0"/>
    <n v="5.25"/>
    <n v="5.25"/>
    <m/>
    <n v="5.25"/>
    <n v="0"/>
    <n v="0.10942"/>
    <n v="-1.2999999999999999E-2"/>
  </r>
  <r>
    <x v="13"/>
    <x v="10"/>
    <x v="3"/>
    <x v="2"/>
    <n v="0"/>
    <n v="5.25"/>
    <n v="5.25"/>
    <m/>
    <n v="5.25"/>
    <n v="0"/>
    <n v="7.3094000000000006E-2"/>
    <n v="-0.02"/>
  </r>
  <r>
    <x v="13"/>
    <x v="11"/>
    <x v="3"/>
    <x v="2"/>
    <n v="0"/>
    <n v="5.25"/>
    <n v="5.25"/>
    <m/>
    <n v="5.25"/>
    <n v="0"/>
    <n v="0.13178000000000001"/>
    <n v="-4.7E-2"/>
  </r>
  <r>
    <x v="13"/>
    <x v="0"/>
    <x v="0"/>
    <x v="2"/>
    <n v="-0.25"/>
    <n v="5.25"/>
    <n v="5"/>
    <m/>
    <n v="5.17143"/>
    <n v="-0.17143"/>
    <n v="-0.13988"/>
    <n v="-0.36099999999999999"/>
  </r>
  <r>
    <x v="13"/>
    <x v="1"/>
    <x v="0"/>
    <x v="2"/>
    <n v="0"/>
    <n v="4.75"/>
    <n v="4.75"/>
    <m/>
    <n v="4.7803000000000004"/>
    <n v="-3.0300000000000001E-2"/>
    <n v="-0.15223999999999999"/>
    <n v="-0.09"/>
  </r>
  <r>
    <x v="13"/>
    <x v="2"/>
    <x v="0"/>
    <x v="2"/>
    <n v="0"/>
    <n v="4.75"/>
    <n v="4.75"/>
    <m/>
    <n v="4.6617600000000001"/>
    <n v="8.8239999999999999E-2"/>
    <n v="5.1955999999999999E-3"/>
    <n v="0.14399999999999999"/>
  </r>
  <r>
    <x v="13"/>
    <x v="3"/>
    <x v="1"/>
    <x v="2"/>
    <n v="0"/>
    <n v="4.75"/>
    <n v="4.75"/>
    <m/>
    <n v="4.7"/>
    <n v="0.05"/>
    <n v="0.33032"/>
    <n v="2.4E-2"/>
  </r>
  <r>
    <x v="13"/>
    <x v="4"/>
    <x v="1"/>
    <x v="2"/>
    <n v="-0.25"/>
    <n v="4.75"/>
    <n v="4.5"/>
    <m/>
    <n v="4.7348499999999998"/>
    <n v="-0.23485"/>
    <n v="-7.5708999999999999E-2"/>
    <n v="-0.23100000000000001"/>
  </r>
  <r>
    <x v="13"/>
    <x v="5"/>
    <x v="1"/>
    <x v="2"/>
    <n v="-0.25"/>
    <n v="4.5"/>
    <n v="4.25"/>
    <m/>
    <n v="4.4140600000000001"/>
    <n v="-0.16406000000000001"/>
    <n v="0.11414000000000001"/>
    <n v="-8.2000000000000003E-2"/>
  </r>
  <r>
    <x v="14"/>
    <x v="6"/>
    <x v="2"/>
    <x v="2"/>
    <n v="0"/>
    <n v="4"/>
    <n v="4"/>
    <m/>
    <n v="4.0151500000000002"/>
    <n v="-1.515E-2"/>
    <n v="-0.10108"/>
    <n v="3.1E-2"/>
  </r>
  <r>
    <x v="14"/>
    <x v="7"/>
    <x v="2"/>
    <x v="2"/>
    <n v="0"/>
    <n v="3.75"/>
    <n v="3.75"/>
    <m/>
    <n v="3.75"/>
    <n v="0"/>
    <n v="-8.5786000000000001E-2"/>
    <n v="-1.4999999999999999E-2"/>
  </r>
  <r>
    <x v="14"/>
    <x v="8"/>
    <x v="2"/>
    <x v="2"/>
    <n v="-0.25"/>
    <n v="3.5"/>
    <n v="3.25"/>
    <m/>
    <n v="3.5390600000000001"/>
    <n v="-0.28905999999999998"/>
    <n v="-0.38536999999999999"/>
    <n v="-0.26500000000000001"/>
  </r>
  <r>
    <x v="14"/>
    <x v="9"/>
    <x v="3"/>
    <x v="2"/>
    <n v="0"/>
    <n v="3.25"/>
    <n v="3.25"/>
    <m/>
    <n v="3.1532300000000002"/>
    <n v="9.6769999999999995E-2"/>
    <n v="0.12523000000000001"/>
    <n v="0.13400000000000001"/>
  </r>
  <r>
    <x v="14"/>
    <x v="10"/>
    <x v="3"/>
    <x v="2"/>
    <n v="0"/>
    <n v="3.25"/>
    <n v="3.25"/>
    <m/>
    <n v="3.25"/>
    <n v="0"/>
    <n v="7.5215000000000004E-2"/>
    <n v="1.7000000000000001E-2"/>
  </r>
  <r>
    <x v="14"/>
    <x v="11"/>
    <x v="3"/>
    <x v="2"/>
    <n v="0"/>
    <n v="3.25"/>
    <n v="3.25"/>
    <m/>
    <n v="3.2407400000000002"/>
    <n v="9.2599999999999991E-3"/>
    <n v="7.4964000000000003E-2"/>
    <n v="2.7E-2"/>
  </r>
  <r>
    <x v="14"/>
    <x v="0"/>
    <x v="0"/>
    <x v="2"/>
    <n v="0"/>
    <n v="3.25"/>
    <n v="3.25"/>
    <m/>
    <n v="3.25"/>
    <n v="0"/>
    <n v="3.4714000000000002E-2"/>
    <n v="-4.0000000000000001E-3"/>
  </r>
  <r>
    <x v="14"/>
    <x v="1"/>
    <x v="0"/>
    <x v="2"/>
    <n v="0"/>
    <n v="3.25"/>
    <n v="3.25"/>
    <m/>
    <n v="3.25"/>
    <n v="0"/>
    <n v="4.5777999999999999E-2"/>
    <n v="-1.6E-2"/>
  </r>
  <r>
    <x v="14"/>
    <x v="2"/>
    <x v="0"/>
    <x v="2"/>
    <n v="0"/>
    <n v="3.25"/>
    <n v="3.25"/>
    <m/>
    <n v="3.2265600000000001"/>
    <n v="2.3439999999999999E-2"/>
    <n v="-3.9564000000000002E-2"/>
    <n v="4.0000000000000001E-3"/>
  </r>
  <r>
    <x v="14"/>
    <x v="3"/>
    <x v="1"/>
    <x v="2"/>
    <n v="0"/>
    <n v="3.25"/>
    <n v="3.25"/>
    <m/>
    <n v="3.2424200000000001"/>
    <n v="7.5799999999999999E-3"/>
    <n v="-3.0571000000000001E-2"/>
    <n v="-1E-3"/>
  </r>
  <r>
    <x v="14"/>
    <x v="4"/>
    <x v="1"/>
    <x v="2"/>
    <n v="0"/>
    <n v="3.25"/>
    <n v="3.25"/>
    <m/>
    <n v="3.2413799999999999"/>
    <n v="8.6199999999999992E-3"/>
    <n v="2.1922000000000001E-2"/>
    <n v="2.1999999999999999E-2"/>
  </r>
  <r>
    <x v="14"/>
    <x v="5"/>
    <x v="1"/>
    <x v="2"/>
    <n v="0"/>
    <n v="3.25"/>
    <n v="3.25"/>
    <m/>
    <n v="3.25"/>
    <n v="0"/>
    <n v="6.1908999999999999E-2"/>
    <n v="1.4E-2"/>
  </r>
  <r>
    <x v="15"/>
    <x v="6"/>
    <x v="2"/>
    <x v="2"/>
    <n v="0"/>
    <n v="3.25"/>
    <n v="3.25"/>
    <m/>
    <n v="3.25"/>
    <n v="0"/>
    <n v="7.8018999999999996E-3"/>
    <n v="-2.1000000000000001E-2"/>
  </r>
  <r>
    <x v="15"/>
    <x v="7"/>
    <x v="2"/>
    <x v="2"/>
    <n v="0"/>
    <n v="3.25"/>
    <n v="3.25"/>
    <m/>
    <n v="3.25"/>
    <n v="0"/>
    <n v="1.0359999999999999E-2"/>
    <n v="-5.0000000000000001E-3"/>
  </r>
  <r>
    <x v="15"/>
    <x v="8"/>
    <x v="2"/>
    <x v="2"/>
    <n v="0"/>
    <n v="3.25"/>
    <n v="3.25"/>
    <m/>
    <n v="3.25"/>
    <n v="0"/>
    <n v="-3.5504000000000001E-2"/>
    <n v="4.8000000000000001E-2"/>
  </r>
  <r>
    <x v="15"/>
    <x v="9"/>
    <x v="3"/>
    <x v="2"/>
    <n v="0.25"/>
    <n v="3.25"/>
    <n v="3.5"/>
    <m/>
    <n v="3.2758600000000002"/>
    <n v="0.22414000000000001"/>
    <n v="0.21382000000000001"/>
    <n v="0.255"/>
  </r>
  <r>
    <x v="15"/>
    <x v="10"/>
    <x v="3"/>
    <x v="2"/>
    <n v="0"/>
    <n v="3.75"/>
    <n v="3.75"/>
    <m/>
    <n v="3.72"/>
    <n v="0.03"/>
    <n v="0.24095"/>
    <n v="1.4E-2"/>
  </r>
  <r>
    <x v="15"/>
    <x v="11"/>
    <x v="3"/>
    <x v="2"/>
    <n v="0"/>
    <n v="4"/>
    <n v="4"/>
    <m/>
    <n v="4.0357099999999999"/>
    <n v="-3.5709999999999999E-2"/>
    <n v="7.7316999999999997E-2"/>
    <n v="-3.6999999999999998E-2"/>
  </r>
  <r>
    <x v="15"/>
    <x v="0"/>
    <x v="0"/>
    <x v="2"/>
    <n v="0"/>
    <n v="4.25"/>
    <n v="4.25"/>
    <m/>
    <n v="4.2343799999999998"/>
    <n v="1.562E-2"/>
    <n v="0.22255"/>
    <n v="0.106"/>
  </r>
  <r>
    <x v="15"/>
    <x v="1"/>
    <x v="0"/>
    <x v="2"/>
    <n v="0"/>
    <n v="4.5"/>
    <n v="4.5"/>
    <m/>
    <n v="4.4632399999999999"/>
    <n v="3.6760000000000001E-2"/>
    <n v="0.26530999999999999"/>
    <n v="0.121"/>
  </r>
  <r>
    <x v="15"/>
    <x v="2"/>
    <x v="0"/>
    <x v="2"/>
    <n v="0"/>
    <n v="4.5"/>
    <n v="4.5"/>
    <m/>
    <n v="4.54054"/>
    <n v="-4.054E-2"/>
    <n v="2.3813000000000001E-2"/>
    <n v="5.0000000000000001E-3"/>
  </r>
  <r>
    <x v="15"/>
    <x v="3"/>
    <x v="1"/>
    <x v="2"/>
    <n v="0"/>
    <n v="4.5"/>
    <n v="4.5"/>
    <m/>
    <n v="4.5065799999999996"/>
    <n v="-6.5799999999999999E-3"/>
    <n v="-1.193E-2"/>
    <n v="1E-3"/>
  </r>
  <r>
    <x v="15"/>
    <x v="4"/>
    <x v="1"/>
    <x v="2"/>
    <n v="0"/>
    <n v="4.5"/>
    <n v="4.5"/>
    <m/>
    <n v="4.5"/>
    <n v="0"/>
    <n v="-1.2198000000000001E-2"/>
    <n v="4.0000000000000001E-3"/>
  </r>
  <r>
    <x v="15"/>
    <x v="5"/>
    <x v="1"/>
    <x v="2"/>
    <n v="0"/>
    <n v="4.5"/>
    <n v="4.5"/>
    <m/>
    <n v="4.4913800000000004"/>
    <n v="8.6199999999999992E-3"/>
    <n v="3.3473999999999997E-2"/>
    <n v="2E-3"/>
  </r>
  <r>
    <x v="16"/>
    <x v="6"/>
    <x v="2"/>
    <x v="2"/>
    <n v="0"/>
    <n v="4.5"/>
    <n v="4.5"/>
    <m/>
    <n v="4.5"/>
    <n v="0"/>
    <n v="-0.12837999999999999"/>
    <n v="0"/>
  </r>
  <r>
    <x v="16"/>
    <x v="7"/>
    <x v="2"/>
    <x v="2"/>
    <n v="0"/>
    <n v="4.5"/>
    <n v="4.5"/>
    <m/>
    <n v="4.5"/>
    <n v="0"/>
    <n v="1.2523E-3"/>
    <n v="2E-3"/>
  </r>
  <r>
    <x v="16"/>
    <x v="8"/>
    <x v="2"/>
    <x v="2"/>
    <n v="0"/>
    <n v="4.5"/>
    <n v="4.5"/>
    <m/>
    <n v="4.5357099999999999"/>
    <n v="-3.5709999999999999E-2"/>
    <n v="-4.7782999999999999E-2"/>
    <n v="-1E-3"/>
  </r>
  <r>
    <x v="16"/>
    <x v="9"/>
    <x v="3"/>
    <x v="2"/>
    <n v="0"/>
    <n v="4.5"/>
    <n v="4.5"/>
    <m/>
    <n v="4.5"/>
    <n v="0"/>
    <n v="-0.11094"/>
    <n v="-1.2E-2"/>
  </r>
  <r>
    <x v="16"/>
    <x v="10"/>
    <x v="3"/>
    <x v="2"/>
    <n v="0"/>
    <n v="4.5"/>
    <n v="4.5"/>
    <m/>
    <n v="4.5"/>
    <n v="0"/>
    <n v="-2.3210000000000001E-2"/>
    <n v="-8.0000000000000002E-3"/>
  </r>
  <r>
    <x v="16"/>
    <x v="11"/>
    <x v="3"/>
    <x v="2"/>
    <n v="0"/>
    <n v="4.5"/>
    <n v="4.5"/>
    <m/>
    <n v="4.5"/>
    <n v="0"/>
    <n v="-3.0287999999999999E-2"/>
    <n v="-1.0999999999999999E-2"/>
  </r>
  <r>
    <x v="16"/>
    <x v="0"/>
    <x v="0"/>
    <x v="2"/>
    <n v="0"/>
    <n v="4.5"/>
    <n v="4.5"/>
    <m/>
    <n v="4.5"/>
    <n v="0"/>
    <n v="-0.37897999999999998"/>
    <n v="-3.4000000000000002E-2"/>
  </r>
  <r>
    <x v="16"/>
    <x v="1"/>
    <x v="0"/>
    <x v="2"/>
    <n v="0"/>
    <n v="4.5"/>
    <n v="4.5"/>
    <m/>
    <n v="4.5263200000000001"/>
    <n v="-2.632E-2"/>
    <n v="-0.12581999999999999"/>
    <n v="-0.115"/>
  </r>
  <r>
    <x v="16"/>
    <x v="2"/>
    <x v="0"/>
    <x v="2"/>
    <n v="0.25"/>
    <n v="4.5"/>
    <n v="4.75"/>
    <m/>
    <n v="4.5921099999999999"/>
    <n v="0.15789"/>
    <n v="8.8607000000000005E-2"/>
    <n v="0.13900000000000001"/>
  </r>
  <r>
    <x v="16"/>
    <x v="3"/>
    <x v="1"/>
    <x v="2"/>
    <n v="0.25"/>
    <n v="5"/>
    <n v="5.25"/>
    <m/>
    <n v="5"/>
    <n v="0.25"/>
    <n v="7.3520000000000002E-2"/>
    <n v="0.13600000000000001"/>
  </r>
  <r>
    <x v="16"/>
    <x v="4"/>
    <x v="1"/>
    <x v="2"/>
    <n v="-0.25"/>
    <n v="5.75"/>
    <n v="5.5"/>
    <m/>
    <n v="5.6312499999999996"/>
    <n v="-0.13125000000000001"/>
    <n v="-1.2879E-2"/>
    <n v="-0.14399999999999999"/>
  </r>
  <r>
    <x v="16"/>
    <x v="5"/>
    <x v="1"/>
    <x v="2"/>
    <n v="0"/>
    <n v="5.75"/>
    <n v="5.75"/>
    <m/>
    <n v="5.7432400000000001"/>
    <n v="6.7600000000000004E-3"/>
    <n v="2.9085E-2"/>
    <n v="-8.3000000000000004E-2"/>
  </r>
  <r>
    <x v="17"/>
    <x v="6"/>
    <x v="2"/>
    <x v="2"/>
    <n v="0"/>
    <n v="6"/>
    <n v="6"/>
    <m/>
    <n v="5.9932400000000001"/>
    <n v="6.7600000000000004E-3"/>
    <n v="-6.4473000000000003E-2"/>
    <n v="-8.5000000000000006E-2"/>
  </r>
  <r>
    <x v="17"/>
    <x v="7"/>
    <x v="2"/>
    <x v="2"/>
    <n v="0"/>
    <n v="6.25"/>
    <n v="6.25"/>
    <m/>
    <n v="6.3014700000000001"/>
    <n v="-5.1470000000000002E-2"/>
    <n v="-6.6376000000000004E-2"/>
    <n v="-8.3000000000000004E-2"/>
  </r>
  <r>
    <x v="17"/>
    <x v="8"/>
    <x v="2"/>
    <x v="2"/>
    <n v="0"/>
    <n v="6.5"/>
    <n v="6.5"/>
    <m/>
    <n v="6.5"/>
    <n v="0"/>
    <n v="-2.0299999999999999E-2"/>
    <n v="4.5999999999999999E-2"/>
  </r>
  <r>
    <x v="17"/>
    <x v="9"/>
    <x v="3"/>
    <x v="2"/>
    <n v="0.25"/>
    <n v="6.75"/>
    <n v="7"/>
    <m/>
    <n v="6.8140999999999998"/>
    <n v="0.18590000000000001"/>
    <n v="0.16089999999999999"/>
    <n v="0.20300000000000001"/>
  </r>
  <r>
    <x v="17"/>
    <x v="10"/>
    <x v="3"/>
    <x v="2"/>
    <n v="0"/>
    <n v="7.25"/>
    <n v="7.25"/>
    <m/>
    <n v="7.2272699999999999"/>
    <n v="2.273E-2"/>
    <n v="4.3637000000000002E-2"/>
    <n v="-4.3999999999999997E-2"/>
  </r>
  <r>
    <x v="17"/>
    <x v="11"/>
    <x v="3"/>
    <x v="2"/>
    <n v="0"/>
    <n v="7.5"/>
    <n v="7.5"/>
    <m/>
    <n v="7.5"/>
    <n v="0"/>
    <n v="5.4092000000000001E-2"/>
    <n v="-8.0000000000000002E-3"/>
  </r>
  <r>
    <x v="17"/>
    <x v="0"/>
    <x v="0"/>
    <x v="2"/>
    <n v="0"/>
    <n v="7.75"/>
    <n v="7.75"/>
    <m/>
    <n v="7.6985299999999999"/>
    <n v="5.1470000000000002E-2"/>
    <n v="0.27927999999999997"/>
    <n v="7.9000000000000001E-2"/>
  </r>
  <r>
    <x v="17"/>
    <x v="1"/>
    <x v="0"/>
    <x v="2"/>
    <n v="0"/>
    <n v="7.75"/>
    <n v="7.75"/>
    <m/>
    <n v="7.82639"/>
    <n v="-7.639E-2"/>
    <n v="9.8917000000000005E-2"/>
    <n v="-9.1999999999999998E-2"/>
  </r>
  <r>
    <x v="17"/>
    <x v="2"/>
    <x v="0"/>
    <x v="2"/>
    <n v="0"/>
    <n v="7.75"/>
    <n v="7.75"/>
    <m/>
    <n v="7.75"/>
    <n v="0"/>
    <n v="4.0499E-2"/>
    <n v="1E-3"/>
  </r>
  <r>
    <x v="17"/>
    <x v="3"/>
    <x v="1"/>
    <x v="2"/>
    <n v="0"/>
    <n v="7.75"/>
    <n v="7.75"/>
    <m/>
    <n v="7.7419399999999996"/>
    <n v="8.0599999999999995E-3"/>
    <n v="9.5406000000000005E-2"/>
    <n v="6.0000000000000001E-3"/>
  </r>
  <r>
    <x v="17"/>
    <x v="4"/>
    <x v="1"/>
    <x v="2"/>
    <n v="0"/>
    <n v="7.75"/>
    <n v="7.75"/>
    <m/>
    <n v="7.7424200000000001"/>
    <n v="7.5799999999999999E-3"/>
    <n v="0.26632"/>
    <n v="2E-3"/>
  </r>
  <r>
    <x v="17"/>
    <x v="5"/>
    <x v="1"/>
    <x v="2"/>
    <n v="-0.25"/>
    <n v="7.75"/>
    <n v="7.5"/>
    <m/>
    <n v="7.7430599999999998"/>
    <n v="-0.24306"/>
    <n v="-2.4801E-2"/>
    <n v="-0.21"/>
  </r>
  <r>
    <x v="18"/>
    <x v="6"/>
    <x v="2"/>
    <x v="2"/>
    <n v="0.25"/>
    <n v="7.25"/>
    <n v="7.5"/>
    <m/>
    <n v="7.2708300000000001"/>
    <n v="0.22917000000000001"/>
    <n v="0.22205"/>
    <n v="0.16800000000000001"/>
  </r>
  <r>
    <x v="18"/>
    <x v="7"/>
    <x v="2"/>
    <x v="2"/>
    <n v="-0.25"/>
    <n v="7.5"/>
    <n v="7.25"/>
    <m/>
    <n v="7.4230799999999997"/>
    <n v="-0.17308000000000001"/>
    <n v="-1.6663000000000001E-2"/>
    <n v="-0.14899999999999999"/>
  </r>
  <r>
    <x v="18"/>
    <x v="8"/>
    <x v="2"/>
    <x v="2"/>
    <n v="0"/>
    <n v="7"/>
    <n v="7"/>
    <m/>
    <n v="6.9571399999999999"/>
    <n v="4.2860000000000002E-2"/>
    <n v="-2.6408999999999998E-2"/>
    <n v="0.1"/>
  </r>
  <r>
    <x v="18"/>
    <x v="9"/>
    <x v="3"/>
    <x v="2"/>
    <n v="-0.25"/>
    <n v="6.75"/>
    <n v="6.5"/>
    <m/>
    <n v="6.6642900000000003"/>
    <n v="-0.16428999999999999"/>
    <n v="-0.24471999999999999"/>
    <n v="-3.6999999999999998E-2"/>
  </r>
  <r>
    <x v="18"/>
    <x v="10"/>
    <x v="3"/>
    <x v="2"/>
    <n v="0"/>
    <n v="6.25"/>
    <n v="6.25"/>
    <m/>
    <n v="6.1842100000000002"/>
    <n v="6.5790000000000001E-2"/>
    <n v="-2.5662999999999998E-2"/>
    <n v="9.9000000000000005E-2"/>
  </r>
  <r>
    <x v="18"/>
    <x v="11"/>
    <x v="3"/>
    <x v="2"/>
    <n v="0"/>
    <n v="5.75"/>
    <n v="5.75"/>
    <m/>
    <n v="5.8680599999999998"/>
    <n v="-0.11806"/>
    <n v="-0.31034"/>
    <n v="-8.9999999999999993E-3"/>
  </r>
  <r>
    <x v="18"/>
    <x v="0"/>
    <x v="0"/>
    <x v="2"/>
    <n v="0"/>
    <n v="5.5"/>
    <n v="5.5"/>
    <m/>
    <n v="5.4729700000000001"/>
    <n v="2.7029999999999998E-2"/>
    <n v="-6.9492999999999999E-2"/>
    <n v="7.2999999999999995E-2"/>
  </r>
  <r>
    <x v="18"/>
    <x v="1"/>
    <x v="0"/>
    <x v="2"/>
    <n v="0"/>
    <n v="5.25"/>
    <n v="5.25"/>
    <m/>
    <n v="5.2364899999999999"/>
    <n v="1.3509999999999999E-2"/>
    <n v="-0.12052"/>
    <n v="2.9000000000000001E-2"/>
  </r>
  <r>
    <x v="18"/>
    <x v="2"/>
    <x v="0"/>
    <x v="2"/>
    <n v="0"/>
    <n v="5.25"/>
    <n v="5.25"/>
    <m/>
    <n v="5.2222200000000001"/>
    <n v="2.7779999999999999E-2"/>
    <n v="0.11549"/>
    <n v="6.7000000000000004E-2"/>
  </r>
  <r>
    <x v="18"/>
    <x v="3"/>
    <x v="1"/>
    <x v="2"/>
    <n v="-0.25"/>
    <n v="5.25"/>
    <n v="5"/>
    <m/>
    <n v="5.2279400000000003"/>
    <n v="-0.22794"/>
    <n v="-0.18428"/>
    <n v="-0.189"/>
  </r>
  <r>
    <x v="18"/>
    <x v="4"/>
    <x v="1"/>
    <x v="2"/>
    <n v="-0.25"/>
    <n v="5"/>
    <n v="4.75"/>
    <m/>
    <n v="4.8787900000000004"/>
    <n v="-0.12878999999999999"/>
    <n v="-0.12035"/>
    <n v="-5.0999999999999997E-2"/>
  </r>
  <r>
    <x v="18"/>
    <x v="5"/>
    <x v="1"/>
    <x v="2"/>
    <n v="0"/>
    <n v="4.75"/>
    <n v="4.75"/>
    <m/>
    <n v="4.7214299999999998"/>
    <n v="2.8570000000000002E-2"/>
    <n v="0.16514999999999999"/>
    <n v="2.5999999999999999E-2"/>
  </r>
  <r>
    <x v="19"/>
    <x v="6"/>
    <x v="2"/>
    <x v="2"/>
    <n v="0"/>
    <n v="4.5"/>
    <n v="4.5"/>
    <m/>
    <n v="4.6180599999999998"/>
    <n v="-0.11806"/>
    <n v="-9.1591000000000006E-2"/>
    <n v="-0.128"/>
  </r>
  <r>
    <x v="19"/>
    <x v="7"/>
    <x v="2"/>
    <x v="2"/>
    <n v="0"/>
    <n v="4.5"/>
    <n v="4.5"/>
    <m/>
    <n v="4.5"/>
    <n v="0"/>
    <n v="0"/>
    <n v="0"/>
  </r>
  <r>
    <x v="19"/>
    <x v="8"/>
    <x v="2"/>
    <x v="2"/>
    <n v="0"/>
    <n v="4.5"/>
    <n v="4.5"/>
    <m/>
    <n v="4.40517"/>
    <n v="9.4829999999999998E-2"/>
    <n v="6.3532000000000005E-2"/>
    <n v="6.8000000000000005E-2"/>
  </r>
  <r>
    <x v="19"/>
    <x v="9"/>
    <x v="3"/>
    <x v="2"/>
    <n v="0"/>
    <n v="4.25"/>
    <n v="4.25"/>
    <m/>
    <n v="4.2348499999999998"/>
    <n v="1.515E-2"/>
    <n v="-0.16999"/>
    <n v="-6.0000000000000001E-3"/>
  </r>
  <r>
    <x v="19"/>
    <x v="10"/>
    <x v="3"/>
    <x v="2"/>
    <n v="0"/>
    <n v="4.25"/>
    <n v="4.25"/>
    <m/>
    <n v="4.25"/>
    <n v="0"/>
    <n v="0"/>
    <n v="0"/>
  </r>
  <r>
    <x v="19"/>
    <x v="11"/>
    <x v="3"/>
    <x v="2"/>
    <n v="0"/>
    <n v="4.25"/>
    <n v="4.25"/>
    <m/>
    <n v="4.24038"/>
    <n v="9.6200000000000001E-3"/>
    <n v="0.12475"/>
    <n v="-5.0000000000000001E-3"/>
  </r>
  <r>
    <x v="19"/>
    <x v="0"/>
    <x v="0"/>
    <x v="2"/>
    <n v="0"/>
    <n v="4.25"/>
    <n v="4.25"/>
    <m/>
    <n v="4.25"/>
    <n v="0"/>
    <n v="4.0042000000000001E-2"/>
    <n v="0"/>
  </r>
  <r>
    <x v="19"/>
    <x v="1"/>
    <x v="0"/>
    <x v="2"/>
    <n v="0"/>
    <n v="4.25"/>
    <n v="4.25"/>
    <m/>
    <n v="4.25"/>
    <n v="0"/>
    <n v="0"/>
    <n v="0"/>
  </r>
  <r>
    <x v="19"/>
    <x v="2"/>
    <x v="0"/>
    <x v="2"/>
    <n v="0"/>
    <n v="4.25"/>
    <n v="4.25"/>
    <m/>
    <n v="4.25"/>
    <n v="0"/>
    <n v="0.11219999999999999"/>
    <n v="1E-3"/>
  </r>
  <r>
    <x v="19"/>
    <x v="3"/>
    <x v="1"/>
    <x v="2"/>
    <n v="0"/>
    <n v="4.25"/>
    <n v="4.25"/>
    <m/>
    <n v="4.25"/>
    <n v="0"/>
    <n v="7.1734999999999993E-2"/>
    <n v="-2E-3"/>
  </r>
  <r>
    <x v="19"/>
    <x v="4"/>
    <x v="1"/>
    <x v="2"/>
    <n v="0"/>
    <n v="4.25"/>
    <n v="4.25"/>
    <m/>
    <n v="4.25"/>
    <n v="0"/>
    <n v="0"/>
    <n v="0"/>
  </r>
  <r>
    <x v="19"/>
    <x v="5"/>
    <x v="1"/>
    <x v="2"/>
    <n v="0"/>
    <n v="4.25"/>
    <n v="4.25"/>
    <m/>
    <n v="4.25"/>
    <n v="0"/>
    <n v="7.9566999999999999E-2"/>
    <n v="0"/>
  </r>
  <r>
    <x v="20"/>
    <x v="6"/>
    <x v="2"/>
    <x v="2"/>
    <n v="0"/>
    <n v="4.25"/>
    <n v="4.25"/>
    <m/>
    <n v="4.25"/>
    <n v="0"/>
    <n v="4.8894E-2"/>
    <n v="0"/>
  </r>
  <r>
    <x v="20"/>
    <x v="7"/>
    <x v="2"/>
    <x v="2"/>
    <n v="0"/>
    <n v="4.25"/>
    <n v="4.25"/>
    <m/>
    <n v="4.25"/>
    <n v="0"/>
    <n v="0"/>
    <n v="0"/>
  </r>
  <r>
    <x v="20"/>
    <x v="8"/>
    <x v="2"/>
    <x v="2"/>
    <n v="0"/>
    <n v="4.25"/>
    <n v="4.25"/>
    <m/>
    <n v="4.25"/>
    <n v="0"/>
    <n v="9.6615000000000006E-2"/>
    <n v="1E-3"/>
  </r>
  <r>
    <x v="20"/>
    <x v="9"/>
    <x v="3"/>
    <x v="2"/>
    <n v="0"/>
    <n v="4.25"/>
    <n v="4.25"/>
    <m/>
    <n v="4.25"/>
    <n v="0"/>
    <n v="2.8901E-2"/>
    <n v="0"/>
  </r>
  <r>
    <x v="20"/>
    <x v="10"/>
    <x v="3"/>
    <x v="2"/>
    <n v="0"/>
    <n v="4.25"/>
    <n v="4.25"/>
    <m/>
    <n v="4.25"/>
    <n v="0"/>
    <n v="0"/>
    <n v="0"/>
  </r>
  <r>
    <x v="20"/>
    <x v="11"/>
    <x v="3"/>
    <x v="2"/>
    <n v="0"/>
    <n v="4.25"/>
    <n v="4.25"/>
    <m/>
    <n v="4.25"/>
    <n v="0"/>
    <n v="6.1348E-2"/>
    <n v="4.0000000000000001E-3"/>
  </r>
  <r>
    <x v="20"/>
    <x v="0"/>
    <x v="0"/>
    <x v="2"/>
    <n v="0"/>
    <n v="4.25"/>
    <n v="4.25"/>
    <m/>
    <n v="4.25"/>
    <n v="0"/>
    <n v="-6.4875999999999996E-4"/>
    <n v="1.0999999999999999E-2"/>
  </r>
  <r>
    <x v="20"/>
    <x v="1"/>
    <x v="0"/>
    <x v="2"/>
    <n v="0"/>
    <n v="4.25"/>
    <n v="4.25"/>
    <m/>
    <n v="4.25"/>
    <n v="0"/>
    <n v="0"/>
    <n v="0"/>
  </r>
  <r>
    <x v="20"/>
    <x v="2"/>
    <x v="0"/>
    <x v="2"/>
    <n v="0"/>
    <n v="4.25"/>
    <n v="4.25"/>
    <m/>
    <n v="4.25"/>
    <n v="0"/>
    <n v="-8.6164999999999992E-3"/>
    <n v="-1E-3"/>
  </r>
  <r>
    <x v="20"/>
    <x v="3"/>
    <x v="1"/>
    <x v="2"/>
    <n v="0"/>
    <n v="4.25"/>
    <n v="4.25"/>
    <m/>
    <n v="4.25"/>
    <n v="0"/>
    <n v="-4.9875000000000003E-2"/>
    <n v="-3.0000000000000001E-3"/>
  </r>
  <r>
    <x v="20"/>
    <x v="4"/>
    <x v="1"/>
    <x v="2"/>
    <n v="0"/>
    <n v="4.25"/>
    <n v="4.25"/>
    <m/>
    <n v="4.25"/>
    <n v="0"/>
    <n v="0"/>
    <n v="0"/>
  </r>
  <r>
    <x v="20"/>
    <x v="5"/>
    <x v="1"/>
    <x v="2"/>
    <n v="0"/>
    <n v="4.25"/>
    <n v="4.25"/>
    <m/>
    <n v="4.25"/>
    <n v="0"/>
    <n v="8.5343999999999993E-3"/>
    <n v="0"/>
  </r>
  <r>
    <x v="21"/>
    <x v="6"/>
    <x v="2"/>
    <x v="2"/>
    <n v="0"/>
    <n v="4.25"/>
    <n v="4.25"/>
    <m/>
    <n v="4.25962"/>
    <n v="-9.6200000000000001E-3"/>
    <n v="2.0124E-2"/>
    <n v="-3.0000000000000001E-3"/>
  </r>
  <r>
    <x v="21"/>
    <x v="7"/>
    <x v="2"/>
    <x v="2"/>
    <n v="0"/>
    <n v="4.25"/>
    <n v="4.25"/>
    <m/>
    <n v="4.25"/>
    <n v="0"/>
    <n v="0"/>
    <n v="-1E-3"/>
  </r>
  <r>
    <x v="21"/>
    <x v="8"/>
    <x v="2"/>
    <x v="2"/>
    <n v="0"/>
    <n v="3.75"/>
    <n v="3.75"/>
    <m/>
    <n v="3.9021699999999999"/>
    <n v="-0.15217"/>
    <n v="-0.12127"/>
    <n v="-0.10299999999999999"/>
  </r>
  <r>
    <x v="21"/>
    <x v="9"/>
    <x v="3"/>
    <x v="2"/>
    <n v="0"/>
    <n v="3.25"/>
    <n v="3.25"/>
    <m/>
    <n v="3.2211500000000002"/>
    <n v="2.8850000000000001E-2"/>
    <n v="-0.23477000000000001"/>
    <n v="7.6999999999999999E-2"/>
  </r>
  <r>
    <x v="21"/>
    <x v="10"/>
    <x v="3"/>
    <x v="2"/>
    <n v="0"/>
    <n v="2.75"/>
    <n v="2.75"/>
    <m/>
    <n v="2.7604199999999999"/>
    <n v="-1.042E-2"/>
    <n v="-0.15432999999999999"/>
    <n v="3.0000000000000001E-3"/>
  </r>
  <r>
    <x v="21"/>
    <x v="11"/>
    <x v="3"/>
    <x v="2"/>
    <n v="0.25"/>
    <n v="2.25"/>
    <n v="2.5"/>
    <m/>
    <n v="2.3369599999999999"/>
    <n v="0.16303999999999999"/>
    <n v="0.33911000000000002"/>
    <n v="0.14299999999999999"/>
  </r>
  <r>
    <x v="21"/>
    <x v="0"/>
    <x v="0"/>
    <x v="2"/>
    <n v="0"/>
    <n v="2.25"/>
    <n v="2.25"/>
    <m/>
    <n v="2.2592599999999998"/>
    <n v="-9.2599999999999991E-3"/>
    <n v="0.35879"/>
    <n v="-1.2E-2"/>
  </r>
  <r>
    <x v="21"/>
    <x v="1"/>
    <x v="0"/>
    <x v="2"/>
    <n v="0"/>
    <n v="2"/>
    <n v="2"/>
    <m/>
    <n v="2"/>
    <n v="0"/>
    <n v="0.29464000000000001"/>
    <n v="-4.7E-2"/>
  </r>
  <r>
    <x v="21"/>
    <x v="2"/>
    <x v="0"/>
    <x v="2"/>
    <n v="0"/>
    <n v="1.75"/>
    <n v="1.75"/>
    <m/>
    <n v="1.8522700000000001"/>
    <n v="-0.10227"/>
    <n v="0.26808999999999999"/>
    <n v="-0.129"/>
  </r>
  <r>
    <x v="21"/>
    <x v="3"/>
    <x v="1"/>
    <x v="2"/>
    <n v="0"/>
    <n v="1.75"/>
    <n v="1.75"/>
    <m/>
    <n v="1.71739"/>
    <n v="3.261E-2"/>
    <n v="0.2311"/>
    <n v="3.0000000000000001E-3"/>
  </r>
  <r>
    <x v="21"/>
    <x v="4"/>
    <x v="1"/>
    <x v="2"/>
    <n v="0"/>
    <n v="1.75"/>
    <n v="1.75"/>
    <m/>
    <n v="1.75"/>
    <n v="0"/>
    <n v="0"/>
    <n v="-6.0000000000000001E-3"/>
  </r>
  <r>
    <x v="21"/>
    <x v="5"/>
    <x v="1"/>
    <x v="2"/>
    <n v="0"/>
    <n v="1.75"/>
    <n v="1.75"/>
    <m/>
    <n v="1.75"/>
    <n v="0"/>
    <n v="0.40161999999999998"/>
    <n v="-3.0000000000000001E-3"/>
  </r>
  <r>
    <x v="22"/>
    <x v="6"/>
    <x v="2"/>
    <x v="2"/>
    <n v="0"/>
    <n v="1.75"/>
    <n v="1.75"/>
    <m/>
    <n v="1.75"/>
    <n v="0"/>
    <n v="2.4486000000000001E-2"/>
    <n v="2.7E-2"/>
  </r>
  <r>
    <x v="22"/>
    <x v="7"/>
    <x v="2"/>
    <x v="2"/>
    <n v="0"/>
    <n v="1.75"/>
    <n v="1.75"/>
    <m/>
    <n v="1.75"/>
    <n v="0"/>
    <n v="0"/>
    <n v="-1E-3"/>
  </r>
  <r>
    <x v="22"/>
    <x v="8"/>
    <x v="2"/>
    <x v="2"/>
    <n v="0"/>
    <n v="1.75"/>
    <n v="1.75"/>
    <m/>
    <n v="1.75"/>
    <n v="0"/>
    <n v="-5.5664999999999999E-2"/>
    <n v="4.0000000000000001E-3"/>
  </r>
  <r>
    <x v="22"/>
    <x v="9"/>
    <x v="3"/>
    <x v="2"/>
    <n v="0"/>
    <n v="1.75"/>
    <n v="1.75"/>
    <m/>
    <n v="1.75"/>
    <n v="0"/>
    <n v="-0.34566999999999998"/>
    <n v="7.0000000000000001E-3"/>
  </r>
  <r>
    <x v="22"/>
    <x v="10"/>
    <x v="3"/>
    <x v="2"/>
    <n v="0"/>
    <n v="1.75"/>
    <n v="1.75"/>
    <m/>
    <n v="1.75"/>
    <n v="0"/>
    <n v="0"/>
    <n v="-6.0000000000000001E-3"/>
  </r>
  <r>
    <x v="22"/>
    <x v="11"/>
    <x v="3"/>
    <x v="2"/>
    <n v="0"/>
    <n v="1.75"/>
    <n v="1.75"/>
    <m/>
    <n v="1.75"/>
    <n v="0"/>
    <n v="-0.20937"/>
    <n v="-3.4000000000000002E-2"/>
  </r>
  <r>
    <x v="22"/>
    <x v="0"/>
    <x v="0"/>
    <x v="2"/>
    <n v="0"/>
    <n v="1.75"/>
    <n v="1.75"/>
    <m/>
    <n v="1.75"/>
    <n v="0"/>
    <n v="-0.77193999999999996"/>
    <n v="-1E-3"/>
  </r>
  <r>
    <x v="22"/>
    <x v="1"/>
    <x v="0"/>
    <x v="2"/>
    <n v="0"/>
    <n v="1.75"/>
    <n v="1.75"/>
    <m/>
    <n v="1.75"/>
    <n v="0"/>
    <n v="0"/>
    <n v="-2.3E-2"/>
  </r>
  <r>
    <x v="22"/>
    <x v="2"/>
    <x v="0"/>
    <x v="2"/>
    <n v="0"/>
    <n v="2"/>
    <n v="2"/>
    <m/>
    <n v="2.0113599999999998"/>
    <n v="-1.136E-2"/>
    <n v="-0.39282"/>
    <n v="-8.3000000000000004E-2"/>
  </r>
  <r>
    <x v="22"/>
    <x v="3"/>
    <x v="1"/>
    <x v="2"/>
    <n v="0.25"/>
    <n v="2.25"/>
    <n v="2.5"/>
    <m/>
    <n v="2.34375"/>
    <n v="0.15625"/>
    <n v="-0.37264000000000003"/>
    <n v="7.5999999999999998E-2"/>
  </r>
  <r>
    <x v="22"/>
    <x v="4"/>
    <x v="1"/>
    <x v="2"/>
    <n v="0"/>
    <n v="2.5"/>
    <n v="2.5"/>
    <m/>
    <n v="2.5"/>
    <n v="0"/>
    <n v="0"/>
    <n v="0"/>
  </r>
  <r>
    <x v="22"/>
    <x v="5"/>
    <x v="1"/>
    <x v="2"/>
    <n v="0"/>
    <n v="3"/>
    <n v="3"/>
    <m/>
    <n v="3.0370400000000002"/>
    <n v="-3.7039999999999997E-2"/>
    <n v="-8.1256999999999996E-2"/>
    <n v="-0.129"/>
  </r>
  <r>
    <x v="23"/>
    <x v="6"/>
    <x v="2"/>
    <x v="2"/>
    <n v="0.25"/>
    <n v="3.75"/>
    <n v="4"/>
    <m/>
    <n v="3.73"/>
    <n v="0.27"/>
    <n v="0.43430999999999997"/>
    <n v="0.13300000000000001"/>
  </r>
  <r>
    <x v="23"/>
    <x v="7"/>
    <x v="2"/>
    <x v="2"/>
    <n v="0"/>
    <n v="4"/>
    <n v="4"/>
    <m/>
    <n v="4"/>
    <n v="0"/>
    <n v="0"/>
    <n v="0"/>
  </r>
  <r>
    <x v="23"/>
    <x v="8"/>
    <x v="2"/>
    <x v="2"/>
    <n v="-0.5"/>
    <n v="5.5"/>
    <n v="5"/>
    <m/>
    <n v="5.4583300000000001"/>
    <n v="-0.45833000000000002"/>
    <n v="1.8605E-2"/>
    <n v="-0.46700000000000003"/>
  </r>
  <r>
    <x v="23"/>
    <x v="9"/>
    <x v="3"/>
    <x v="2"/>
    <n v="0"/>
    <n v="6"/>
    <n v="6"/>
    <m/>
    <n v="6.04"/>
    <n v="-0.04"/>
    <n v="0.4672"/>
    <n v="-4.5999999999999999E-2"/>
  </r>
  <r>
    <x v="23"/>
    <x v="10"/>
    <x v="3"/>
    <x v="2"/>
    <n v="0"/>
    <n v="6"/>
    <n v="6"/>
    <m/>
    <n v="6"/>
    <n v="0"/>
    <n v="0"/>
    <n v="0"/>
  </r>
  <r>
    <x v="23"/>
    <x v="11"/>
    <x v="3"/>
    <x v="2"/>
    <n v="0"/>
    <n v="7.5"/>
    <n v="7.5"/>
    <m/>
    <n v="7.3229199999999999"/>
    <n v="0.17707999999999999"/>
    <n v="0.57955000000000001"/>
    <n v="3.0000000000000001E-3"/>
  </r>
  <r>
    <x v="23"/>
    <x v="0"/>
    <x v="0"/>
    <x v="2"/>
    <n v="0"/>
    <n v="9"/>
    <n v="9"/>
    <m/>
    <n v="8.9732099999999999"/>
    <n v="2.6790000000000001E-2"/>
    <n v="0.78764999999999996"/>
    <n v="1.7000000000000001E-2"/>
  </r>
  <r>
    <x v="23"/>
    <x v="1"/>
    <x v="0"/>
    <x v="2"/>
    <n v="0"/>
    <n v="9"/>
    <n v="9"/>
    <m/>
    <n v="9"/>
    <n v="0"/>
    <n v="0"/>
    <n v="0"/>
  </r>
  <r>
    <x v="23"/>
    <x v="2"/>
    <x v="0"/>
    <x v="2"/>
    <n v="-0.5"/>
    <n v="10.5"/>
    <n v="10"/>
    <m/>
    <n v="10.319000000000001"/>
    <n v="-0.31900000000000001"/>
    <n v="0.28583999999999998"/>
    <n v="-0.34899999999999998"/>
  </r>
  <r>
    <x v="23"/>
    <x v="3"/>
    <x v="1"/>
    <x v="2"/>
    <n v="0"/>
    <n v="11"/>
    <n v="11"/>
    <m/>
    <n v="11.0268"/>
    <n v="-2.6800000000000001E-2"/>
    <n v="0.5575"/>
    <n v="-1.6E-2"/>
  </r>
  <r>
    <x v="23"/>
    <x v="4"/>
    <x v="1"/>
    <x v="2"/>
    <n v="0"/>
    <n v="11"/>
    <n v="11"/>
    <m/>
    <n v="11"/>
    <n v="0"/>
    <n v="0"/>
    <n v="0"/>
  </r>
  <r>
    <x v="23"/>
    <x v="5"/>
    <x v="1"/>
    <x v="2"/>
    <n v="0"/>
    <n v="12"/>
    <n v="12"/>
    <m/>
    <n v="11.954499999999999"/>
    <n v="4.5499999999999999E-2"/>
    <n v="0.55574000000000001"/>
    <n v="0.20100000000000001"/>
  </r>
  <r>
    <x v="24"/>
    <x v="6"/>
    <x v="2"/>
    <x v="2"/>
    <n v="-0.25"/>
    <n v="13"/>
    <n v="12.75"/>
    <m/>
    <n v="12.866099999999999"/>
    <n v="-0.11609999999999999"/>
    <n v="0.16749"/>
    <n v="8.3000000000000004E-2"/>
  </r>
  <r>
    <x v="24"/>
    <x v="7"/>
    <x v="2"/>
    <x v="2"/>
    <n v="0"/>
    <n v="12.75"/>
    <n v="12.75"/>
    <m/>
    <n v="12.75"/>
    <n v="0"/>
    <n v="0"/>
    <n v="0"/>
  </r>
  <r>
    <x v="24"/>
    <x v="8"/>
    <x v="2"/>
    <x v="2"/>
    <n v="0"/>
    <n v="13"/>
    <n v="13"/>
    <m/>
    <n v="13.069000000000001"/>
    <n v="-6.9000000000000006E-2"/>
    <n v="-5.1173999999999997E-2"/>
    <n v="1.2999999999999999E-2"/>
  </r>
  <r>
    <x v="24"/>
    <x v="9"/>
    <x v="3"/>
    <x v="2"/>
    <n v="0"/>
    <n v="13.25"/>
    <n v="13.25"/>
    <m/>
    <n v="13.1296"/>
    <n v="0.12039999999999999"/>
    <n v="9.1239000000000001E-2"/>
    <n v="0.13300000000000001"/>
  </r>
  <r>
    <x v="24"/>
    <x v="10"/>
    <x v="3"/>
    <x v="2"/>
    <n v="0"/>
    <n v="13.25"/>
    <n v="13.25"/>
    <m/>
    <n v="13.25"/>
    <n v="0"/>
    <n v="0"/>
    <n v="0"/>
  </r>
  <r>
    <x v="24"/>
    <x v="11"/>
    <x v="3"/>
    <x v="2"/>
    <n v="0"/>
    <n v="13.25"/>
    <n v="13.25"/>
    <m/>
    <n v="13.25"/>
    <n v="0"/>
    <n v="-7.8941999999999998E-2"/>
    <n v="2E-3"/>
  </r>
  <r>
    <x v="24"/>
    <x v="0"/>
    <x v="0"/>
    <x v="2"/>
    <n v="0"/>
    <n v="13.25"/>
    <n v="13.25"/>
    <m/>
    <n v="13.25"/>
    <n v="0"/>
    <n v="0.35066000000000003"/>
    <n v="0"/>
  </r>
  <r>
    <x v="24"/>
    <x v="1"/>
    <x v="0"/>
    <x v="2"/>
    <n v="0"/>
    <n v="13.25"/>
    <n v="13.25"/>
    <m/>
    <n v="13.25"/>
    <n v="0"/>
    <n v="0"/>
    <n v="0"/>
  </r>
  <r>
    <x v="24"/>
    <x v="2"/>
    <x v="0"/>
    <x v="2"/>
    <n v="0"/>
    <n v="13.25"/>
    <n v="13.25"/>
    <m/>
    <n v="13.25"/>
    <n v="0"/>
    <n v="1.8856000000000001E-2"/>
    <n v="1.0999999999999999E-2"/>
  </r>
  <r>
    <x v="24"/>
    <x v="3"/>
    <x v="1"/>
    <x v="2"/>
    <n v="0"/>
    <n v="13.25"/>
    <n v="13.25"/>
    <m/>
    <n v="13.22"/>
    <n v="0.03"/>
    <n v="0.18028"/>
    <n v="-1E-3"/>
  </r>
  <r>
    <x v="24"/>
    <x v="4"/>
    <x v="1"/>
    <x v="2"/>
    <n v="0"/>
    <n v="13.25"/>
    <n v="13.25"/>
    <m/>
    <n v="13.25"/>
    <n v="0"/>
    <n v="0"/>
    <n v="0"/>
  </r>
  <r>
    <x v="24"/>
    <x v="5"/>
    <x v="1"/>
    <x v="2"/>
    <n v="0"/>
    <n v="13"/>
    <n v="13"/>
    <m/>
    <n v="13.1136"/>
    <n v="-0.11360000000000001"/>
    <n v="1.3176999999999999E-2"/>
    <n v="-0.1"/>
  </r>
  <r>
    <x v="25"/>
    <x v="6"/>
    <x v="2"/>
    <x v="2"/>
    <n v="0.25"/>
    <n v="12.5"/>
    <n v="12.75"/>
    <m/>
    <n v="12.586499999999999"/>
    <n v="0.16350000000000001"/>
    <n v="6.7888000000000004E-2"/>
    <n v="0.183"/>
  </r>
  <r>
    <x v="25"/>
    <x v="7"/>
    <x v="2"/>
    <x v="2"/>
    <n v="0"/>
    <n v="12.75"/>
    <n v="12.75"/>
    <m/>
    <n v="12.75"/>
    <n v="0"/>
    <n v="0"/>
    <n v="0"/>
  </r>
  <r>
    <x v="25"/>
    <x v="8"/>
    <x v="2"/>
    <x v="2"/>
    <n v="0"/>
    <n v="12.25"/>
    <n v="12.25"/>
    <m/>
    <n v="12.2333"/>
    <n v="1.67E-2"/>
    <n v="-6.6535999999999998E-2"/>
    <n v="-1.7999999999999999E-2"/>
  </r>
  <r>
    <x v="25"/>
    <x v="9"/>
    <x v="3"/>
    <x v="2"/>
    <n v="0"/>
    <n v="11.75"/>
    <n v="11.75"/>
    <m/>
    <n v="11.75"/>
    <n v="0"/>
    <n v="-0.19162999999999999"/>
    <n v="-2.1999999999999999E-2"/>
  </r>
  <r>
    <x v="25"/>
    <x v="10"/>
    <x v="3"/>
    <x v="2"/>
    <n v="0"/>
    <n v="11.75"/>
    <n v="11.75"/>
    <m/>
    <n v="11.75"/>
    <n v="0"/>
    <n v="0"/>
    <n v="0"/>
  </r>
  <r>
    <x v="25"/>
    <x v="11"/>
    <x v="3"/>
    <x v="2"/>
    <n v="0"/>
    <n v="11.25"/>
    <n v="11.25"/>
    <m/>
    <n v="11.25"/>
    <n v="0"/>
    <n v="-0.22961999999999999"/>
    <n v="2.8000000000000001E-2"/>
  </r>
  <r>
    <x v="25"/>
    <x v="0"/>
    <x v="0"/>
    <x v="2"/>
    <n v="0"/>
    <n v="10.75"/>
    <n v="10.75"/>
    <m/>
    <n v="10.741099999999999"/>
    <n v="8.8999999999999999E-3"/>
    <n v="-0.12801999999999999"/>
    <n v="1.2E-2"/>
  </r>
  <r>
    <x v="25"/>
    <x v="1"/>
    <x v="0"/>
    <x v="2"/>
    <n v="0"/>
    <n v="10.75"/>
    <n v="10.75"/>
    <m/>
    <n v="10.75"/>
    <n v="0"/>
    <n v="0"/>
    <n v="0"/>
  </r>
  <r>
    <x v="25"/>
    <x v="2"/>
    <x v="0"/>
    <x v="2"/>
    <n v="0"/>
    <n v="10.25"/>
    <n v="10.25"/>
    <m/>
    <n v="10.1852"/>
    <n v="6.4799999999999996E-2"/>
    <n v="-0.13346"/>
    <n v="7.8E-2"/>
  </r>
  <r>
    <x v="25"/>
    <x v="3"/>
    <x v="1"/>
    <x v="2"/>
    <n v="0"/>
    <n v="9.75"/>
    <n v="9.75"/>
    <m/>
    <n v="9.6875"/>
    <n v="6.25E-2"/>
    <n v="-9.9823999999999996E-2"/>
    <n v="1.7000000000000001E-2"/>
  </r>
  <r>
    <x v="25"/>
    <x v="4"/>
    <x v="1"/>
    <x v="2"/>
    <n v="0"/>
    <n v="9.75"/>
    <n v="9.75"/>
    <m/>
    <n v="9.75"/>
    <n v="0"/>
    <n v="0"/>
    <n v="0"/>
  </r>
  <r>
    <x v="25"/>
    <x v="5"/>
    <x v="1"/>
    <x v="2"/>
    <n v="0.25"/>
    <n v="9.25"/>
    <n v="9.5"/>
    <m/>
    <n v="9.2583300000000008"/>
    <n v="0.24167"/>
    <n v="7.4902999999999997E-2"/>
    <n v="0.23699999999999999"/>
  </r>
  <r>
    <x v="26"/>
    <x v="6"/>
    <x v="2"/>
    <x v="2"/>
    <n v="0.25"/>
    <n v="9.25"/>
    <n v="9.5"/>
    <m/>
    <n v="9.3125"/>
    <n v="0.1875"/>
    <n v="0.29083999999999999"/>
    <n v="0.14499999999999999"/>
  </r>
  <r>
    <x v="26"/>
    <x v="7"/>
    <x v="2"/>
    <x v="2"/>
    <n v="0"/>
    <n v="9.5"/>
    <n v="9.5"/>
    <m/>
    <n v="9.5"/>
    <n v="0"/>
    <n v="0"/>
    <n v="0"/>
  </r>
  <r>
    <x v="26"/>
    <x v="8"/>
    <x v="2"/>
    <x v="2"/>
    <n v="0"/>
    <n v="9.5"/>
    <n v="9.5"/>
    <m/>
    <n v="9.4134600000000006"/>
    <n v="8.6540000000000006E-2"/>
    <n v="0.28105999999999998"/>
    <m/>
  </r>
  <r>
    <x v="26"/>
    <x v="9"/>
    <x v="3"/>
    <x v="2"/>
    <n v="-0.25"/>
    <n v="9.5"/>
    <n v="9.25"/>
    <m/>
    <n v="9.4741400000000002"/>
    <n v="-0.22414000000000001"/>
    <s v="."/>
    <m/>
  </r>
  <r>
    <x v="6"/>
    <x v="3"/>
    <x v="1"/>
    <x v="3"/>
    <n v="0"/>
    <n v="9"/>
    <n v="9"/>
    <n v="-7"/>
    <n v="9"/>
    <n v="0"/>
    <m/>
    <m/>
  </r>
  <r>
    <x v="6"/>
    <x v="4"/>
    <x v="1"/>
    <x v="3"/>
    <n v="0"/>
    <n v="8.75"/>
    <n v="8.75"/>
    <n v="-1.5"/>
    <n v="8.75"/>
    <n v="0"/>
    <m/>
    <m/>
  </r>
  <r>
    <x v="6"/>
    <x v="5"/>
    <x v="1"/>
    <x v="3"/>
    <n v="-0.25"/>
    <n v="8.5"/>
    <n v="8.25"/>
    <n v="-16"/>
    <n v="8.5657899999999998"/>
    <n v="-0.31579000000000002"/>
    <m/>
    <m/>
  </r>
  <r>
    <x v="7"/>
    <x v="6"/>
    <x v="2"/>
    <x v="3"/>
    <n v="0"/>
    <n v="7.75"/>
    <n v="7.75"/>
    <n v="9.5"/>
    <n v="7.7934799999999997"/>
    <n v="-4.3479999999999998E-2"/>
    <m/>
    <m/>
  </r>
  <r>
    <x v="7"/>
    <x v="7"/>
    <x v="2"/>
    <x v="3"/>
    <n v="0"/>
    <n v="7.5"/>
    <n v="7.5"/>
    <n v="-2"/>
    <n v="7.46875"/>
    <n v="3.125E-2"/>
    <m/>
    <m/>
  </r>
  <r>
    <x v="7"/>
    <x v="8"/>
    <x v="2"/>
    <x v="3"/>
    <n v="0"/>
    <n v="7.25"/>
    <n v="7.25"/>
    <n v="-11"/>
    <n v="7.25"/>
    <n v="0"/>
    <m/>
    <m/>
  </r>
  <r>
    <x v="7"/>
    <x v="9"/>
    <x v="3"/>
    <x v="3"/>
    <n v="-0.25"/>
    <n v="7.25"/>
    <n v="7"/>
    <n v="-7"/>
    <n v="7.1375000000000002"/>
    <n v="-0.13750000000000001"/>
    <m/>
    <m/>
  </r>
  <r>
    <x v="7"/>
    <x v="10"/>
    <x v="3"/>
    <x v="3"/>
    <n v="0"/>
    <n v="7"/>
    <n v="7"/>
    <n v="-3.5"/>
    <n v="7"/>
    <n v="0"/>
    <m/>
    <m/>
  </r>
  <r>
    <x v="7"/>
    <x v="11"/>
    <x v="3"/>
    <x v="3"/>
    <n v="0"/>
    <n v="7"/>
    <n v="7"/>
    <n v="-10.5"/>
    <n v="7"/>
    <n v="0"/>
    <m/>
    <m/>
  </r>
  <r>
    <x v="7"/>
    <x v="0"/>
    <x v="0"/>
    <x v="3"/>
    <n v="0"/>
    <n v="7"/>
    <n v="7"/>
    <n v="-1.5"/>
    <n v="7"/>
    <n v="0"/>
    <m/>
    <m/>
  </r>
  <r>
    <x v="7"/>
    <x v="1"/>
    <x v="0"/>
    <x v="3"/>
    <n v="0"/>
    <n v="7"/>
    <n v="7"/>
    <n v="7.5"/>
    <n v="7"/>
    <n v="0"/>
    <m/>
    <m/>
  </r>
  <r>
    <x v="7"/>
    <x v="2"/>
    <x v="0"/>
    <x v="3"/>
    <n v="0"/>
    <n v="7"/>
    <n v="7"/>
    <n v="2"/>
    <n v="7"/>
    <n v="0"/>
    <m/>
    <m/>
  </r>
  <r>
    <x v="7"/>
    <x v="3"/>
    <x v="1"/>
    <x v="3"/>
    <n v="0"/>
    <n v="7"/>
    <n v="7"/>
    <n v="4"/>
    <n v="7"/>
    <n v="0"/>
    <m/>
    <m/>
  </r>
  <r>
    <x v="7"/>
    <x v="4"/>
    <x v="1"/>
    <x v="3"/>
    <n v="0"/>
    <n v="7"/>
    <n v="7"/>
    <n v="0"/>
    <n v="7"/>
    <n v="0"/>
    <m/>
    <m/>
  </r>
  <r>
    <x v="7"/>
    <x v="5"/>
    <x v="1"/>
    <x v="3"/>
    <n v="0"/>
    <n v="7"/>
    <n v="7"/>
    <n v="-0.5"/>
    <n v="7"/>
    <n v="0"/>
    <m/>
    <m/>
  </r>
  <r>
    <x v="8"/>
    <x v="6"/>
    <x v="2"/>
    <x v="3"/>
    <n v="0"/>
    <n v="7"/>
    <n v="7"/>
    <n v="8"/>
    <n v="7"/>
    <n v="0"/>
    <m/>
    <m/>
  </r>
  <r>
    <x v="8"/>
    <x v="7"/>
    <x v="2"/>
    <x v="3"/>
    <n v="0"/>
    <n v="7"/>
    <n v="7"/>
    <n v="10.5"/>
    <n v="7.0131600000000001"/>
    <n v="-1.316E-2"/>
    <m/>
    <m/>
  </r>
  <r>
    <x v="8"/>
    <x v="8"/>
    <x v="2"/>
    <x v="3"/>
    <n v="0"/>
    <n v="7"/>
    <n v="7"/>
    <n v="8"/>
    <n v="7"/>
    <n v="0"/>
    <m/>
    <m/>
  </r>
  <r>
    <x v="8"/>
    <x v="9"/>
    <x v="3"/>
    <x v="3"/>
    <n v="0.25"/>
    <n v="7"/>
    <n v="7.25"/>
    <n v="25.5"/>
    <n v="7"/>
    <n v="0.25"/>
    <m/>
    <m/>
  </r>
  <r>
    <x v="8"/>
    <x v="10"/>
    <x v="3"/>
    <x v="3"/>
    <n v="0"/>
    <n v="7.25"/>
    <n v="7.25"/>
    <n v="-1"/>
    <n v="7.3194400000000002"/>
    <n v="-6.9440000000000002E-2"/>
    <m/>
    <m/>
  </r>
  <r>
    <x v="8"/>
    <x v="11"/>
    <x v="3"/>
    <x v="3"/>
    <n v="0"/>
    <n v="7.25"/>
    <n v="7.25"/>
    <n v="-6"/>
    <n v="7.2941200000000004"/>
    <n v="-4.4119999999999999E-2"/>
    <m/>
    <m/>
  </r>
  <r>
    <x v="8"/>
    <x v="0"/>
    <x v="0"/>
    <x v="3"/>
    <n v="0"/>
    <n v="7.25"/>
    <n v="7.25"/>
    <n v="-3"/>
    <n v="7.3068200000000001"/>
    <n v="-5.6820000000000002E-2"/>
    <m/>
    <m/>
  </r>
  <r>
    <x v="8"/>
    <x v="1"/>
    <x v="0"/>
    <x v="3"/>
    <n v="0"/>
    <n v="7.25"/>
    <n v="7.25"/>
    <n v="-0.5"/>
    <n v="7.2685199999999996"/>
    <n v="-1.8519999999999998E-2"/>
    <m/>
    <m/>
  </r>
  <r>
    <x v="8"/>
    <x v="2"/>
    <x v="0"/>
    <x v="3"/>
    <n v="0"/>
    <n v="7.25"/>
    <n v="7.25"/>
    <n v="3"/>
    <n v="7.2604199999999999"/>
    <n v="-1.042E-2"/>
    <m/>
    <m/>
  </r>
  <r>
    <x v="8"/>
    <x v="3"/>
    <x v="1"/>
    <x v="3"/>
    <n v="0.25"/>
    <n v="7.25"/>
    <n v="7.5"/>
    <n v="7"/>
    <n v="7.3103400000000001"/>
    <n v="0.18966"/>
    <m/>
    <m/>
  </r>
  <r>
    <x v="8"/>
    <x v="4"/>
    <x v="1"/>
    <x v="3"/>
    <n v="0"/>
    <n v="7.5"/>
    <n v="7.5"/>
    <n v="-3"/>
    <n v="7.5108699999999997"/>
    <n v="-1.0869999999999999E-2"/>
    <m/>
    <m/>
  </r>
  <r>
    <x v="8"/>
    <x v="5"/>
    <x v="1"/>
    <x v="3"/>
    <n v="0"/>
    <n v="7.5"/>
    <n v="7.5"/>
    <n v="2"/>
    <n v="7.5"/>
    <n v="0"/>
    <m/>
    <m/>
  </r>
  <r>
    <x v="9"/>
    <x v="6"/>
    <x v="2"/>
    <x v="3"/>
    <n v="0"/>
    <n v="7.5"/>
    <n v="7.5"/>
    <n v="-2.5"/>
    <n v="7.5"/>
    <n v="0"/>
    <m/>
    <m/>
  </r>
  <r>
    <x v="9"/>
    <x v="7"/>
    <x v="2"/>
    <x v="3"/>
    <n v="0"/>
    <n v="7.5"/>
    <n v="7.5"/>
    <n v="-2"/>
    <n v="7.5"/>
    <n v="0"/>
    <m/>
    <m/>
  </r>
  <r>
    <x v="9"/>
    <x v="8"/>
    <x v="2"/>
    <x v="3"/>
    <n v="0"/>
    <n v="7.5"/>
    <n v="7.5"/>
    <n v="-6"/>
    <n v="7.4868399999999999"/>
    <n v="1.316E-2"/>
    <m/>
    <m/>
  </r>
  <r>
    <x v="9"/>
    <x v="9"/>
    <x v="3"/>
    <x v="3"/>
    <n v="0"/>
    <n v="7.5"/>
    <n v="7.5"/>
    <n v="7.3000002000000004"/>
    <n v="7.4814800000000004"/>
    <n v="1.8519999999999998E-2"/>
    <m/>
    <m/>
  </r>
  <r>
    <x v="9"/>
    <x v="10"/>
    <x v="3"/>
    <x v="3"/>
    <n v="0"/>
    <n v="7.5"/>
    <n v="7.5"/>
    <n v="-3"/>
    <n v="7.5"/>
    <n v="0"/>
    <m/>
    <m/>
  </r>
  <r>
    <x v="9"/>
    <x v="11"/>
    <x v="3"/>
    <x v="3"/>
    <n v="0.25"/>
    <n v="7.5"/>
    <n v="7.75"/>
    <n v="8"/>
    <n v="7.5769200000000003"/>
    <n v="0.17308000000000001"/>
    <m/>
    <m/>
  </r>
  <r>
    <x v="9"/>
    <x v="0"/>
    <x v="0"/>
    <x v="3"/>
    <n v="0"/>
    <n v="8"/>
    <n v="8"/>
    <n v="16"/>
    <n v="7.9375"/>
    <n v="6.25E-2"/>
    <m/>
    <m/>
  </r>
  <r>
    <x v="9"/>
    <x v="1"/>
    <x v="0"/>
    <x v="3"/>
    <n v="0"/>
    <n v="8.25"/>
    <n v="8.25"/>
    <n v="-13.9"/>
    <n v="8.1999999999999993"/>
    <n v="0.05"/>
    <m/>
    <m/>
  </r>
  <r>
    <x v="9"/>
    <x v="2"/>
    <x v="0"/>
    <x v="3"/>
    <n v="0"/>
    <n v="8.25"/>
    <n v="8.25"/>
    <n v="-14.4"/>
    <n v="8.2608700000000006"/>
    <n v="-1.0869999999999999E-2"/>
    <m/>
    <m/>
  </r>
  <r>
    <x v="9"/>
    <x v="3"/>
    <x v="1"/>
    <x v="3"/>
    <n v="0"/>
    <n v="8.25"/>
    <n v="8.25"/>
    <n v="-2.0999998999999998"/>
    <n v="8.2249999999999996"/>
    <n v="2.5000000000000001E-2"/>
    <m/>
    <m/>
  </r>
  <r>
    <x v="9"/>
    <x v="4"/>
    <x v="1"/>
    <x v="3"/>
    <n v="0"/>
    <n v="8.25"/>
    <n v="8.25"/>
    <n v="0"/>
    <n v="8.2065199999999994"/>
    <n v="4.3479999999999998E-2"/>
    <m/>
    <m/>
  </r>
  <r>
    <x v="9"/>
    <x v="5"/>
    <x v="1"/>
    <x v="3"/>
    <n v="0"/>
    <n v="8.25"/>
    <n v="8.25"/>
    <n v="0"/>
    <n v="8.25"/>
    <n v="0"/>
    <m/>
    <m/>
  </r>
  <r>
    <x v="10"/>
    <x v="6"/>
    <x v="2"/>
    <x v="3"/>
    <n v="0"/>
    <n v="7.75"/>
    <n v="7.75"/>
    <n v="0.60000001999999997"/>
    <n v="7.8796299999999997"/>
    <n v="-0.12963"/>
    <m/>
    <m/>
  </r>
  <r>
    <x v="10"/>
    <x v="7"/>
    <x v="2"/>
    <x v="3"/>
    <n v="0.25"/>
    <n v="7.25"/>
    <n v="7.5"/>
    <n v="52.599997999999999"/>
    <n v="7.3020800000000001"/>
    <n v="0.19792000000000001"/>
    <m/>
    <m/>
  </r>
  <r>
    <x v="10"/>
    <x v="8"/>
    <x v="2"/>
    <x v="3"/>
    <n v="-0.5"/>
    <n v="7.25"/>
    <n v="6.75"/>
    <n v="-57.5"/>
    <n v="7.1847799999999999"/>
    <n v="-0.43478"/>
    <m/>
    <m/>
  </r>
  <r>
    <x v="10"/>
    <x v="9"/>
    <x v="3"/>
    <x v="3"/>
    <n v="-0.25"/>
    <n v="6.25"/>
    <n v="6"/>
    <n v="-13.3"/>
    <n v="6.1203700000000003"/>
    <n v="-0.12037"/>
    <m/>
    <m/>
  </r>
  <r>
    <x v="10"/>
    <x v="10"/>
    <x v="3"/>
    <x v="3"/>
    <n v="0"/>
    <n v="5.25"/>
    <n v="5.25"/>
    <n v="7"/>
    <n v="5.28125"/>
    <n v="-3.125E-2"/>
    <m/>
    <m/>
  </r>
  <r>
    <x v="10"/>
    <x v="11"/>
    <x v="3"/>
    <x v="3"/>
    <n v="0"/>
    <n v="4.75"/>
    <n v="4.75"/>
    <n v="1.5"/>
    <n v="4.7692300000000003"/>
    <n v="-1.9230000000000001E-2"/>
    <m/>
    <m/>
  </r>
  <r>
    <x v="10"/>
    <x v="0"/>
    <x v="0"/>
    <x v="3"/>
    <n v="0"/>
    <n v="4.5"/>
    <n v="4.5"/>
    <n v="5"/>
    <n v="4.5"/>
    <n v="0"/>
    <m/>
    <m/>
  </r>
  <r>
    <x v="10"/>
    <x v="1"/>
    <x v="0"/>
    <x v="3"/>
    <n v="0"/>
    <n v="4.5"/>
    <n v="4.5"/>
    <n v="1.5"/>
    <n v="4.5"/>
    <n v="0"/>
    <m/>
    <m/>
  </r>
  <r>
    <x v="10"/>
    <x v="2"/>
    <x v="0"/>
    <x v="3"/>
    <n v="0"/>
    <n v="4.5"/>
    <n v="4.5"/>
    <n v="9"/>
    <n v="4.5"/>
    <n v="0"/>
    <m/>
    <m/>
  </r>
  <r>
    <x v="10"/>
    <x v="3"/>
    <x v="1"/>
    <x v="3"/>
    <n v="0"/>
    <n v="4.5"/>
    <n v="4.5"/>
    <n v="-1"/>
    <n v="4.5"/>
    <n v="0"/>
    <m/>
    <m/>
  </r>
  <r>
    <x v="10"/>
    <x v="4"/>
    <x v="1"/>
    <x v="3"/>
    <n v="0"/>
    <n v="4.5"/>
    <n v="4.5"/>
    <n v="1.9"/>
    <n v="4.5"/>
    <n v="0"/>
    <m/>
    <m/>
  </r>
  <r>
    <x v="10"/>
    <x v="5"/>
    <x v="1"/>
    <x v="3"/>
    <n v="0"/>
    <n v="4.5"/>
    <n v="4.5"/>
    <n v="0"/>
    <n v="4.5"/>
    <n v="0"/>
    <m/>
    <m/>
  </r>
  <r>
    <x v="11"/>
    <x v="6"/>
    <x v="2"/>
    <x v="3"/>
    <n v="0"/>
    <n v="4.5"/>
    <n v="4.5"/>
    <n v="2"/>
    <n v="4.5"/>
    <n v="0"/>
    <m/>
    <m/>
  </r>
  <r>
    <x v="11"/>
    <x v="7"/>
    <x v="2"/>
    <x v="3"/>
    <n v="0"/>
    <n v="4.5"/>
    <n v="4.5"/>
    <n v="3"/>
    <n v="4.5"/>
    <n v="0"/>
    <m/>
    <m/>
  </r>
  <r>
    <x v="11"/>
    <x v="8"/>
    <x v="2"/>
    <x v="3"/>
    <n v="0"/>
    <n v="4.5"/>
    <n v="4.5"/>
    <n v="1"/>
    <n v="4.5"/>
    <n v="0"/>
    <m/>
    <m/>
  </r>
  <r>
    <x v="11"/>
    <x v="9"/>
    <x v="3"/>
    <x v="3"/>
    <n v="0"/>
    <n v="4.5"/>
    <n v="4.5"/>
    <n v="-3"/>
    <n v="4.5"/>
    <n v="0"/>
    <m/>
    <m/>
  </r>
  <r>
    <x v="11"/>
    <x v="10"/>
    <x v="3"/>
    <x v="3"/>
    <n v="0"/>
    <n v="4.5"/>
    <n v="4.5"/>
    <n v="-2"/>
    <n v="4.5"/>
    <n v="0"/>
    <m/>
    <m/>
  </r>
  <r>
    <x v="11"/>
    <x v="11"/>
    <x v="3"/>
    <x v="3"/>
    <n v="0"/>
    <n v="4.5"/>
    <n v="4.5"/>
    <n v="0"/>
    <n v="4.5"/>
    <n v="0"/>
    <m/>
    <m/>
  </r>
  <r>
    <x v="11"/>
    <x v="0"/>
    <x v="0"/>
    <x v="3"/>
    <n v="0"/>
    <n v="4.5"/>
    <n v="4.5"/>
    <n v="-0.5"/>
    <n v="4.5"/>
    <n v="0"/>
    <m/>
    <m/>
  </r>
  <r>
    <x v="11"/>
    <x v="1"/>
    <x v="0"/>
    <x v="3"/>
    <n v="0"/>
    <n v="4.5"/>
    <n v="4.5"/>
    <n v="-4"/>
    <n v="4.5"/>
    <n v="0"/>
    <m/>
    <m/>
  </r>
  <r>
    <x v="11"/>
    <x v="2"/>
    <x v="0"/>
    <x v="3"/>
    <n v="0"/>
    <n v="4.5"/>
    <n v="4.5"/>
    <n v="17.5"/>
    <n v="4.5"/>
    <n v="0"/>
    <m/>
    <m/>
  </r>
  <r>
    <x v="11"/>
    <x v="3"/>
    <x v="1"/>
    <x v="3"/>
    <n v="0"/>
    <n v="4.5"/>
    <n v="4.5"/>
    <n v="-2.5"/>
    <n v="4.5"/>
    <n v="0"/>
    <m/>
    <m/>
  </r>
  <r>
    <x v="11"/>
    <x v="4"/>
    <x v="1"/>
    <x v="3"/>
    <n v="0"/>
    <n v="4.5"/>
    <n v="4.5"/>
    <n v="8.3500004000000008"/>
    <n v="4.5"/>
    <n v="0"/>
    <m/>
    <m/>
  </r>
  <r>
    <x v="11"/>
    <x v="5"/>
    <x v="1"/>
    <x v="3"/>
    <n v="0"/>
    <n v="4.5"/>
    <n v="4.5"/>
    <n v="0"/>
    <n v="4.5"/>
    <n v="0"/>
    <m/>
    <m/>
  </r>
  <r>
    <x v="12"/>
    <x v="6"/>
    <x v="2"/>
    <x v="3"/>
    <n v="0"/>
    <n v="4.5"/>
    <n v="4.5"/>
    <n v="-4"/>
    <n v="4.5"/>
    <n v="0"/>
    <m/>
    <m/>
  </r>
  <r>
    <x v="12"/>
    <x v="7"/>
    <x v="2"/>
    <x v="3"/>
    <n v="0"/>
    <n v="4.5"/>
    <n v="4.5"/>
    <n v="0"/>
    <n v="4.5"/>
    <n v="0"/>
    <m/>
    <m/>
  </r>
  <r>
    <x v="12"/>
    <x v="8"/>
    <x v="2"/>
    <x v="3"/>
    <n v="0"/>
    <n v="4.5"/>
    <n v="4.5"/>
    <n v="-2.0999998999999998"/>
    <n v="4.5"/>
    <n v="0"/>
    <m/>
    <m/>
  </r>
  <r>
    <x v="12"/>
    <x v="9"/>
    <x v="3"/>
    <x v="3"/>
    <n v="0"/>
    <n v="4.5"/>
    <n v="4.5"/>
    <n v="-0.89999998000000003"/>
    <n v="4.5"/>
    <n v="0"/>
    <m/>
    <m/>
  </r>
  <r>
    <x v="12"/>
    <x v="10"/>
    <x v="3"/>
    <x v="3"/>
    <n v="0"/>
    <n v="4.5"/>
    <n v="4.5"/>
    <n v="0"/>
    <n v="4.5"/>
    <n v="0"/>
    <m/>
    <m/>
  </r>
  <r>
    <x v="12"/>
    <x v="11"/>
    <x v="3"/>
    <x v="3"/>
    <n v="0"/>
    <n v="4.5"/>
    <n v="4.5"/>
    <n v="0"/>
    <n v="4.5"/>
    <n v="0"/>
    <m/>
    <m/>
  </r>
  <r>
    <x v="12"/>
    <x v="0"/>
    <x v="0"/>
    <x v="3"/>
    <n v="0"/>
    <n v="4.5"/>
    <n v="4.5"/>
    <n v="-3.5"/>
    <n v="4.5"/>
    <n v="0"/>
    <m/>
    <m/>
  </r>
  <r>
    <x v="12"/>
    <x v="1"/>
    <x v="0"/>
    <x v="3"/>
    <n v="0"/>
    <n v="4.5"/>
    <n v="4.5"/>
    <n v="-17"/>
    <n v="4.5"/>
    <n v="0"/>
    <m/>
    <m/>
  </r>
  <r>
    <x v="12"/>
    <x v="2"/>
    <x v="0"/>
    <x v="3"/>
    <n v="0"/>
    <n v="4.5"/>
    <n v="4.5"/>
    <n v="0"/>
    <n v="4.5"/>
    <n v="0"/>
    <m/>
    <m/>
  </r>
  <r>
    <x v="12"/>
    <x v="3"/>
    <x v="1"/>
    <x v="3"/>
    <n v="0"/>
    <n v="4.5"/>
    <n v="4.5"/>
    <n v="-3.7"/>
    <n v="4.4558799999999996"/>
    <n v="4.4119999999999999E-2"/>
    <m/>
    <m/>
  </r>
  <r>
    <x v="12"/>
    <x v="4"/>
    <x v="1"/>
    <x v="3"/>
    <n v="0"/>
    <n v="4.5"/>
    <n v="4.5"/>
    <n v="0"/>
    <n v="4.5"/>
    <n v="0"/>
    <m/>
    <m/>
  </r>
  <r>
    <x v="12"/>
    <x v="5"/>
    <x v="1"/>
    <x v="3"/>
    <n v="0"/>
    <n v="4.5"/>
    <n v="4.5"/>
    <n v="9.8000001999999995"/>
    <n v="4.4886400000000002"/>
    <n v="1.136E-2"/>
    <m/>
    <m/>
  </r>
  <r>
    <x v="13"/>
    <x v="6"/>
    <x v="2"/>
    <x v="3"/>
    <n v="0"/>
    <n v="4.5"/>
    <n v="4.5"/>
    <n v="-4.5"/>
    <n v="4.5"/>
    <n v="0"/>
    <m/>
    <m/>
  </r>
  <r>
    <x v="13"/>
    <x v="7"/>
    <x v="2"/>
    <x v="3"/>
    <n v="0"/>
    <n v="4.5"/>
    <n v="4.5"/>
    <n v="0"/>
    <n v="4.5"/>
    <n v="0"/>
    <m/>
    <m/>
  </r>
  <r>
    <x v="13"/>
    <x v="8"/>
    <x v="2"/>
    <x v="3"/>
    <n v="0"/>
    <n v="4.5"/>
    <n v="4.5"/>
    <n v="-0.80000000999999998"/>
    <n v="4.5"/>
    <n v="0"/>
    <m/>
    <m/>
  </r>
  <r>
    <x v="13"/>
    <x v="9"/>
    <x v="3"/>
    <x v="3"/>
    <n v="0"/>
    <n v="4.5"/>
    <n v="4.5"/>
    <n v="25"/>
    <n v="4.4545500000000002"/>
    <n v="4.5449999999999997E-2"/>
    <m/>
    <m/>
  </r>
  <r>
    <x v="13"/>
    <x v="10"/>
    <x v="3"/>
    <x v="3"/>
    <n v="0"/>
    <n v="4.5"/>
    <n v="4.5"/>
    <n v="0"/>
    <n v="4.5"/>
    <n v="0"/>
    <m/>
    <m/>
  </r>
  <r>
    <x v="13"/>
    <x v="11"/>
    <x v="3"/>
    <x v="3"/>
    <n v="0"/>
    <n v="4.5"/>
    <n v="4.5"/>
    <n v="-1.5"/>
    <n v="4.5"/>
    <n v="0"/>
    <m/>
    <m/>
  </r>
  <r>
    <x v="13"/>
    <x v="0"/>
    <x v="0"/>
    <x v="3"/>
    <n v="0"/>
    <n v="4.5"/>
    <n v="4.5"/>
    <n v="0.5"/>
    <n v="4.5"/>
    <n v="0"/>
    <m/>
    <m/>
  </r>
  <r>
    <x v="13"/>
    <x v="1"/>
    <x v="0"/>
    <x v="3"/>
    <n v="0"/>
    <n v="4.5"/>
    <n v="4.5"/>
    <n v="0"/>
    <n v="4.5"/>
    <n v="0"/>
    <m/>
    <m/>
  </r>
  <r>
    <x v="13"/>
    <x v="2"/>
    <x v="0"/>
    <x v="3"/>
    <n v="0"/>
    <n v="4.5"/>
    <n v="4.5"/>
    <n v="3.5"/>
    <n v="4.5"/>
    <n v="0"/>
    <m/>
    <m/>
  </r>
  <r>
    <x v="13"/>
    <x v="3"/>
    <x v="1"/>
    <x v="3"/>
    <n v="0"/>
    <n v="4.5"/>
    <n v="4.5"/>
    <n v="4"/>
    <n v="4.5113599999999998"/>
    <n v="-1.136E-2"/>
    <m/>
    <m/>
  </r>
  <r>
    <x v="13"/>
    <x v="4"/>
    <x v="1"/>
    <x v="3"/>
    <n v="0"/>
    <n v="4.5"/>
    <n v="4.5"/>
    <n v="-3.5"/>
    <n v="4.5113599999999998"/>
    <n v="-1.136E-2"/>
    <m/>
    <m/>
  </r>
  <r>
    <x v="13"/>
    <x v="5"/>
    <x v="1"/>
    <x v="3"/>
    <n v="0"/>
    <n v="4.5"/>
    <n v="4.5"/>
    <n v="0"/>
    <n v="4.5"/>
    <n v="0"/>
    <m/>
    <m/>
  </r>
  <r>
    <x v="14"/>
    <x v="6"/>
    <x v="2"/>
    <x v="3"/>
    <n v="0"/>
    <n v="4.5"/>
    <n v="4.5"/>
    <n v="-8"/>
    <n v="4.5"/>
    <n v="0"/>
    <m/>
    <m/>
  </r>
  <r>
    <x v="14"/>
    <x v="7"/>
    <x v="2"/>
    <x v="3"/>
    <n v="0"/>
    <n v="4.5"/>
    <n v="4.5"/>
    <n v="0"/>
    <n v="4.5"/>
    <n v="0"/>
    <m/>
    <m/>
  </r>
  <r>
    <x v="14"/>
    <x v="8"/>
    <x v="2"/>
    <x v="3"/>
    <n v="-0.5"/>
    <n v="4.5"/>
    <n v="4"/>
    <n v="-7"/>
    <n v="4.3600000000000003"/>
    <n v="-0.36"/>
    <m/>
    <m/>
  </r>
  <r>
    <x v="14"/>
    <x v="9"/>
    <x v="3"/>
    <x v="3"/>
    <n v="0"/>
    <n v="4"/>
    <n v="4"/>
    <n v="2"/>
    <n v="4"/>
    <n v="0"/>
    <m/>
    <m/>
  </r>
  <r>
    <x v="14"/>
    <x v="10"/>
    <x v="3"/>
    <x v="3"/>
    <n v="0"/>
    <n v="4"/>
    <n v="4"/>
    <n v="0"/>
    <n v="4"/>
    <n v="0"/>
    <m/>
    <m/>
  </r>
  <r>
    <x v="14"/>
    <x v="11"/>
    <x v="3"/>
    <x v="3"/>
    <n v="0"/>
    <n v="4"/>
    <n v="4"/>
    <n v="3"/>
    <n v="4"/>
    <n v="0"/>
    <m/>
    <m/>
  </r>
  <r>
    <x v="14"/>
    <x v="0"/>
    <x v="0"/>
    <x v="3"/>
    <n v="0"/>
    <n v="4"/>
    <n v="4"/>
    <n v="0"/>
    <n v="4"/>
    <n v="0"/>
    <m/>
    <m/>
  </r>
  <r>
    <x v="14"/>
    <x v="1"/>
    <x v="0"/>
    <x v="3"/>
    <n v="0"/>
    <n v="4"/>
    <n v="4"/>
    <n v="0"/>
    <n v="4"/>
    <n v="0"/>
    <m/>
    <m/>
  </r>
  <r>
    <x v="14"/>
    <x v="2"/>
    <x v="0"/>
    <x v="3"/>
    <n v="-0.25"/>
    <n v="4"/>
    <n v="3.75"/>
    <n v="-31"/>
    <n v="3.9874999999999998"/>
    <n v="-0.23749999999999999"/>
    <m/>
    <m/>
  </r>
  <r>
    <x v="14"/>
    <x v="3"/>
    <x v="1"/>
    <x v="3"/>
    <n v="0"/>
    <n v="3.5"/>
    <n v="3.5"/>
    <n v="12"/>
    <n v="3.49038"/>
    <n v="9.6200000000000001E-3"/>
    <m/>
    <m/>
  </r>
  <r>
    <x v="14"/>
    <x v="4"/>
    <x v="1"/>
    <x v="3"/>
    <n v="0"/>
    <n v="3.5"/>
    <n v="3.5"/>
    <n v="0"/>
    <n v="3.5"/>
    <n v="0"/>
    <m/>
    <m/>
  </r>
  <r>
    <x v="14"/>
    <x v="5"/>
    <x v="1"/>
    <x v="3"/>
    <n v="0"/>
    <n v="3.5"/>
    <n v="3.5"/>
    <n v="0"/>
    <n v="3.5"/>
    <n v="0"/>
    <m/>
    <m/>
  </r>
  <r>
    <x v="15"/>
    <x v="6"/>
    <x v="2"/>
    <x v="3"/>
    <n v="0"/>
    <n v="3.5"/>
    <n v="3.5"/>
    <n v="-4"/>
    <n v="3.5"/>
    <n v="0"/>
    <m/>
    <m/>
  </r>
  <r>
    <x v="15"/>
    <x v="7"/>
    <x v="2"/>
    <x v="3"/>
    <n v="0"/>
    <n v="3.5"/>
    <n v="3.5"/>
    <n v="0"/>
    <n v="3.5"/>
    <n v="0"/>
    <m/>
    <m/>
  </r>
  <r>
    <x v="15"/>
    <x v="8"/>
    <x v="2"/>
    <x v="3"/>
    <n v="0"/>
    <n v="3.5"/>
    <n v="3.5"/>
    <n v="-2.5"/>
    <n v="3.5"/>
    <n v="0"/>
    <m/>
    <m/>
  </r>
  <r>
    <x v="15"/>
    <x v="9"/>
    <x v="3"/>
    <x v="3"/>
    <n v="0"/>
    <n v="3.5"/>
    <n v="3.5"/>
    <n v="2"/>
    <n v="3.5"/>
    <n v="0"/>
    <m/>
    <m/>
  </r>
  <r>
    <x v="15"/>
    <x v="10"/>
    <x v="3"/>
    <x v="3"/>
    <n v="0"/>
    <n v="3.5"/>
    <n v="3.5"/>
    <n v="0"/>
    <n v="3.5"/>
    <n v="0"/>
    <m/>
    <m/>
  </r>
  <r>
    <x v="15"/>
    <x v="11"/>
    <x v="3"/>
    <x v="3"/>
    <n v="-0.5"/>
    <n v="3.5"/>
    <n v="3"/>
    <n v="-45.5"/>
    <n v="3.5"/>
    <n v="-0.5"/>
    <m/>
    <m/>
  </r>
  <r>
    <x v="15"/>
    <x v="0"/>
    <x v="0"/>
    <x v="3"/>
    <n v="0"/>
    <n v="3"/>
    <n v="3"/>
    <n v="1"/>
    <n v="3"/>
    <n v="0"/>
    <m/>
    <m/>
  </r>
  <r>
    <x v="15"/>
    <x v="1"/>
    <x v="0"/>
    <x v="3"/>
    <n v="0"/>
    <n v="3"/>
    <n v="3"/>
    <n v="0"/>
    <n v="3"/>
    <n v="0"/>
    <m/>
    <m/>
  </r>
  <r>
    <x v="15"/>
    <x v="2"/>
    <x v="0"/>
    <x v="3"/>
    <n v="0"/>
    <n v="3"/>
    <n v="3"/>
    <n v="3"/>
    <n v="3"/>
    <n v="0"/>
    <m/>
    <m/>
  </r>
  <r>
    <x v="15"/>
    <x v="3"/>
    <x v="1"/>
    <x v="3"/>
    <n v="0"/>
    <n v="3"/>
    <n v="3"/>
    <n v="2"/>
    <n v="2.9907400000000002"/>
    <n v="9.2599999999999991E-3"/>
    <m/>
    <m/>
  </r>
  <r>
    <x v="15"/>
    <x v="4"/>
    <x v="1"/>
    <x v="3"/>
    <n v="0"/>
    <n v="3"/>
    <n v="3"/>
    <n v="0"/>
    <n v="3"/>
    <n v="0"/>
    <m/>
    <m/>
  </r>
  <r>
    <x v="15"/>
    <x v="5"/>
    <x v="1"/>
    <x v="3"/>
    <n v="0"/>
    <n v="3"/>
    <n v="3"/>
    <n v="9.5"/>
    <n v="2.98333"/>
    <n v="1.6670000000000001E-2"/>
    <m/>
    <m/>
  </r>
  <r>
    <x v="16"/>
    <x v="6"/>
    <x v="2"/>
    <x v="3"/>
    <n v="0"/>
    <n v="3"/>
    <n v="3"/>
    <n v="7"/>
    <n v="2.9916700000000001"/>
    <n v="8.3300000000000006E-3"/>
    <m/>
    <m/>
  </r>
  <r>
    <x v="16"/>
    <x v="7"/>
    <x v="2"/>
    <x v="3"/>
    <n v="0"/>
    <n v="3"/>
    <n v="3"/>
    <n v="0"/>
    <n v="3"/>
    <n v="0"/>
    <m/>
    <m/>
  </r>
  <r>
    <x v="16"/>
    <x v="8"/>
    <x v="2"/>
    <x v="3"/>
    <n v="0"/>
    <n v="3"/>
    <n v="3"/>
    <n v="3.2"/>
    <n v="3"/>
    <n v="0"/>
    <m/>
    <m/>
  </r>
  <r>
    <x v="16"/>
    <x v="9"/>
    <x v="3"/>
    <x v="3"/>
    <n v="0"/>
    <n v="3"/>
    <n v="3"/>
    <n v="1"/>
    <n v="3"/>
    <n v="0"/>
    <m/>
    <m/>
  </r>
  <r>
    <x v="16"/>
    <x v="10"/>
    <x v="3"/>
    <x v="3"/>
    <n v="0"/>
    <n v="3"/>
    <n v="3"/>
    <n v="0"/>
    <n v="3"/>
    <n v="0"/>
    <m/>
    <m/>
  </r>
  <r>
    <x v="16"/>
    <x v="11"/>
    <x v="3"/>
    <x v="3"/>
    <n v="0"/>
    <n v="3"/>
    <n v="3"/>
    <n v="-9.1999998000000005"/>
    <n v="3"/>
    <n v="0"/>
    <m/>
    <m/>
  </r>
  <r>
    <x v="16"/>
    <x v="0"/>
    <x v="0"/>
    <x v="3"/>
    <n v="0"/>
    <n v="3"/>
    <n v="3"/>
    <n v="-0.5"/>
    <n v="3"/>
    <n v="0"/>
    <m/>
    <m/>
  </r>
  <r>
    <x v="16"/>
    <x v="1"/>
    <x v="0"/>
    <x v="3"/>
    <n v="0"/>
    <n v="3"/>
    <n v="3"/>
    <n v="0"/>
    <n v="3"/>
    <n v="0"/>
    <m/>
    <m/>
  </r>
  <r>
    <x v="16"/>
    <x v="2"/>
    <x v="0"/>
    <x v="3"/>
    <n v="0"/>
    <n v="3"/>
    <n v="3"/>
    <n v="1"/>
    <n v="3"/>
    <n v="0"/>
    <m/>
    <m/>
  </r>
  <r>
    <x v="16"/>
    <x v="3"/>
    <x v="1"/>
    <x v="3"/>
    <n v="0"/>
    <n v="3"/>
    <n v="3"/>
    <n v="3.5"/>
    <n v="3"/>
    <n v="0"/>
    <m/>
    <m/>
  </r>
  <r>
    <x v="16"/>
    <x v="4"/>
    <x v="1"/>
    <x v="3"/>
    <n v="0"/>
    <n v="3"/>
    <n v="3"/>
    <n v="0"/>
    <n v="3"/>
    <n v="0"/>
    <m/>
    <m/>
  </r>
  <r>
    <x v="16"/>
    <x v="5"/>
    <x v="1"/>
    <x v="3"/>
    <n v="0"/>
    <n v="3.25"/>
    <n v="3.25"/>
    <n v="-2"/>
    <n v="3.2019199999999999"/>
    <n v="4.8079999999999998E-2"/>
    <m/>
    <m/>
  </r>
  <r>
    <x v="17"/>
    <x v="6"/>
    <x v="2"/>
    <x v="3"/>
    <n v="0"/>
    <n v="3.25"/>
    <n v="3.25"/>
    <n v="0"/>
    <n v="3.25"/>
    <n v="0"/>
    <m/>
    <m/>
  </r>
  <r>
    <x v="17"/>
    <x v="7"/>
    <x v="2"/>
    <x v="3"/>
    <n v="0"/>
    <n v="3.75"/>
    <n v="3.75"/>
    <n v="32"/>
    <n v="3.25"/>
    <n v="0.5"/>
    <m/>
    <m/>
  </r>
  <r>
    <x v="17"/>
    <x v="8"/>
    <x v="2"/>
    <x v="3"/>
    <n v="0"/>
    <n v="3.75"/>
    <n v="3.75"/>
    <n v="3.5"/>
    <n v="3.75"/>
    <n v="0"/>
    <m/>
    <m/>
  </r>
  <r>
    <x v="17"/>
    <x v="9"/>
    <x v="3"/>
    <x v="3"/>
    <n v="0"/>
    <n v="3.75"/>
    <n v="3.75"/>
    <n v="0"/>
    <n v="3.75"/>
    <n v="0"/>
    <m/>
    <m/>
  </r>
  <r>
    <x v="17"/>
    <x v="10"/>
    <x v="3"/>
    <x v="3"/>
    <n v="0"/>
    <n v="3.75"/>
    <n v="3.75"/>
    <n v="-2"/>
    <n v="3.75"/>
    <n v="0"/>
    <m/>
    <m/>
  </r>
  <r>
    <x v="17"/>
    <x v="11"/>
    <x v="3"/>
    <x v="3"/>
    <n v="0.25"/>
    <n v="4"/>
    <n v="4.25"/>
    <n v="14.5"/>
    <n v="3.9615399999999998"/>
    <n v="0.28845999999999999"/>
    <m/>
    <m/>
  </r>
  <r>
    <x v="17"/>
    <x v="0"/>
    <x v="0"/>
    <x v="3"/>
    <n v="0"/>
    <n v="4.25"/>
    <n v="4.25"/>
    <n v="0"/>
    <n v="4.25"/>
    <n v="0"/>
    <m/>
    <m/>
  </r>
  <r>
    <x v="17"/>
    <x v="1"/>
    <x v="0"/>
    <x v="3"/>
    <n v="0"/>
    <n v="4.25"/>
    <n v="4.25"/>
    <n v="-6.5"/>
    <n v="4.2678599999999998"/>
    <n v="-1.7860000000000001E-2"/>
    <m/>
    <m/>
  </r>
  <r>
    <x v="17"/>
    <x v="2"/>
    <x v="0"/>
    <x v="3"/>
    <n v="0"/>
    <n v="4.75"/>
    <n v="4.75"/>
    <n v="13"/>
    <n v="4.5277799999999999"/>
    <n v="0.22222"/>
    <m/>
    <m/>
  </r>
  <r>
    <x v="17"/>
    <x v="3"/>
    <x v="1"/>
    <x v="3"/>
    <n v="0"/>
    <n v="4.75"/>
    <n v="4.75"/>
    <n v="0"/>
    <n v="4.75"/>
    <n v="0"/>
    <m/>
    <m/>
  </r>
  <r>
    <x v="17"/>
    <x v="4"/>
    <x v="1"/>
    <x v="3"/>
    <n v="0"/>
    <n v="5.25"/>
    <n v="5.25"/>
    <n v="-10"/>
    <n v="5.3586999999999998"/>
    <n v="-0.1087"/>
    <m/>
    <m/>
  </r>
  <r>
    <x v="17"/>
    <x v="5"/>
    <x v="1"/>
    <x v="3"/>
    <n v="0.25"/>
    <n v="5.5"/>
    <n v="5.75"/>
    <n v="7.5"/>
    <n v="5.56731"/>
    <n v="0.18268999999999999"/>
    <m/>
    <m/>
  </r>
  <r>
    <x v="18"/>
    <x v="6"/>
    <x v="2"/>
    <x v="3"/>
    <n v="0"/>
    <n v="5.75"/>
    <n v="5.75"/>
    <n v="0"/>
    <n v="5.75"/>
    <n v="0"/>
    <m/>
    <m/>
  </r>
  <r>
    <x v="18"/>
    <x v="7"/>
    <x v="2"/>
    <x v="3"/>
    <n v="0"/>
    <n v="6.25"/>
    <n v="6.25"/>
    <n v="16"/>
    <n v="6.1666699999999999"/>
    <n v="8.3330000000000001E-2"/>
    <m/>
    <m/>
  </r>
  <r>
    <x v="18"/>
    <x v="8"/>
    <x v="2"/>
    <x v="3"/>
    <n v="0"/>
    <n v="6.5"/>
    <n v="6.5"/>
    <n v="-5"/>
    <n v="6.5769200000000003"/>
    <n v="-7.6920000000000002E-2"/>
    <m/>
    <m/>
  </r>
  <r>
    <x v="18"/>
    <x v="9"/>
    <x v="3"/>
    <x v="3"/>
    <n v="0"/>
    <n v="6.5"/>
    <n v="6.5"/>
    <n v="0"/>
    <n v="6.5"/>
    <n v="0"/>
    <m/>
    <m/>
  </r>
  <r>
    <x v="18"/>
    <x v="10"/>
    <x v="3"/>
    <x v="3"/>
    <n v="0.25"/>
    <n v="6.5"/>
    <n v="6.75"/>
    <n v="13"/>
    <n v="6.6015600000000001"/>
    <n v="0.14843999999999999"/>
    <m/>
    <m/>
  </r>
  <r>
    <x v="18"/>
    <x v="11"/>
    <x v="3"/>
    <x v="3"/>
    <n v="0"/>
    <n v="7"/>
    <n v="7"/>
    <n v="-18.5"/>
    <n v="6.9907399999999997"/>
    <n v="9.2599999999999991E-3"/>
    <m/>
    <m/>
  </r>
  <r>
    <x v="18"/>
    <x v="0"/>
    <x v="0"/>
    <x v="3"/>
    <n v="0"/>
    <n v="7"/>
    <n v="7"/>
    <n v="0"/>
    <n v="7"/>
    <n v="0"/>
    <m/>
    <m/>
  </r>
  <r>
    <x v="18"/>
    <x v="1"/>
    <x v="0"/>
    <x v="3"/>
    <n v="0"/>
    <n v="7"/>
    <n v="7"/>
    <n v="-7"/>
    <n v="7"/>
    <n v="0"/>
    <m/>
    <m/>
  </r>
  <r>
    <x v="18"/>
    <x v="2"/>
    <x v="0"/>
    <x v="3"/>
    <n v="0"/>
    <n v="7"/>
    <n v="7"/>
    <n v="2"/>
    <n v="7"/>
    <n v="0"/>
    <m/>
    <m/>
  </r>
  <r>
    <x v="18"/>
    <x v="3"/>
    <x v="1"/>
    <x v="3"/>
    <n v="0"/>
    <n v="7"/>
    <n v="7"/>
    <n v="0"/>
    <n v="7"/>
    <n v="0"/>
    <m/>
    <m/>
  </r>
  <r>
    <x v="18"/>
    <x v="4"/>
    <x v="1"/>
    <x v="3"/>
    <n v="0"/>
    <n v="7"/>
    <n v="7"/>
    <n v="-0.69999999000000002"/>
    <n v="7"/>
    <n v="0"/>
    <m/>
    <m/>
  </r>
  <r>
    <x v="18"/>
    <x v="5"/>
    <x v="1"/>
    <x v="3"/>
    <n v="0"/>
    <n v="7.25"/>
    <n v="7.25"/>
    <n v="4"/>
    <n v="7.1634599999999997"/>
    <n v="8.6540000000000006E-2"/>
    <m/>
    <m/>
  </r>
  <r>
    <x v="19"/>
    <x v="6"/>
    <x v="2"/>
    <x v="3"/>
    <n v="0"/>
    <n v="7.25"/>
    <n v="7.25"/>
    <n v="0"/>
    <n v="7.25"/>
    <n v="0"/>
    <m/>
    <m/>
  </r>
  <r>
    <x v="19"/>
    <x v="7"/>
    <x v="2"/>
    <x v="3"/>
    <n v="0"/>
    <n v="7.5"/>
    <n v="7.5"/>
    <n v="14"/>
    <n v="7.4711499999999997"/>
    <n v="2.8850000000000001E-2"/>
    <m/>
    <m/>
  </r>
  <r>
    <x v="19"/>
    <x v="8"/>
    <x v="2"/>
    <x v="3"/>
    <n v="0"/>
    <n v="7.5"/>
    <n v="7.5"/>
    <n v="0"/>
    <n v="7.5"/>
    <n v="0"/>
    <m/>
    <m/>
  </r>
  <r>
    <x v="19"/>
    <x v="9"/>
    <x v="3"/>
    <x v="3"/>
    <n v="0"/>
    <n v="7.5"/>
    <n v="7.5"/>
    <n v="-0.5"/>
    <n v="7.5192300000000003"/>
    <n v="-1.9230000000000001E-2"/>
    <m/>
    <m/>
  </r>
  <r>
    <x v="19"/>
    <x v="10"/>
    <x v="3"/>
    <x v="3"/>
    <n v="0"/>
    <n v="7.5"/>
    <n v="7.5"/>
    <n v="-6.5"/>
    <n v="7.53261"/>
    <n v="-3.261E-2"/>
    <m/>
    <m/>
  </r>
  <r>
    <x v="19"/>
    <x v="11"/>
    <x v="3"/>
    <x v="3"/>
    <n v="0"/>
    <n v="7.75"/>
    <n v="7.75"/>
    <n v="6"/>
    <n v="7.7"/>
    <n v="0.05"/>
    <m/>
    <m/>
  </r>
  <r>
    <x v="19"/>
    <x v="0"/>
    <x v="0"/>
    <x v="3"/>
    <n v="0"/>
    <n v="7.75"/>
    <n v="7.75"/>
    <n v="0"/>
    <n v="7.75"/>
    <n v="0"/>
    <m/>
    <m/>
  </r>
  <r>
    <x v="19"/>
    <x v="1"/>
    <x v="0"/>
    <x v="3"/>
    <n v="0"/>
    <n v="7.75"/>
    <n v="7.75"/>
    <n v="-11"/>
    <n v="7.7980799999999997"/>
    <n v="-4.8079999999999998E-2"/>
    <m/>
    <m/>
  </r>
  <r>
    <x v="19"/>
    <x v="2"/>
    <x v="0"/>
    <x v="3"/>
    <n v="0"/>
    <n v="7.75"/>
    <n v="7.75"/>
    <n v="0"/>
    <n v="7.75"/>
    <n v="0"/>
    <m/>
    <m/>
  </r>
  <r>
    <x v="19"/>
    <x v="3"/>
    <x v="1"/>
    <x v="3"/>
    <n v="0"/>
    <n v="7.75"/>
    <n v="7.75"/>
    <n v="8.5"/>
    <n v="7.7678599999999998"/>
    <n v="-1.7860000000000001E-2"/>
    <m/>
    <m/>
  </r>
  <r>
    <x v="19"/>
    <x v="4"/>
    <x v="1"/>
    <x v="3"/>
    <n v="0"/>
    <n v="8"/>
    <n v="8"/>
    <n v="-6"/>
    <n v="7.9444400000000002"/>
    <n v="5.5559999999999998E-2"/>
    <m/>
    <m/>
  </r>
  <r>
    <x v="19"/>
    <x v="5"/>
    <x v="1"/>
    <x v="3"/>
    <n v="0"/>
    <n v="8.25"/>
    <n v="8.25"/>
    <n v="3"/>
    <n v="8.18"/>
    <n v="7.0000000000000007E-2"/>
    <m/>
    <m/>
  </r>
  <r>
    <x v="20"/>
    <x v="6"/>
    <x v="2"/>
    <x v="3"/>
    <n v="0"/>
    <n v="8.25"/>
    <n v="8.25"/>
    <n v="0"/>
    <n v="8.25"/>
    <n v="0"/>
    <m/>
    <m/>
  </r>
  <r>
    <x v="20"/>
    <x v="7"/>
    <x v="2"/>
    <x v="3"/>
    <n v="0"/>
    <n v="8.25"/>
    <n v="8.25"/>
    <n v="0"/>
    <n v="8.25"/>
    <n v="0"/>
    <m/>
    <m/>
  </r>
  <r>
    <x v="20"/>
    <x v="8"/>
    <x v="2"/>
    <x v="3"/>
    <n v="0"/>
    <n v="8.25"/>
    <n v="8.25"/>
    <n v="5.5"/>
    <n v="8.25"/>
    <n v="0"/>
    <m/>
    <m/>
  </r>
  <r>
    <x v="20"/>
    <x v="9"/>
    <x v="3"/>
    <x v="3"/>
    <n v="0"/>
    <n v="8.25"/>
    <n v="8.25"/>
    <n v="0"/>
    <n v="8.25"/>
    <n v="0"/>
    <m/>
    <m/>
  </r>
  <r>
    <x v="20"/>
    <x v="10"/>
    <x v="3"/>
    <x v="3"/>
    <n v="0"/>
    <n v="8.25"/>
    <n v="8.25"/>
    <n v="4.5"/>
    <n v="8.25"/>
    <n v="0"/>
    <m/>
    <m/>
  </r>
  <r>
    <x v="20"/>
    <x v="11"/>
    <x v="3"/>
    <x v="3"/>
    <n v="0"/>
    <n v="8.25"/>
    <n v="8.25"/>
    <n v="-10.5"/>
    <n v="8.25"/>
    <n v="0"/>
    <m/>
    <m/>
  </r>
  <r>
    <x v="20"/>
    <x v="0"/>
    <x v="0"/>
    <x v="3"/>
    <n v="0"/>
    <n v="8.25"/>
    <n v="8.25"/>
    <n v="0"/>
    <n v="8.25"/>
    <n v="0"/>
    <m/>
    <m/>
  </r>
  <r>
    <x v="20"/>
    <x v="1"/>
    <x v="0"/>
    <x v="3"/>
    <n v="-0.25"/>
    <n v="8.25"/>
    <n v="8"/>
    <n v="-18.5"/>
    <n v="8.1209699999999998"/>
    <n v="-0.12096999999999999"/>
    <m/>
    <m/>
  </r>
  <r>
    <x v="20"/>
    <x v="2"/>
    <x v="0"/>
    <x v="3"/>
    <n v="0"/>
    <n v="7.75"/>
    <n v="7.75"/>
    <n v="-14"/>
    <n v="7.74"/>
    <n v="0.01"/>
    <m/>
    <m/>
  </r>
  <r>
    <x v="20"/>
    <x v="3"/>
    <x v="1"/>
    <x v="3"/>
    <n v="0"/>
    <n v="7.75"/>
    <n v="7.75"/>
    <n v="0"/>
    <n v="7.75"/>
    <n v="0"/>
    <m/>
    <m/>
  </r>
  <r>
    <x v="20"/>
    <x v="4"/>
    <x v="1"/>
    <x v="3"/>
    <n v="0"/>
    <n v="7.5"/>
    <n v="7.5"/>
    <n v="5.1300001000000002"/>
    <n v="7.4134599999999997"/>
    <n v="8.6540000000000006E-2"/>
    <m/>
    <m/>
  </r>
  <r>
    <x v="20"/>
    <x v="5"/>
    <x v="1"/>
    <x v="3"/>
    <n v="0"/>
    <n v="7.25"/>
    <n v="7.25"/>
    <n v="12"/>
    <n v="7.2391300000000003"/>
    <n v="1.0869999999999999E-2"/>
    <m/>
    <m/>
  </r>
  <r>
    <x v="21"/>
    <x v="6"/>
    <x v="2"/>
    <x v="3"/>
    <n v="0"/>
    <n v="7.25"/>
    <n v="7.25"/>
    <n v="0"/>
    <n v="7.25"/>
    <n v="0"/>
    <m/>
    <m/>
  </r>
  <r>
    <x v="21"/>
    <x v="7"/>
    <x v="2"/>
    <x v="3"/>
    <n v="0"/>
    <n v="7"/>
    <n v="7"/>
    <n v="1"/>
    <n v="7"/>
    <n v="0"/>
    <m/>
    <m/>
  </r>
  <r>
    <x v="21"/>
    <x v="8"/>
    <x v="2"/>
    <x v="3"/>
    <n v="0"/>
    <n v="6.5"/>
    <n v="6.5"/>
    <n v="-46"/>
    <n v="6.5"/>
    <n v="0"/>
    <m/>
    <m/>
  </r>
  <r>
    <x v="21"/>
    <x v="9"/>
    <x v="3"/>
    <x v="3"/>
    <n v="0"/>
    <n v="6"/>
    <n v="6"/>
    <n v="-25"/>
    <n v="6"/>
    <n v="0"/>
    <m/>
    <m/>
  </r>
  <r>
    <x v="21"/>
    <x v="10"/>
    <x v="3"/>
    <x v="3"/>
    <n v="0"/>
    <n v="5.5"/>
    <n v="5.5"/>
    <n v="2"/>
    <n v="5.46591"/>
    <n v="3.4090000000000002E-2"/>
    <m/>
    <m/>
  </r>
  <r>
    <x v="21"/>
    <x v="11"/>
    <x v="3"/>
    <x v="3"/>
    <n v="0"/>
    <n v="5"/>
    <n v="5"/>
    <n v="-5.5"/>
    <n v="5"/>
    <n v="0"/>
    <m/>
    <m/>
  </r>
  <r>
    <x v="21"/>
    <x v="0"/>
    <x v="0"/>
    <x v="3"/>
    <n v="0"/>
    <n v="5"/>
    <n v="5"/>
    <n v="0"/>
    <n v="5"/>
    <n v="0"/>
    <m/>
    <m/>
  </r>
  <r>
    <x v="21"/>
    <x v="1"/>
    <x v="0"/>
    <x v="3"/>
    <n v="0"/>
    <n v="4.5"/>
    <n v="4.5"/>
    <n v="3"/>
    <n v="4.5208300000000001"/>
    <n v="-2.0830000000000001E-2"/>
    <m/>
    <m/>
  </r>
  <r>
    <x v="21"/>
    <x v="2"/>
    <x v="0"/>
    <x v="3"/>
    <n v="0"/>
    <n v="4.25"/>
    <n v="4.25"/>
    <n v="-5"/>
    <n v="4.28261"/>
    <n v="-3.261E-2"/>
    <m/>
    <m/>
  </r>
  <r>
    <x v="21"/>
    <x v="3"/>
    <x v="1"/>
    <x v="3"/>
    <n v="0"/>
    <n v="4.25"/>
    <n v="4.25"/>
    <n v="0"/>
    <n v="4.25"/>
    <n v="0"/>
    <m/>
    <m/>
  </r>
  <r>
    <x v="21"/>
    <x v="4"/>
    <x v="1"/>
    <x v="3"/>
    <n v="0.25"/>
    <n v="4"/>
    <n v="4.25"/>
    <n v="11.5"/>
    <n v="4.0681799999999999"/>
    <n v="0.18182000000000001"/>
    <m/>
    <m/>
  </r>
  <r>
    <x v="21"/>
    <x v="5"/>
    <x v="1"/>
    <x v="3"/>
    <n v="0"/>
    <n v="4.25"/>
    <n v="4.25"/>
    <n v="-4"/>
    <n v="4.2065200000000003"/>
    <n v="4.3479999999999998E-2"/>
    <m/>
    <m/>
  </r>
  <r>
    <x v="22"/>
    <x v="6"/>
    <x v="2"/>
    <x v="3"/>
    <n v="0"/>
    <n v="4.25"/>
    <n v="4.25"/>
    <n v="0"/>
    <n v="4.25"/>
    <n v="0"/>
    <m/>
    <m/>
  </r>
  <r>
    <x v="22"/>
    <x v="7"/>
    <x v="2"/>
    <x v="3"/>
    <n v="0"/>
    <n v="4"/>
    <n v="4"/>
    <n v="-12"/>
    <n v="4.0681799999999999"/>
    <n v="-6.8180000000000004E-2"/>
    <m/>
    <m/>
  </r>
  <r>
    <x v="22"/>
    <x v="8"/>
    <x v="2"/>
    <x v="3"/>
    <n v="0"/>
    <n v="4"/>
    <n v="4"/>
    <n v="-6"/>
    <n v="3.9270800000000001"/>
    <n v="7.2919999999999999E-2"/>
    <m/>
    <m/>
  </r>
  <r>
    <x v="22"/>
    <x v="9"/>
    <x v="3"/>
    <x v="3"/>
    <n v="0"/>
    <n v="4"/>
    <n v="4"/>
    <n v="0"/>
    <n v="4"/>
    <n v="0"/>
    <m/>
    <m/>
  </r>
  <r>
    <x v="22"/>
    <x v="10"/>
    <x v="3"/>
    <x v="3"/>
    <n v="0"/>
    <n v="4"/>
    <n v="4"/>
    <n v="-3"/>
    <n v="4"/>
    <n v="0"/>
    <m/>
    <m/>
  </r>
  <r>
    <x v="22"/>
    <x v="11"/>
    <x v="3"/>
    <x v="3"/>
    <n v="0.25"/>
    <n v="4"/>
    <n v="4.25"/>
    <n v="51"/>
    <n v="4"/>
    <n v="0.25"/>
    <m/>
    <m/>
  </r>
  <r>
    <x v="22"/>
    <x v="0"/>
    <x v="0"/>
    <x v="3"/>
    <n v="0"/>
    <n v="4.25"/>
    <n v="4.25"/>
    <n v="0"/>
    <n v="4.25"/>
    <n v="0"/>
    <m/>
    <m/>
  </r>
  <r>
    <x v="22"/>
    <x v="1"/>
    <x v="0"/>
    <x v="3"/>
    <n v="0"/>
    <n v="4.5"/>
    <n v="4.5"/>
    <n v="-6.5"/>
    <n v="4.5"/>
    <n v="0"/>
    <m/>
    <m/>
  </r>
  <r>
    <x v="22"/>
    <x v="2"/>
    <x v="0"/>
    <x v="3"/>
    <n v="0"/>
    <n v="4.75"/>
    <n v="4.75"/>
    <n v="-4.6999997999999996"/>
    <n v="4.74038"/>
    <n v="9.6200000000000001E-3"/>
    <m/>
    <m/>
  </r>
  <r>
    <x v="22"/>
    <x v="3"/>
    <x v="1"/>
    <x v="3"/>
    <n v="0"/>
    <n v="4.75"/>
    <n v="4.75"/>
    <n v="0"/>
    <n v="4.75"/>
    <n v="0"/>
    <m/>
    <m/>
  </r>
  <r>
    <x v="22"/>
    <x v="4"/>
    <x v="1"/>
    <x v="3"/>
    <n v="0"/>
    <n v="5"/>
    <n v="5"/>
    <n v="0"/>
    <n v="5.0769200000000003"/>
    <n v="-7.6920000000000002E-2"/>
    <m/>
    <m/>
  </r>
  <r>
    <x v="22"/>
    <x v="5"/>
    <x v="1"/>
    <x v="3"/>
    <n v="0.25"/>
    <n v="5.25"/>
    <n v="5.5"/>
    <n v="18"/>
    <n v="5.3269200000000003"/>
    <n v="0.17308000000000001"/>
    <m/>
    <m/>
  </r>
  <r>
    <x v="23"/>
    <x v="6"/>
    <x v="2"/>
    <x v="3"/>
    <n v="0"/>
    <n v="5.5"/>
    <n v="5.5"/>
    <n v="0"/>
    <n v="5.5"/>
    <n v="0"/>
    <m/>
    <m/>
  </r>
  <r>
    <x v="23"/>
    <x v="7"/>
    <x v="2"/>
    <x v="3"/>
    <n v="0"/>
    <n v="6"/>
    <n v="6"/>
    <n v="15.5"/>
    <n v="5.96591"/>
    <n v="3.4090000000000002E-2"/>
    <m/>
    <m/>
  </r>
  <r>
    <x v="23"/>
    <x v="8"/>
    <x v="2"/>
    <x v="3"/>
    <n v="0"/>
    <n v="6.5"/>
    <n v="6.5"/>
    <n v="-5.5"/>
    <n v="6.5104199999999999"/>
    <n v="-1.042E-2"/>
    <m/>
    <m/>
  </r>
  <r>
    <x v="23"/>
    <x v="9"/>
    <x v="3"/>
    <x v="3"/>
    <n v="0"/>
    <n v="6.5"/>
    <n v="6.5"/>
    <n v="0"/>
    <n v="6.5"/>
    <n v="0"/>
    <m/>
    <m/>
  </r>
  <r>
    <x v="23"/>
    <x v="10"/>
    <x v="3"/>
    <x v="3"/>
    <n v="0"/>
    <n v="7"/>
    <n v="7"/>
    <n v="6"/>
    <n v="7.0104199999999999"/>
    <n v="-1.042E-2"/>
    <m/>
    <m/>
  </r>
  <r>
    <x v="23"/>
    <x v="11"/>
    <x v="3"/>
    <x v="3"/>
    <n v="0"/>
    <n v="7.75"/>
    <n v="7.75"/>
    <n v="-9.5"/>
    <n v="7.75"/>
    <n v="0"/>
    <m/>
    <m/>
  </r>
  <r>
    <x v="23"/>
    <x v="0"/>
    <x v="0"/>
    <x v="3"/>
    <n v="0"/>
    <n v="7.75"/>
    <n v="7.75"/>
    <n v="0"/>
    <n v="7.75"/>
    <n v="0"/>
    <m/>
    <m/>
  </r>
  <r>
    <x v="23"/>
    <x v="1"/>
    <x v="0"/>
    <x v="3"/>
    <n v="0"/>
    <n v="8.5"/>
    <n v="8.5"/>
    <n v="1"/>
    <n v="8.5"/>
    <n v="0"/>
    <m/>
    <m/>
  </r>
  <r>
    <x v="23"/>
    <x v="2"/>
    <x v="0"/>
    <x v="3"/>
    <n v="0"/>
    <n v="9.25"/>
    <n v="9.25"/>
    <n v="3.5"/>
    <n v="9.25"/>
    <n v="0"/>
    <m/>
    <m/>
  </r>
  <r>
    <x v="23"/>
    <x v="3"/>
    <x v="1"/>
    <x v="3"/>
    <n v="0"/>
    <n v="9.25"/>
    <n v="9.25"/>
    <n v="0"/>
    <n v="9.25"/>
    <n v="0"/>
    <m/>
    <m/>
  </r>
  <r>
    <x v="23"/>
    <x v="4"/>
    <x v="1"/>
    <x v="3"/>
    <n v="0"/>
    <n v="10"/>
    <n v="10"/>
    <n v="-22"/>
    <n v="10"/>
    <n v="0"/>
    <m/>
    <m/>
  </r>
  <r>
    <x v="23"/>
    <x v="5"/>
    <x v="1"/>
    <x v="3"/>
    <n v="0"/>
    <n v="10.5"/>
    <n v="10.5"/>
    <n v="-1"/>
    <n v="10.5"/>
    <n v="0"/>
    <m/>
    <m/>
  </r>
  <r>
    <x v="24"/>
    <x v="6"/>
    <x v="2"/>
    <x v="3"/>
    <n v="0"/>
    <n v="10.5"/>
    <n v="10.5"/>
    <m/>
    <n v="10.5"/>
    <n v="0"/>
    <m/>
    <m/>
  </r>
  <r>
    <x v="24"/>
    <x v="7"/>
    <x v="2"/>
    <x v="3"/>
    <n v="0.25"/>
    <n v="10.75"/>
    <n v="11"/>
    <m/>
    <n v="10.75"/>
    <n v="0.25"/>
    <m/>
    <m/>
  </r>
  <r>
    <x v="24"/>
    <x v="8"/>
    <x v="2"/>
    <x v="3"/>
    <n v="0"/>
    <n v="11.25"/>
    <n v="11.25"/>
    <m/>
    <n v="11.258900000000001"/>
    <n v="-8.8999999999999999E-3"/>
    <m/>
    <m/>
  </r>
  <r>
    <x v="24"/>
    <x v="9"/>
    <x v="3"/>
    <x v="3"/>
    <n v="0"/>
    <n v="11.25"/>
    <n v="11.25"/>
    <m/>
    <n v="11.25"/>
    <n v="0"/>
    <m/>
    <m/>
  </r>
  <r>
    <x v="24"/>
    <x v="10"/>
    <x v="3"/>
    <x v="3"/>
    <n v="0"/>
    <n v="11.25"/>
    <n v="11.25"/>
    <m/>
    <n v="11.302099999999999"/>
    <n v="-5.21E-2"/>
    <m/>
    <m/>
  </r>
  <r>
    <x v="24"/>
    <x v="11"/>
    <x v="3"/>
    <x v="3"/>
    <n v="0"/>
    <n v="11.25"/>
    <n v="11.25"/>
    <m/>
    <n v="11.25"/>
    <n v="0"/>
    <m/>
    <m/>
  </r>
  <r>
    <x v="24"/>
    <x v="0"/>
    <x v="0"/>
    <x v="3"/>
    <n v="0"/>
    <n v="11.25"/>
    <n v="11.25"/>
    <m/>
    <n v="11.25"/>
    <n v="0"/>
    <m/>
    <m/>
  </r>
  <r>
    <x v="24"/>
    <x v="1"/>
    <x v="0"/>
    <x v="3"/>
    <n v="0"/>
    <n v="11.25"/>
    <n v="11.25"/>
    <m/>
    <n v="11.25"/>
    <n v="0"/>
    <m/>
    <m/>
  </r>
  <r>
    <x v="24"/>
    <x v="2"/>
    <x v="0"/>
    <x v="3"/>
    <n v="0"/>
    <n v="11.25"/>
    <n v="11.25"/>
    <m/>
    <n v="11.25"/>
    <n v="0"/>
    <m/>
    <m/>
  </r>
  <r>
    <x v="24"/>
    <x v="3"/>
    <x v="1"/>
    <x v="3"/>
    <n v="0"/>
    <n v="11.25"/>
    <n v="11.25"/>
    <m/>
    <n v="11.25"/>
    <n v="0"/>
    <m/>
    <m/>
  </r>
  <r>
    <x v="24"/>
    <x v="4"/>
    <x v="1"/>
    <x v="3"/>
    <n v="0"/>
    <n v="11.25"/>
    <n v="11.25"/>
    <m/>
    <n v="11.25"/>
    <n v="0"/>
    <m/>
    <m/>
  </r>
  <r>
    <x v="24"/>
    <x v="5"/>
    <x v="1"/>
    <x v="3"/>
    <n v="0"/>
    <n v="11.25"/>
    <n v="11.25"/>
    <m/>
    <n v="11.24"/>
    <n v="0.01"/>
    <m/>
    <m/>
  </r>
  <r>
    <x v="25"/>
    <x v="6"/>
    <x v="2"/>
    <x v="3"/>
    <n v="0"/>
    <n v="11.25"/>
    <n v="11.25"/>
    <m/>
    <n v="11.25"/>
    <n v="0"/>
    <m/>
    <m/>
  </r>
  <r>
    <x v="25"/>
    <x v="7"/>
    <x v="2"/>
    <x v="3"/>
    <n v="0"/>
    <n v="11.25"/>
    <n v="11.25"/>
    <m/>
    <n v="11.216699999999999"/>
    <n v="3.3300000000000003E-2"/>
    <m/>
    <m/>
  </r>
  <r>
    <x v="25"/>
    <x v="8"/>
    <x v="2"/>
    <x v="3"/>
    <n v="0"/>
    <n v="11"/>
    <n v="11"/>
    <m/>
    <n v="11.0259"/>
    <n v="-2.5899999999999999E-2"/>
    <m/>
    <m/>
  </r>
  <r>
    <x v="25"/>
    <x v="9"/>
    <x v="3"/>
    <x v="3"/>
    <n v="0"/>
    <n v="11"/>
    <n v="11"/>
    <m/>
    <n v="11"/>
    <n v="0"/>
    <m/>
    <m/>
  </r>
  <r>
    <x v="25"/>
    <x v="10"/>
    <x v="3"/>
    <x v="3"/>
    <n v="0"/>
    <n v="11"/>
    <n v="11"/>
    <m/>
    <n v="10.9833"/>
    <n v="1.67E-2"/>
    <m/>
    <m/>
  </r>
  <r>
    <x v="25"/>
    <x v="11"/>
    <x v="3"/>
    <x v="3"/>
    <n v="0"/>
    <n v="11"/>
    <n v="11"/>
    <m/>
    <n v="10.9815"/>
    <n v="1.8499999999999999E-2"/>
    <m/>
    <m/>
  </r>
  <r>
    <x v="25"/>
    <x v="0"/>
    <x v="0"/>
    <x v="3"/>
    <n v="0"/>
    <n v="11"/>
    <n v="11"/>
    <m/>
    <n v="11"/>
    <n v="0"/>
    <m/>
    <m/>
  </r>
  <r>
    <x v="25"/>
    <x v="1"/>
    <x v="0"/>
    <x v="3"/>
    <n v="0"/>
    <n v="10.75"/>
    <n v="10.75"/>
    <m/>
    <n v="10.870699999999999"/>
    <n v="-0.1207"/>
    <m/>
    <m/>
  </r>
  <r>
    <x v="25"/>
    <x v="2"/>
    <x v="0"/>
    <x v="3"/>
    <n v="0"/>
    <n v="10.5"/>
    <n v="10.5"/>
    <m/>
    <n v="10.466699999999999"/>
    <n v="3.3300000000000003E-2"/>
    <m/>
    <m/>
  </r>
  <r>
    <x v="25"/>
    <x v="3"/>
    <x v="1"/>
    <x v="3"/>
    <n v="0"/>
    <n v="10.5"/>
    <n v="10.5"/>
    <m/>
    <n v="10.5"/>
    <n v="0"/>
    <m/>
    <m/>
  </r>
  <r>
    <x v="25"/>
    <x v="4"/>
    <x v="1"/>
    <x v="3"/>
    <n v="0"/>
    <n v="10.25"/>
    <n v="10.25"/>
    <m/>
    <n v="10.2685"/>
    <n v="-1.8499999999999999E-2"/>
    <m/>
    <m/>
  </r>
  <r>
    <x v="25"/>
    <x v="5"/>
    <x v="1"/>
    <x v="3"/>
    <n v="0"/>
    <n v="10"/>
    <n v="10"/>
    <m/>
    <n v="9.9310299999999998"/>
    <n v="6.8970000000000004E-2"/>
    <m/>
    <m/>
  </r>
  <r>
    <x v="26"/>
    <x v="6"/>
    <x v="2"/>
    <x v="3"/>
    <n v="0"/>
    <n v="10"/>
    <n v="10"/>
    <m/>
    <n v="10"/>
    <n v="0"/>
    <m/>
    <m/>
  </r>
  <r>
    <x v="26"/>
    <x v="7"/>
    <x v="2"/>
    <x v="3"/>
    <n v="0"/>
    <n v="9.5"/>
    <n v="9.5"/>
    <m/>
    <n v="9.5480800000000006"/>
    <n v="-4.8079999999999998E-2"/>
    <m/>
    <m/>
  </r>
  <r>
    <x v="26"/>
    <x v="8"/>
    <x v="2"/>
    <x v="3"/>
    <n v="0"/>
    <n v="9"/>
    <n v="9"/>
    <m/>
    <n v="9.0166699999999995"/>
    <n v="-1.6670000000000001E-2"/>
    <m/>
    <m/>
  </r>
  <r>
    <x v="26"/>
    <x v="9"/>
    <x v="3"/>
    <x v="3"/>
    <n v="0"/>
    <n v="9"/>
    <n v="9"/>
    <m/>
    <n v="9"/>
    <n v="0"/>
    <m/>
    <m/>
  </r>
  <r>
    <x v="26"/>
    <x v="10"/>
    <x v="3"/>
    <x v="3"/>
    <n v="0"/>
    <n v="8.5"/>
    <n v="8.5"/>
    <m/>
    <n v="8.5"/>
    <n v="0"/>
    <m/>
    <m/>
  </r>
  <r>
    <x v="7"/>
    <x v="0"/>
    <x v="0"/>
    <x v="4"/>
    <n v="0"/>
    <n v="4.5"/>
    <n v="4.5"/>
    <m/>
    <n v="4.5"/>
    <n v="0"/>
    <m/>
    <m/>
  </r>
  <r>
    <x v="7"/>
    <x v="1"/>
    <x v="0"/>
    <x v="4"/>
    <n v="0"/>
    <n v="4.5"/>
    <n v="4.5"/>
    <m/>
    <n v="4.5"/>
    <n v="0"/>
    <m/>
    <m/>
  </r>
  <r>
    <x v="7"/>
    <x v="2"/>
    <x v="0"/>
    <x v="4"/>
    <n v="0"/>
    <n v="4.5"/>
    <n v="4.5"/>
    <m/>
    <n v="4.5"/>
    <n v="0"/>
    <m/>
    <m/>
  </r>
  <r>
    <x v="7"/>
    <x v="3"/>
    <x v="1"/>
    <x v="4"/>
    <n v="0"/>
    <n v="4.5"/>
    <n v="4.5"/>
    <m/>
    <n v="4.5"/>
    <n v="0"/>
    <m/>
    <m/>
  </r>
  <r>
    <x v="7"/>
    <x v="4"/>
    <x v="1"/>
    <x v="4"/>
    <n v="0"/>
    <n v="4.5"/>
    <n v="4.5"/>
    <m/>
    <n v="4.5"/>
    <n v="0"/>
    <m/>
    <m/>
  </r>
  <r>
    <x v="7"/>
    <x v="5"/>
    <x v="1"/>
    <x v="4"/>
    <n v="0"/>
    <n v="4.5"/>
    <n v="4.5"/>
    <m/>
    <n v="4.5"/>
    <n v="0"/>
    <m/>
    <m/>
  </r>
  <r>
    <x v="8"/>
    <x v="6"/>
    <x v="2"/>
    <x v="4"/>
    <n v="0"/>
    <n v="4.5"/>
    <n v="4.5"/>
    <m/>
    <n v="4.5"/>
    <n v="0"/>
    <m/>
    <m/>
  </r>
  <r>
    <x v="8"/>
    <x v="7"/>
    <x v="2"/>
    <x v="4"/>
    <n v="0"/>
    <n v="4.5"/>
    <n v="4.5"/>
    <m/>
    <n v="4.5"/>
    <n v="0"/>
    <m/>
    <m/>
  </r>
  <r>
    <x v="8"/>
    <x v="8"/>
    <x v="2"/>
    <x v="4"/>
    <n v="0"/>
    <n v="4.5"/>
    <n v="4.5"/>
    <m/>
    <n v="4.5"/>
    <n v="0"/>
    <m/>
    <m/>
  </r>
  <r>
    <x v="8"/>
    <x v="9"/>
    <x v="3"/>
    <x v="4"/>
    <n v="0"/>
    <n v="4.5"/>
    <n v="4.5"/>
    <m/>
    <n v="4.5"/>
    <n v="0"/>
    <m/>
    <m/>
  </r>
  <r>
    <x v="8"/>
    <x v="10"/>
    <x v="3"/>
    <x v="4"/>
    <n v="0"/>
    <n v="4.5"/>
    <n v="4.5"/>
    <m/>
    <n v="4.5"/>
    <n v="0"/>
    <m/>
    <m/>
  </r>
  <r>
    <x v="8"/>
    <x v="11"/>
    <x v="3"/>
    <x v="4"/>
    <n v="0"/>
    <n v="4.5"/>
    <n v="4.5"/>
    <m/>
    <n v="4.5357099999999999"/>
    <n v="-3.5709999999999999E-2"/>
    <m/>
    <m/>
  </r>
  <r>
    <x v="8"/>
    <x v="0"/>
    <x v="0"/>
    <x v="4"/>
    <n v="0.25"/>
    <n v="4.5"/>
    <n v="4.75"/>
    <m/>
    <n v="4.5"/>
    <n v="0.25"/>
    <m/>
    <m/>
  </r>
  <r>
    <x v="8"/>
    <x v="1"/>
    <x v="0"/>
    <x v="4"/>
    <n v="0"/>
    <n v="4.75"/>
    <n v="4.75"/>
    <m/>
    <n v="4.8"/>
    <n v="-0.05"/>
    <m/>
    <m/>
  </r>
  <r>
    <x v="8"/>
    <x v="2"/>
    <x v="0"/>
    <x v="4"/>
    <n v="0.25"/>
    <n v="4.75"/>
    <n v="5"/>
    <m/>
    <n v="4.7727300000000001"/>
    <n v="0.22727"/>
    <m/>
    <m/>
  </r>
  <r>
    <x v="8"/>
    <x v="3"/>
    <x v="1"/>
    <x v="4"/>
    <n v="-0.25"/>
    <n v="5.25"/>
    <n v="5"/>
    <m/>
    <n v="5.1315799999999996"/>
    <n v="-0.13158"/>
    <m/>
    <m/>
  </r>
  <r>
    <x v="8"/>
    <x v="4"/>
    <x v="1"/>
    <x v="4"/>
    <n v="0"/>
    <n v="5"/>
    <n v="5"/>
    <m/>
    <n v="5.0468799999999998"/>
    <n v="-4.6879999999999998E-2"/>
    <m/>
    <m/>
  </r>
  <r>
    <x v="8"/>
    <x v="5"/>
    <x v="1"/>
    <x v="4"/>
    <n v="0"/>
    <n v="5"/>
    <n v="5"/>
    <m/>
    <n v="5.05"/>
    <n v="-0.05"/>
    <m/>
    <m/>
  </r>
  <r>
    <x v="9"/>
    <x v="6"/>
    <x v="2"/>
    <x v="4"/>
    <n v="0"/>
    <n v="5.25"/>
    <n v="5.25"/>
    <m/>
    <n v="5.1785699999999997"/>
    <n v="7.1429999999999993E-2"/>
    <m/>
    <m/>
  </r>
  <r>
    <x v="9"/>
    <x v="7"/>
    <x v="2"/>
    <x v="4"/>
    <n v="0"/>
    <n v="5.25"/>
    <n v="5.25"/>
    <m/>
    <n v="5.2666700000000004"/>
    <n v="-1.6670000000000001E-2"/>
    <m/>
    <m/>
  </r>
  <r>
    <x v="9"/>
    <x v="8"/>
    <x v="2"/>
    <x v="4"/>
    <n v="0"/>
    <n v="5.25"/>
    <n v="5.25"/>
    <m/>
    <n v="5.2833300000000003"/>
    <n v="-3.3329999999999999E-2"/>
    <m/>
    <m/>
  </r>
  <r>
    <x v="9"/>
    <x v="9"/>
    <x v="3"/>
    <x v="4"/>
    <n v="0.25"/>
    <n v="5.25"/>
    <n v="5.5"/>
    <m/>
    <n v="5.2916699999999999"/>
    <n v="0.20832999999999999"/>
    <m/>
    <m/>
  </r>
  <r>
    <x v="9"/>
    <x v="10"/>
    <x v="3"/>
    <x v="4"/>
    <n v="0"/>
    <n v="5.5"/>
    <n v="5.5"/>
    <m/>
    <n v="5.5"/>
    <n v="0"/>
    <m/>
    <m/>
  </r>
  <r>
    <x v="9"/>
    <x v="11"/>
    <x v="3"/>
    <x v="4"/>
    <n v="0.25"/>
    <n v="5.5"/>
    <n v="5.75"/>
    <m/>
    <n v="5.5468799999999998"/>
    <n v="0.20311999999999999"/>
    <m/>
    <m/>
  </r>
  <r>
    <x v="9"/>
    <x v="0"/>
    <x v="0"/>
    <x v="4"/>
    <n v="0"/>
    <n v="6"/>
    <n v="6"/>
    <m/>
    <n v="5.9874999999999998"/>
    <n v="1.2500000000000001E-2"/>
    <m/>
    <m/>
  </r>
  <r>
    <x v="9"/>
    <x v="1"/>
    <x v="0"/>
    <x v="4"/>
    <n v="0"/>
    <n v="6.25"/>
    <n v="6.25"/>
    <m/>
    <n v="6.2222200000000001"/>
    <n v="2.7779999999999999E-2"/>
    <m/>
    <m/>
  </r>
  <r>
    <x v="9"/>
    <x v="2"/>
    <x v="0"/>
    <x v="4"/>
    <n v="0"/>
    <n v="6.5"/>
    <n v="6.5"/>
    <m/>
    <n v="6.5"/>
    <n v="0"/>
    <m/>
    <m/>
  </r>
  <r>
    <x v="9"/>
    <x v="3"/>
    <x v="1"/>
    <x v="4"/>
    <n v="0"/>
    <n v="6.5"/>
    <n v="6.5"/>
    <m/>
    <n v="6.6176500000000003"/>
    <n v="-0.11765"/>
    <m/>
    <m/>
  </r>
  <r>
    <x v="9"/>
    <x v="4"/>
    <x v="1"/>
    <x v="4"/>
    <n v="0"/>
    <n v="6.5"/>
    <n v="6.5"/>
    <m/>
    <n v="6.5178599999999998"/>
    <n v="-1.7860000000000001E-2"/>
    <m/>
    <m/>
  </r>
  <r>
    <x v="9"/>
    <x v="5"/>
    <x v="1"/>
    <x v="4"/>
    <n v="0"/>
    <n v="6.5"/>
    <n v="6.5"/>
    <m/>
    <n v="6.5"/>
    <n v="0"/>
    <m/>
    <m/>
  </r>
  <r>
    <x v="10"/>
    <x v="6"/>
    <x v="2"/>
    <x v="4"/>
    <n v="-0.25"/>
    <n v="6.5"/>
    <n v="6.25"/>
    <m/>
    <n v="6.3684200000000004"/>
    <n v="-0.11842"/>
    <m/>
    <m/>
  </r>
  <r>
    <x v="10"/>
    <x v="7"/>
    <x v="2"/>
    <x v="4"/>
    <n v="0"/>
    <n v="6"/>
    <n v="6"/>
    <m/>
    <n v="5.9736799999999999"/>
    <n v="2.632E-2"/>
    <m/>
    <m/>
  </r>
  <r>
    <x v="10"/>
    <x v="8"/>
    <x v="2"/>
    <x v="4"/>
    <n v="-0.5"/>
    <n v="5.5"/>
    <n v="5"/>
    <m/>
    <n v="5.5694400000000002"/>
    <n v="-0.56943999999999995"/>
    <m/>
    <m/>
  </r>
  <r>
    <x v="10"/>
    <x v="9"/>
    <x v="3"/>
    <x v="4"/>
    <n v="0"/>
    <n v="4"/>
    <n v="4"/>
    <m/>
    <n v="4.1176500000000003"/>
    <n v="-0.11765"/>
    <m/>
    <m/>
  </r>
  <r>
    <x v="10"/>
    <x v="10"/>
    <x v="3"/>
    <x v="4"/>
    <n v="-0.5"/>
    <n v="3.5"/>
    <n v="3"/>
    <m/>
    <n v="3.3026300000000002"/>
    <n v="-0.30263000000000001"/>
    <m/>
    <m/>
  </r>
  <r>
    <x v="10"/>
    <x v="11"/>
    <x v="3"/>
    <x v="4"/>
    <n v="-0.5"/>
    <n v="2.5"/>
    <n v="2"/>
    <m/>
    <n v="2.2857099999999999"/>
    <n v="-0.28571000000000002"/>
    <m/>
    <m/>
  </r>
  <r>
    <x v="10"/>
    <x v="0"/>
    <x v="0"/>
    <x v="4"/>
    <n v="-0.25"/>
    <n v="1.5"/>
    <n v="1.25"/>
    <m/>
    <n v="1.61111"/>
    <n v="-0.36110999999999999"/>
    <m/>
    <m/>
  </r>
  <r>
    <x v="10"/>
    <x v="1"/>
    <x v="0"/>
    <x v="4"/>
    <n v="0"/>
    <n v="1.25"/>
    <n v="1.25"/>
    <m/>
    <n v="1.2375"/>
    <n v="1.2500000000000001E-2"/>
    <m/>
    <m/>
  </r>
  <r>
    <x v="10"/>
    <x v="2"/>
    <x v="0"/>
    <x v="4"/>
    <n v="0"/>
    <n v="1.25"/>
    <n v="1.25"/>
    <m/>
    <n v="1.23611"/>
    <n v="1.389E-2"/>
    <m/>
    <m/>
  </r>
  <r>
    <x v="10"/>
    <x v="3"/>
    <x v="1"/>
    <x v="4"/>
    <n v="0"/>
    <n v="1.25"/>
    <n v="1.25"/>
    <m/>
    <n v="1.25"/>
    <n v="0"/>
    <m/>
    <m/>
  </r>
  <r>
    <x v="10"/>
    <x v="4"/>
    <x v="1"/>
    <x v="4"/>
    <n v="0"/>
    <n v="1.25"/>
    <n v="1.25"/>
    <m/>
    <n v="1.25"/>
    <n v="0"/>
    <m/>
    <m/>
  </r>
  <r>
    <x v="10"/>
    <x v="5"/>
    <x v="1"/>
    <x v="4"/>
    <n v="0"/>
    <n v="1.25"/>
    <n v="1.25"/>
    <m/>
    <n v="1.25"/>
    <n v="0"/>
    <m/>
    <m/>
  </r>
  <r>
    <x v="11"/>
    <x v="6"/>
    <x v="2"/>
    <x v="4"/>
    <n v="0"/>
    <n v="1.25"/>
    <n v="1.25"/>
    <m/>
    <n v="1.25"/>
    <n v="0"/>
    <m/>
    <m/>
  </r>
  <r>
    <x v="11"/>
    <x v="7"/>
    <x v="2"/>
    <x v="4"/>
    <n v="0"/>
    <n v="1.25"/>
    <n v="1.25"/>
    <m/>
    <n v="1.25"/>
    <n v="0"/>
    <m/>
    <m/>
  </r>
  <r>
    <x v="11"/>
    <x v="8"/>
    <x v="2"/>
    <x v="4"/>
    <n v="0"/>
    <n v="1.25"/>
    <n v="1.25"/>
    <m/>
    <n v="1.25"/>
    <n v="0"/>
    <m/>
    <m/>
  </r>
  <r>
    <x v="11"/>
    <x v="9"/>
    <x v="3"/>
    <x v="4"/>
    <n v="0.25"/>
    <n v="1.25"/>
    <n v="1.5"/>
    <m/>
    <n v="1.25"/>
    <n v="0.25"/>
    <m/>
    <m/>
  </r>
  <r>
    <x v="11"/>
    <x v="10"/>
    <x v="3"/>
    <x v="4"/>
    <n v="0"/>
    <n v="1.75"/>
    <n v="1.75"/>
    <m/>
    <n v="1.7142900000000001"/>
    <n v="3.5709999999999999E-2"/>
    <m/>
    <m/>
  </r>
  <r>
    <x v="11"/>
    <x v="11"/>
    <x v="3"/>
    <x v="4"/>
    <n v="0"/>
    <n v="2"/>
    <n v="2"/>
    <m/>
    <n v="2"/>
    <n v="0"/>
    <m/>
    <m/>
  </r>
  <r>
    <x v="11"/>
    <x v="0"/>
    <x v="0"/>
    <x v="4"/>
    <n v="0.25"/>
    <n v="2.25"/>
    <n v="2.5"/>
    <m/>
    <n v="2.2656200000000002"/>
    <n v="0.23438000000000001"/>
    <m/>
    <m/>
  </r>
  <r>
    <x v="11"/>
    <x v="1"/>
    <x v="0"/>
    <x v="4"/>
    <n v="0"/>
    <n v="3"/>
    <n v="3"/>
    <m/>
    <n v="3"/>
    <n v="0"/>
    <m/>
    <m/>
  </r>
  <r>
    <x v="11"/>
    <x v="2"/>
    <x v="0"/>
    <x v="4"/>
    <n v="-0.25"/>
    <n v="3.25"/>
    <n v="3"/>
    <m/>
    <n v="3.28125"/>
    <n v="-0.28125"/>
    <m/>
    <m/>
  </r>
  <r>
    <x v="11"/>
    <x v="3"/>
    <x v="1"/>
    <x v="4"/>
    <n v="0"/>
    <n v="3"/>
    <n v="3"/>
    <m/>
    <n v="3.0178600000000002"/>
    <n v="-1.7860000000000001E-2"/>
    <m/>
    <m/>
  </r>
  <r>
    <x v="11"/>
    <x v="4"/>
    <x v="1"/>
    <x v="4"/>
    <n v="0"/>
    <n v="3"/>
    <n v="3"/>
    <m/>
    <n v="3.0333299999999999"/>
    <n v="-3.3329999999999999E-2"/>
    <m/>
    <m/>
  </r>
  <r>
    <x v="11"/>
    <x v="5"/>
    <x v="1"/>
    <x v="4"/>
    <n v="0.25"/>
    <n v="3"/>
    <n v="3.25"/>
    <m/>
    <n v="3.0441199999999999"/>
    <n v="0.20588000000000001"/>
    <m/>
    <m/>
  </r>
  <r>
    <x v="12"/>
    <x v="6"/>
    <x v="2"/>
    <x v="4"/>
    <n v="0"/>
    <n v="3.5"/>
    <n v="3.5"/>
    <m/>
    <n v="3.4615399999999998"/>
    <n v="3.8460000000000001E-2"/>
    <m/>
    <m/>
  </r>
  <r>
    <x v="12"/>
    <x v="7"/>
    <x v="2"/>
    <x v="4"/>
    <n v="0"/>
    <n v="3.75"/>
    <n v="3.75"/>
    <m/>
    <n v="3.75"/>
    <n v="0"/>
    <m/>
    <m/>
  </r>
  <r>
    <x v="12"/>
    <x v="8"/>
    <x v="2"/>
    <x v="4"/>
    <n v="0"/>
    <n v="4"/>
    <n v="4"/>
    <m/>
    <n v="4.0526299999999997"/>
    <n v="-5.2630000000000003E-2"/>
    <m/>
    <m/>
  </r>
  <r>
    <x v="12"/>
    <x v="9"/>
    <x v="3"/>
    <x v="4"/>
    <n v="0"/>
    <n v="4.25"/>
    <n v="4.25"/>
    <m/>
    <n v="4.25"/>
    <n v="0"/>
    <m/>
    <m/>
  </r>
  <r>
    <x v="12"/>
    <x v="10"/>
    <x v="3"/>
    <x v="4"/>
    <n v="-0.25"/>
    <n v="4.5"/>
    <n v="4.25"/>
    <m/>
    <n v="4.4264700000000001"/>
    <n v="-0.17646999999999999"/>
    <m/>
    <m/>
  </r>
  <r>
    <x v="12"/>
    <x v="11"/>
    <x v="3"/>
    <x v="4"/>
    <n v="0"/>
    <n v="4.25"/>
    <n v="4.25"/>
    <m/>
    <n v="4.26471"/>
    <n v="-1.4710000000000001E-2"/>
    <m/>
    <m/>
  </r>
  <r>
    <x v="12"/>
    <x v="0"/>
    <x v="0"/>
    <x v="4"/>
    <n v="0"/>
    <n v="4.25"/>
    <n v="4.25"/>
    <m/>
    <n v="4.2618999999999998"/>
    <n v="-1.1900000000000001E-2"/>
    <m/>
    <m/>
  </r>
  <r>
    <x v="12"/>
    <x v="1"/>
    <x v="0"/>
    <x v="4"/>
    <n v="0"/>
    <n v="4.25"/>
    <n v="4.25"/>
    <m/>
    <n v="4.25"/>
    <n v="0"/>
    <m/>
    <m/>
  </r>
  <r>
    <x v="12"/>
    <x v="2"/>
    <x v="0"/>
    <x v="4"/>
    <n v="0"/>
    <n v="4.25"/>
    <n v="4.25"/>
    <m/>
    <n v="4.23611"/>
    <n v="1.389E-2"/>
    <m/>
    <m/>
  </r>
  <r>
    <x v="12"/>
    <x v="3"/>
    <x v="1"/>
    <x v="4"/>
    <n v="0"/>
    <n v="4.25"/>
    <n v="4.25"/>
    <m/>
    <n v="4.25"/>
    <n v="0"/>
    <m/>
    <m/>
  </r>
  <r>
    <x v="12"/>
    <x v="4"/>
    <x v="1"/>
    <x v="4"/>
    <n v="0"/>
    <n v="4.25"/>
    <n v="4.25"/>
    <m/>
    <n v="4.25"/>
    <n v="0"/>
    <m/>
    <m/>
  </r>
  <r>
    <x v="12"/>
    <x v="5"/>
    <x v="1"/>
    <x v="4"/>
    <n v="0"/>
    <n v="4.25"/>
    <n v="4.25"/>
    <m/>
    <n v="4.25"/>
    <n v="0"/>
    <m/>
    <m/>
  </r>
  <r>
    <x v="13"/>
    <x v="6"/>
    <x v="2"/>
    <x v="4"/>
    <n v="0"/>
    <n v="4.25"/>
    <n v="4.25"/>
    <m/>
    <n v="4.25"/>
    <n v="0"/>
    <m/>
    <m/>
  </r>
  <r>
    <x v="13"/>
    <x v="7"/>
    <x v="2"/>
    <x v="4"/>
    <n v="0"/>
    <n v="4.25"/>
    <n v="4.25"/>
    <m/>
    <n v="4.25"/>
    <n v="0"/>
    <m/>
    <m/>
  </r>
  <r>
    <x v="13"/>
    <x v="8"/>
    <x v="2"/>
    <x v="4"/>
    <n v="0"/>
    <n v="4.25"/>
    <n v="4.25"/>
    <m/>
    <n v="4.25"/>
    <n v="0"/>
    <m/>
    <m/>
  </r>
  <r>
    <x v="13"/>
    <x v="9"/>
    <x v="3"/>
    <x v="4"/>
    <n v="0"/>
    <n v="4.25"/>
    <n v="4.25"/>
    <m/>
    <n v="4.25"/>
    <n v="0"/>
    <m/>
    <m/>
  </r>
  <r>
    <x v="13"/>
    <x v="10"/>
    <x v="3"/>
    <x v="4"/>
    <n v="0"/>
    <n v="4.25"/>
    <n v="4.25"/>
    <m/>
    <n v="4.25"/>
    <n v="0"/>
    <m/>
    <m/>
  </r>
  <r>
    <x v="13"/>
    <x v="11"/>
    <x v="3"/>
    <x v="4"/>
    <n v="0"/>
    <n v="4.25"/>
    <n v="4.25"/>
    <m/>
    <n v="4.25"/>
    <n v="0"/>
    <m/>
    <m/>
  </r>
  <r>
    <x v="13"/>
    <x v="0"/>
    <x v="0"/>
    <x v="4"/>
    <n v="0"/>
    <n v="4.25"/>
    <n v="4.25"/>
    <m/>
    <n v="4.25"/>
    <n v="0"/>
    <m/>
    <m/>
  </r>
  <r>
    <x v="13"/>
    <x v="1"/>
    <x v="0"/>
    <x v="4"/>
    <n v="0"/>
    <n v="4.25"/>
    <n v="4.25"/>
    <m/>
    <n v="4.26389"/>
    <n v="-1.389E-2"/>
    <m/>
    <m/>
  </r>
  <r>
    <x v="13"/>
    <x v="2"/>
    <x v="0"/>
    <x v="4"/>
    <n v="0"/>
    <n v="4.25"/>
    <n v="4.25"/>
    <m/>
    <n v="4.25"/>
    <n v="0"/>
    <m/>
    <m/>
  </r>
  <r>
    <x v="13"/>
    <x v="3"/>
    <x v="1"/>
    <x v="4"/>
    <n v="0"/>
    <n v="4.25"/>
    <n v="4.25"/>
    <m/>
    <n v="4.25"/>
    <n v="0"/>
    <m/>
    <m/>
  </r>
  <r>
    <x v="13"/>
    <x v="4"/>
    <x v="1"/>
    <x v="4"/>
    <n v="0"/>
    <n v="4.25"/>
    <n v="4.25"/>
    <m/>
    <n v="4.25"/>
    <n v="0"/>
    <m/>
    <m/>
  </r>
  <r>
    <x v="13"/>
    <x v="5"/>
    <x v="1"/>
    <x v="4"/>
    <n v="0"/>
    <n v="4.25"/>
    <n v="4.25"/>
    <m/>
    <n v="4.25"/>
    <n v="0"/>
    <m/>
    <m/>
  </r>
  <r>
    <x v="14"/>
    <x v="6"/>
    <x v="2"/>
    <x v="4"/>
    <n v="0"/>
    <n v="4.25"/>
    <n v="4.25"/>
    <m/>
    <n v="4.25"/>
    <n v="0"/>
    <m/>
    <m/>
  </r>
  <r>
    <x v="14"/>
    <x v="7"/>
    <x v="2"/>
    <x v="4"/>
    <n v="0"/>
    <n v="4.25"/>
    <n v="4.25"/>
    <m/>
    <n v="4.25"/>
    <n v="0"/>
    <m/>
    <m/>
  </r>
  <r>
    <x v="14"/>
    <x v="8"/>
    <x v="2"/>
    <x v="4"/>
    <n v="0"/>
    <n v="4.25"/>
    <n v="4.25"/>
    <m/>
    <n v="4.25"/>
    <n v="0"/>
    <m/>
    <m/>
  </r>
  <r>
    <x v="14"/>
    <x v="9"/>
    <x v="3"/>
    <x v="4"/>
    <n v="0"/>
    <n v="4.25"/>
    <n v="4.25"/>
    <m/>
    <n v="4.25"/>
    <n v="0"/>
    <m/>
    <m/>
  </r>
  <r>
    <x v="14"/>
    <x v="10"/>
    <x v="3"/>
    <x v="4"/>
    <n v="0"/>
    <n v="4.25"/>
    <n v="4.25"/>
    <m/>
    <n v="4.25"/>
    <n v="0"/>
    <m/>
    <m/>
  </r>
  <r>
    <x v="14"/>
    <x v="11"/>
    <x v="3"/>
    <x v="4"/>
    <n v="0"/>
    <n v="4.25"/>
    <n v="4.25"/>
    <m/>
    <n v="4.25"/>
    <n v="0"/>
    <m/>
    <m/>
  </r>
  <r>
    <x v="14"/>
    <x v="0"/>
    <x v="0"/>
    <x v="4"/>
    <n v="0"/>
    <n v="4.25"/>
    <n v="4.25"/>
    <m/>
    <n v="4.25"/>
    <n v="0"/>
    <m/>
    <m/>
  </r>
  <r>
    <x v="14"/>
    <x v="1"/>
    <x v="0"/>
    <x v="4"/>
    <n v="0"/>
    <n v="4.25"/>
    <n v="4.25"/>
    <m/>
    <n v="4.25"/>
    <n v="0"/>
    <m/>
    <m/>
  </r>
  <r>
    <x v="14"/>
    <x v="2"/>
    <x v="0"/>
    <x v="4"/>
    <n v="0"/>
    <n v="4.25"/>
    <n v="4.25"/>
    <m/>
    <n v="4.25"/>
    <n v="0"/>
    <m/>
    <m/>
  </r>
  <r>
    <x v="14"/>
    <x v="3"/>
    <x v="1"/>
    <x v="4"/>
    <n v="-0.25"/>
    <n v="4.25"/>
    <n v="4"/>
    <m/>
    <n v="4.25"/>
    <n v="-0.25"/>
    <m/>
    <m/>
  </r>
  <r>
    <x v="14"/>
    <x v="4"/>
    <x v="1"/>
    <x v="4"/>
    <n v="0"/>
    <n v="4"/>
    <n v="4"/>
    <m/>
    <n v="3.95"/>
    <n v="0.05"/>
    <m/>
    <m/>
  </r>
  <r>
    <x v="14"/>
    <x v="5"/>
    <x v="1"/>
    <x v="4"/>
    <n v="0"/>
    <n v="4"/>
    <n v="4"/>
    <m/>
    <n v="4"/>
    <n v="0"/>
    <m/>
    <m/>
  </r>
  <r>
    <x v="15"/>
    <x v="6"/>
    <x v="2"/>
    <x v="4"/>
    <n v="0"/>
    <n v="4"/>
    <n v="4"/>
    <m/>
    <n v="3.98333"/>
    <n v="1.6670000000000001E-2"/>
    <m/>
    <m/>
  </r>
  <r>
    <x v="15"/>
    <x v="7"/>
    <x v="2"/>
    <x v="4"/>
    <n v="0"/>
    <n v="4"/>
    <n v="4"/>
    <m/>
    <n v="4"/>
    <n v="0"/>
    <m/>
    <m/>
  </r>
  <r>
    <x v="15"/>
    <x v="8"/>
    <x v="2"/>
    <x v="4"/>
    <n v="0"/>
    <n v="4"/>
    <n v="4"/>
    <m/>
    <n v="4"/>
    <n v="0"/>
    <m/>
    <m/>
  </r>
  <r>
    <x v="15"/>
    <x v="9"/>
    <x v="3"/>
    <x v="4"/>
    <n v="0"/>
    <n v="4"/>
    <n v="4"/>
    <m/>
    <n v="4"/>
    <n v="0"/>
    <m/>
    <m/>
  </r>
  <r>
    <x v="15"/>
    <x v="10"/>
    <x v="3"/>
    <x v="4"/>
    <n v="0"/>
    <n v="4"/>
    <n v="4"/>
    <m/>
    <n v="4"/>
    <n v="0"/>
    <m/>
    <m/>
  </r>
  <r>
    <x v="15"/>
    <x v="11"/>
    <x v="3"/>
    <x v="4"/>
    <n v="-0.25"/>
    <n v="4"/>
    <n v="3.75"/>
    <m/>
    <n v="3.9"/>
    <n v="-0.15"/>
    <m/>
    <m/>
  </r>
  <r>
    <x v="15"/>
    <x v="0"/>
    <x v="0"/>
    <x v="4"/>
    <n v="0.25"/>
    <n v="3.5"/>
    <n v="3.75"/>
    <m/>
    <n v="3.5833300000000001"/>
    <n v="0.16667000000000001"/>
    <m/>
    <m/>
  </r>
  <r>
    <x v="15"/>
    <x v="1"/>
    <x v="0"/>
    <x v="4"/>
    <n v="0"/>
    <n v="3.5"/>
    <n v="3.5"/>
    <m/>
    <n v="3.5882399999999999"/>
    <n v="-8.8239999999999999E-2"/>
    <m/>
    <m/>
  </r>
  <r>
    <x v="15"/>
    <x v="2"/>
    <x v="0"/>
    <x v="4"/>
    <n v="0"/>
    <n v="3.5"/>
    <n v="3.5"/>
    <m/>
    <n v="3.4583300000000001"/>
    <n v="4.1669999999999999E-2"/>
    <m/>
    <m/>
  </r>
  <r>
    <x v="15"/>
    <x v="3"/>
    <x v="1"/>
    <x v="4"/>
    <n v="0"/>
    <n v="3.5"/>
    <n v="3.5"/>
    <m/>
    <n v="3.4473699999999998"/>
    <n v="5.2630000000000003E-2"/>
    <m/>
    <m/>
  </r>
  <r>
    <x v="15"/>
    <x v="4"/>
    <x v="1"/>
    <x v="4"/>
    <n v="0"/>
    <n v="3.5"/>
    <n v="3.5"/>
    <m/>
    <n v="3.4210500000000001"/>
    <n v="7.8950000000000006E-2"/>
    <m/>
    <m/>
  </r>
  <r>
    <x v="15"/>
    <x v="5"/>
    <x v="1"/>
    <x v="4"/>
    <n v="-0.25"/>
    <n v="3.5"/>
    <n v="3.25"/>
    <m/>
    <n v="3.5"/>
    <n v="-0.25"/>
    <m/>
    <m/>
  </r>
  <r>
    <x v="16"/>
    <x v="6"/>
    <x v="2"/>
    <x v="4"/>
    <n v="0"/>
    <n v="3.25"/>
    <n v="3.25"/>
    <m/>
    <n v="3.2250000000000001"/>
    <n v="2.5000000000000001E-2"/>
    <m/>
    <m/>
  </r>
  <r>
    <x v="16"/>
    <x v="7"/>
    <x v="2"/>
    <x v="4"/>
    <n v="0"/>
    <n v="3.25"/>
    <n v="3.25"/>
    <m/>
    <n v="3.1625000000000001"/>
    <n v="8.7499999999999994E-2"/>
    <m/>
    <m/>
  </r>
  <r>
    <x v="16"/>
    <x v="8"/>
    <x v="2"/>
    <x v="4"/>
    <n v="0"/>
    <n v="3.25"/>
    <n v="3.25"/>
    <m/>
    <n v="3.1842100000000002"/>
    <n v="6.5790000000000001E-2"/>
    <m/>
    <m/>
  </r>
  <r>
    <x v="16"/>
    <x v="9"/>
    <x v="3"/>
    <x v="4"/>
    <n v="0"/>
    <n v="3.25"/>
    <n v="3.25"/>
    <m/>
    <n v="3.25"/>
    <n v="0"/>
    <m/>
    <m/>
  </r>
  <r>
    <x v="16"/>
    <x v="10"/>
    <x v="3"/>
    <x v="4"/>
    <n v="0"/>
    <n v="3.25"/>
    <n v="3.25"/>
    <m/>
    <n v="3.25"/>
    <n v="0"/>
    <m/>
    <m/>
  </r>
  <r>
    <x v="16"/>
    <x v="11"/>
    <x v="3"/>
    <x v="4"/>
    <n v="0"/>
    <n v="3.25"/>
    <n v="3.25"/>
    <m/>
    <n v="3.25"/>
    <n v="0"/>
    <m/>
    <m/>
  </r>
  <r>
    <x v="16"/>
    <x v="0"/>
    <x v="0"/>
    <x v="4"/>
    <n v="0"/>
    <n v="3.25"/>
    <n v="3.25"/>
    <m/>
    <n v="3.25"/>
    <n v="0"/>
    <m/>
    <m/>
  </r>
  <r>
    <x v="16"/>
    <x v="1"/>
    <x v="0"/>
    <x v="4"/>
    <n v="0.25"/>
    <n v="3.25"/>
    <n v="3.5"/>
    <m/>
    <n v="3.2941199999999999"/>
    <n v="0.20588000000000001"/>
    <m/>
    <m/>
  </r>
  <r>
    <x v="16"/>
    <x v="2"/>
    <x v="0"/>
    <x v="4"/>
    <n v="0"/>
    <n v="3.5"/>
    <n v="3.5"/>
    <m/>
    <n v="3.5"/>
    <n v="0"/>
    <m/>
    <m/>
  </r>
  <r>
    <x v="16"/>
    <x v="3"/>
    <x v="1"/>
    <x v="4"/>
    <n v="0"/>
    <n v="3.5"/>
    <n v="3.5"/>
    <m/>
    <n v="3.5"/>
    <n v="0"/>
    <m/>
    <m/>
  </r>
  <r>
    <x v="16"/>
    <x v="4"/>
    <x v="1"/>
    <x v="4"/>
    <n v="0"/>
    <n v="3.75"/>
    <n v="3.75"/>
    <m/>
    <n v="3.75"/>
    <n v="0"/>
    <m/>
    <m/>
  </r>
  <r>
    <x v="16"/>
    <x v="5"/>
    <x v="1"/>
    <x v="4"/>
    <n v="0"/>
    <n v="4"/>
    <n v="4"/>
    <m/>
    <n v="3.9"/>
    <n v="0.1"/>
    <m/>
    <m/>
  </r>
  <r>
    <x v="17"/>
    <x v="6"/>
    <x v="2"/>
    <x v="4"/>
    <n v="0"/>
    <n v="4.25"/>
    <n v="4.25"/>
    <m/>
    <n v="4.2031200000000002"/>
    <n v="4.6879999999999998E-2"/>
    <m/>
    <m/>
  </r>
  <r>
    <x v="17"/>
    <x v="7"/>
    <x v="2"/>
    <x v="4"/>
    <n v="-0.25"/>
    <n v="4.5"/>
    <n v="4.25"/>
    <m/>
    <n v="4.4285699999999997"/>
    <n v="-0.17857000000000001"/>
    <m/>
    <m/>
  </r>
  <r>
    <x v="17"/>
    <x v="8"/>
    <x v="2"/>
    <x v="4"/>
    <n v="0"/>
    <n v="4.25"/>
    <n v="4.25"/>
    <m/>
    <n v="4.3035699999999997"/>
    <n v="-5.357E-2"/>
    <m/>
    <m/>
  </r>
  <r>
    <x v="17"/>
    <x v="9"/>
    <x v="3"/>
    <x v="4"/>
    <n v="0"/>
    <n v="4.25"/>
    <n v="4.25"/>
    <m/>
    <n v="4.2794100000000004"/>
    <n v="-2.9409999999999999E-2"/>
    <m/>
    <m/>
  </r>
  <r>
    <x v="17"/>
    <x v="10"/>
    <x v="3"/>
    <x v="4"/>
    <n v="0"/>
    <n v="4.25"/>
    <n v="4.25"/>
    <m/>
    <n v="4.2708300000000001"/>
    <n v="-2.0830000000000001E-2"/>
    <m/>
    <m/>
  </r>
  <r>
    <x v="17"/>
    <x v="11"/>
    <x v="3"/>
    <x v="4"/>
    <n v="0"/>
    <n v="4.25"/>
    <n v="4.25"/>
    <m/>
    <n v="4.25"/>
    <n v="0"/>
    <m/>
    <m/>
  </r>
  <r>
    <x v="17"/>
    <x v="0"/>
    <x v="0"/>
    <x v="4"/>
    <n v="0"/>
    <n v="4.25"/>
    <n v="4.25"/>
    <m/>
    <n v="4.25"/>
    <n v="0"/>
    <m/>
    <m/>
  </r>
  <r>
    <x v="17"/>
    <x v="1"/>
    <x v="0"/>
    <x v="4"/>
    <n v="0"/>
    <n v="4.25"/>
    <n v="4.25"/>
    <m/>
    <n v="4.25"/>
    <n v="0"/>
    <m/>
    <m/>
  </r>
  <r>
    <x v="17"/>
    <x v="2"/>
    <x v="0"/>
    <x v="4"/>
    <n v="0"/>
    <n v="4.25"/>
    <n v="4.25"/>
    <m/>
    <n v="4.25"/>
    <n v="0"/>
    <m/>
    <m/>
  </r>
  <r>
    <x v="17"/>
    <x v="3"/>
    <x v="1"/>
    <x v="4"/>
    <n v="0"/>
    <n v="4.25"/>
    <n v="4.25"/>
    <m/>
    <n v="4.25"/>
    <n v="0"/>
    <m/>
    <m/>
  </r>
  <r>
    <x v="17"/>
    <x v="4"/>
    <x v="1"/>
    <x v="4"/>
    <n v="0"/>
    <n v="4.25"/>
    <n v="4.25"/>
    <m/>
    <n v="4.25"/>
    <n v="0"/>
    <m/>
    <m/>
  </r>
  <r>
    <x v="17"/>
    <x v="5"/>
    <x v="1"/>
    <x v="4"/>
    <n v="0"/>
    <n v="4.25"/>
    <n v="4.25"/>
    <m/>
    <n v="4.25"/>
    <n v="0"/>
    <m/>
    <m/>
  </r>
  <r>
    <x v="18"/>
    <x v="6"/>
    <x v="2"/>
    <x v="4"/>
    <n v="0"/>
    <n v="4.25"/>
    <n v="4.25"/>
    <m/>
    <n v="4.25"/>
    <n v="0"/>
    <m/>
    <m/>
  </r>
  <r>
    <x v="18"/>
    <x v="7"/>
    <x v="2"/>
    <x v="4"/>
    <n v="0"/>
    <n v="4.25"/>
    <n v="4.25"/>
    <m/>
    <n v="4.25"/>
    <n v="0"/>
    <m/>
    <m/>
  </r>
  <r>
    <x v="18"/>
    <x v="8"/>
    <x v="2"/>
    <x v="4"/>
    <n v="0"/>
    <n v="4.25"/>
    <n v="4.25"/>
    <m/>
    <n v="4.2307699999999997"/>
    <n v="1.9230000000000001E-2"/>
    <m/>
    <m/>
  </r>
  <r>
    <x v="18"/>
    <x v="9"/>
    <x v="3"/>
    <x v="4"/>
    <n v="-0.25"/>
    <n v="4.25"/>
    <n v="4"/>
    <m/>
    <n v="4.1176500000000003"/>
    <n v="-0.11765"/>
    <m/>
    <m/>
  </r>
  <r>
    <x v="18"/>
    <x v="10"/>
    <x v="3"/>
    <x v="4"/>
    <n v="0.25"/>
    <n v="3.75"/>
    <n v="4"/>
    <m/>
    <n v="3.8666700000000001"/>
    <n v="0.13333"/>
    <m/>
    <m/>
  </r>
  <r>
    <x v="18"/>
    <x v="11"/>
    <x v="3"/>
    <x v="4"/>
    <n v="0"/>
    <n v="3.75"/>
    <n v="3.75"/>
    <m/>
    <n v="3.76667"/>
    <n v="-1.6670000000000001E-2"/>
    <m/>
    <m/>
  </r>
  <r>
    <x v="18"/>
    <x v="0"/>
    <x v="0"/>
    <x v="4"/>
    <n v="0"/>
    <n v="3.75"/>
    <n v="3.75"/>
    <m/>
    <n v="3.7307700000000001"/>
    <n v="1.9230000000000001E-2"/>
    <m/>
    <m/>
  </r>
  <r>
    <x v="18"/>
    <x v="1"/>
    <x v="0"/>
    <x v="4"/>
    <n v="-0.25"/>
    <n v="3.75"/>
    <n v="3.5"/>
    <m/>
    <n v="3.6428600000000002"/>
    <n v="-0.14285999999999999"/>
    <m/>
    <m/>
  </r>
  <r>
    <x v="18"/>
    <x v="2"/>
    <x v="0"/>
    <x v="4"/>
    <n v="0"/>
    <n v="3.5"/>
    <n v="3.5"/>
    <m/>
    <n v="3.4583300000000001"/>
    <n v="4.1669999999999999E-2"/>
    <m/>
    <m/>
  </r>
  <r>
    <x v="18"/>
    <x v="3"/>
    <x v="1"/>
    <x v="4"/>
    <n v="-0.25"/>
    <n v="3.5"/>
    <n v="3.25"/>
    <m/>
    <n v="3.4218799999999998"/>
    <n v="-0.17188000000000001"/>
    <m/>
    <m/>
  </r>
  <r>
    <x v="18"/>
    <x v="4"/>
    <x v="1"/>
    <x v="4"/>
    <n v="0"/>
    <n v="3.25"/>
    <n v="3.25"/>
    <m/>
    <n v="3.1718799999999998"/>
    <n v="7.8119999999999995E-2"/>
    <m/>
    <m/>
  </r>
  <r>
    <x v="18"/>
    <x v="5"/>
    <x v="1"/>
    <x v="4"/>
    <n v="0"/>
    <n v="3"/>
    <n v="3"/>
    <m/>
    <n v="3.0769199999999999"/>
    <n v="-7.6920000000000002E-2"/>
    <m/>
    <m/>
  </r>
  <r>
    <x v="19"/>
    <x v="6"/>
    <x v="2"/>
    <x v="4"/>
    <n v="0"/>
    <n v="3"/>
    <n v="3"/>
    <m/>
    <n v="2.9666700000000001"/>
    <n v="3.3329999999999999E-2"/>
    <m/>
    <m/>
  </r>
  <r>
    <x v="19"/>
    <x v="7"/>
    <x v="2"/>
    <x v="4"/>
    <n v="0"/>
    <n v="2.75"/>
    <n v="2.75"/>
    <m/>
    <n v="2.8055599999999998"/>
    <n v="-5.5559999999999998E-2"/>
    <m/>
    <m/>
  </r>
  <r>
    <x v="19"/>
    <x v="8"/>
    <x v="2"/>
    <x v="4"/>
    <n v="0"/>
    <n v="2.75"/>
    <n v="2.75"/>
    <m/>
    <n v="2.7321399999999998"/>
    <n v="1.7860000000000001E-2"/>
    <m/>
    <m/>
  </r>
  <r>
    <x v="19"/>
    <x v="9"/>
    <x v="3"/>
    <x v="4"/>
    <n v="0"/>
    <n v="2.75"/>
    <n v="2.75"/>
    <m/>
    <n v="2.75"/>
    <n v="0"/>
    <m/>
    <m/>
  </r>
  <r>
    <x v="19"/>
    <x v="10"/>
    <x v="3"/>
    <x v="4"/>
    <n v="0"/>
    <n v="2.75"/>
    <n v="2.75"/>
    <m/>
    <n v="2.75"/>
    <n v="0"/>
    <m/>
    <m/>
  </r>
  <r>
    <x v="19"/>
    <x v="11"/>
    <x v="3"/>
    <x v="4"/>
    <n v="0"/>
    <n v="2.75"/>
    <n v="2.75"/>
    <m/>
    <n v="2.75"/>
    <n v="0"/>
    <m/>
    <m/>
  </r>
  <r>
    <x v="19"/>
    <x v="0"/>
    <x v="0"/>
    <x v="4"/>
    <n v="0"/>
    <n v="2.75"/>
    <n v="2.75"/>
    <m/>
    <n v="2.7692299999999999"/>
    <n v="-1.9230000000000001E-2"/>
    <m/>
    <m/>
  </r>
  <r>
    <x v="19"/>
    <x v="1"/>
    <x v="0"/>
    <x v="4"/>
    <n v="0"/>
    <n v="2.75"/>
    <n v="2.75"/>
    <m/>
    <n v="2.75"/>
    <n v="0"/>
    <m/>
    <m/>
  </r>
  <r>
    <x v="19"/>
    <x v="2"/>
    <x v="0"/>
    <x v="4"/>
    <n v="0"/>
    <n v="2.75"/>
    <n v="2.75"/>
    <m/>
    <n v="2.75"/>
    <n v="0"/>
    <m/>
    <m/>
  </r>
  <r>
    <x v="19"/>
    <x v="3"/>
    <x v="1"/>
    <x v="4"/>
    <n v="0"/>
    <n v="2.75"/>
    <n v="2.75"/>
    <m/>
    <n v="2.75"/>
    <n v="0"/>
    <m/>
    <m/>
  </r>
  <r>
    <x v="19"/>
    <x v="4"/>
    <x v="1"/>
    <x v="4"/>
    <n v="0"/>
    <n v="2.75"/>
    <n v="2.75"/>
    <m/>
    <n v="2.75"/>
    <n v="0"/>
    <m/>
    <m/>
  </r>
  <r>
    <x v="19"/>
    <x v="5"/>
    <x v="1"/>
    <x v="4"/>
    <n v="0"/>
    <n v="2.75"/>
    <n v="2.75"/>
    <m/>
    <n v="2.75"/>
    <n v="0"/>
    <m/>
    <m/>
  </r>
  <r>
    <x v="20"/>
    <x v="6"/>
    <x v="2"/>
    <x v="4"/>
    <n v="0"/>
    <n v="2.75"/>
    <n v="2.75"/>
    <m/>
    <n v="2.75"/>
    <n v="0"/>
    <m/>
    <m/>
  </r>
  <r>
    <x v="20"/>
    <x v="7"/>
    <x v="2"/>
    <x v="4"/>
    <n v="0"/>
    <n v="2.75"/>
    <n v="2.75"/>
    <m/>
    <n v="2.75"/>
    <n v="0"/>
    <m/>
    <m/>
  </r>
  <r>
    <x v="20"/>
    <x v="8"/>
    <x v="2"/>
    <x v="4"/>
    <n v="0"/>
    <n v="2.75"/>
    <n v="2.75"/>
    <m/>
    <n v="2.75"/>
    <n v="0"/>
    <m/>
    <m/>
  </r>
  <r>
    <x v="20"/>
    <x v="9"/>
    <x v="3"/>
    <x v="4"/>
    <n v="0"/>
    <n v="2.75"/>
    <n v="2.75"/>
    <m/>
    <n v="2.75"/>
    <n v="0"/>
    <m/>
    <m/>
  </r>
  <r>
    <x v="20"/>
    <x v="10"/>
    <x v="3"/>
    <x v="4"/>
    <n v="0"/>
    <n v="2.75"/>
    <n v="2.75"/>
    <m/>
    <n v="2.75"/>
    <n v="0"/>
    <m/>
    <m/>
  </r>
  <r>
    <x v="20"/>
    <x v="11"/>
    <x v="3"/>
    <x v="4"/>
    <n v="0"/>
    <n v="2.75"/>
    <n v="2.75"/>
    <m/>
    <n v="2.7307700000000001"/>
    <n v="1.9230000000000001E-2"/>
    <m/>
    <m/>
  </r>
  <r>
    <x v="20"/>
    <x v="0"/>
    <x v="0"/>
    <x v="4"/>
    <n v="0"/>
    <n v="2.5"/>
    <n v="2.5"/>
    <m/>
    <n v="2.6"/>
    <n v="-0.1"/>
    <m/>
    <m/>
  </r>
  <r>
    <x v="20"/>
    <x v="1"/>
    <x v="0"/>
    <x v="4"/>
    <n v="0"/>
    <n v="2.5"/>
    <n v="2.5"/>
    <m/>
    <n v="2.44231"/>
    <n v="5.7689999999999998E-2"/>
    <m/>
    <m/>
  </r>
  <r>
    <x v="20"/>
    <x v="2"/>
    <x v="0"/>
    <x v="4"/>
    <n v="0.125"/>
    <n v="2.375"/>
    <n v="2.5"/>
    <m/>
    <n v="2.375"/>
    <n v="0.125"/>
    <m/>
    <m/>
  </r>
  <r>
    <x v="20"/>
    <x v="3"/>
    <x v="1"/>
    <x v="4"/>
    <n v="-0.25"/>
    <n v="2.5"/>
    <n v="2.25"/>
    <m/>
    <n v="2.40625"/>
    <n v="-0.15625"/>
    <m/>
    <m/>
  </r>
  <r>
    <x v="20"/>
    <x v="4"/>
    <x v="1"/>
    <x v="4"/>
    <n v="0"/>
    <n v="2.25"/>
    <n v="2.25"/>
    <m/>
    <n v="2.25"/>
    <n v="0"/>
    <m/>
    <m/>
  </r>
  <r>
    <x v="20"/>
    <x v="5"/>
    <x v="1"/>
    <x v="4"/>
    <n v="0"/>
    <n v="2.25"/>
    <n v="2.25"/>
    <m/>
    <n v="2.25"/>
    <n v="0"/>
    <m/>
    <m/>
  </r>
  <r>
    <x v="21"/>
    <x v="6"/>
    <x v="2"/>
    <x v="4"/>
    <n v="0"/>
    <n v="2.25"/>
    <n v="2.25"/>
    <m/>
    <n v="2.2166700000000001"/>
    <n v="3.3329999999999999E-2"/>
    <m/>
    <m/>
  </r>
  <r>
    <x v="21"/>
    <x v="7"/>
    <x v="2"/>
    <x v="4"/>
    <n v="0"/>
    <n v="2.25"/>
    <n v="2.25"/>
    <m/>
    <n v="2.1666699999999999"/>
    <n v="8.3330000000000001E-2"/>
    <m/>
    <m/>
  </r>
  <r>
    <x v="21"/>
    <x v="8"/>
    <x v="2"/>
    <x v="4"/>
    <n v="0"/>
    <n v="1.25"/>
    <n v="1.25"/>
    <m/>
    <n v="1.25"/>
    <n v="0"/>
    <m/>
    <m/>
  </r>
  <r>
    <x v="21"/>
    <x v="9"/>
    <x v="3"/>
    <x v="4"/>
    <n v="0"/>
    <n v="0.25"/>
    <n v="0.25"/>
    <m/>
    <n v="0.25"/>
    <n v="0"/>
    <m/>
    <m/>
  </r>
  <r>
    <x v="21"/>
    <x v="10"/>
    <x v="3"/>
    <x v="4"/>
    <n v="0"/>
    <n v="0.25"/>
    <n v="0.25"/>
    <m/>
    <n v="0.25"/>
    <n v="0"/>
    <m/>
    <m/>
  </r>
  <r>
    <x v="21"/>
    <x v="11"/>
    <x v="3"/>
    <x v="4"/>
    <n v="0"/>
    <n v="0.25"/>
    <n v="0.25"/>
    <m/>
    <n v="0.25"/>
    <n v="0"/>
    <m/>
    <m/>
  </r>
  <r>
    <x v="21"/>
    <x v="0"/>
    <x v="0"/>
    <x v="4"/>
    <n v="0"/>
    <n v="0.25"/>
    <n v="0.25"/>
    <m/>
    <n v="0.25"/>
    <n v="0"/>
    <m/>
    <m/>
  </r>
  <r>
    <x v="21"/>
    <x v="1"/>
    <x v="0"/>
    <x v="4"/>
    <n v="0"/>
    <n v="0.25"/>
    <n v="0.25"/>
    <m/>
    <n v="0.25"/>
    <n v="0"/>
    <m/>
    <m/>
  </r>
  <r>
    <x v="21"/>
    <x v="2"/>
    <x v="0"/>
    <x v="4"/>
    <n v="0"/>
    <n v="0.25"/>
    <n v="0.25"/>
    <m/>
    <n v="0.25"/>
    <n v="0"/>
    <m/>
    <m/>
  </r>
  <r>
    <x v="21"/>
    <x v="3"/>
    <x v="1"/>
    <x v="4"/>
    <n v="0"/>
    <n v="0.25"/>
    <n v="0.25"/>
    <m/>
    <n v="0.25"/>
    <n v="0"/>
    <m/>
    <m/>
  </r>
  <r>
    <x v="21"/>
    <x v="4"/>
    <x v="1"/>
    <x v="4"/>
    <n v="0"/>
    <n v="0.25"/>
    <n v="0.25"/>
    <m/>
    <n v="0.25"/>
    <n v="0"/>
    <m/>
    <m/>
  </r>
  <r>
    <x v="21"/>
    <x v="5"/>
    <x v="1"/>
    <x v="4"/>
    <n v="0"/>
    <n v="0.25"/>
    <n v="0.25"/>
    <m/>
    <n v="0.25"/>
    <n v="0"/>
    <m/>
    <m/>
  </r>
  <r>
    <x v="22"/>
    <x v="6"/>
    <x v="2"/>
    <x v="4"/>
    <n v="0"/>
    <n v="0.25"/>
    <n v="0.25"/>
    <m/>
    <n v="0.25"/>
    <n v="0"/>
    <m/>
    <m/>
  </r>
  <r>
    <x v="22"/>
    <x v="7"/>
    <x v="2"/>
    <x v="4"/>
    <n v="0"/>
    <n v="0.25"/>
    <n v="0.25"/>
    <m/>
    <n v="0.25"/>
    <n v="0"/>
    <m/>
    <m/>
  </r>
  <r>
    <x v="22"/>
    <x v="8"/>
    <x v="2"/>
    <x v="4"/>
    <n v="0"/>
    <n v="0.25"/>
    <n v="0.25"/>
    <m/>
    <n v="0.25"/>
    <n v="0"/>
    <m/>
    <m/>
  </r>
  <r>
    <x v="22"/>
    <x v="9"/>
    <x v="3"/>
    <x v="4"/>
    <n v="0"/>
    <n v="0.25"/>
    <n v="0.25"/>
    <m/>
    <n v="0.25"/>
    <n v="0"/>
    <m/>
    <m/>
  </r>
  <r>
    <x v="22"/>
    <x v="10"/>
    <x v="3"/>
    <x v="4"/>
    <n v="0"/>
    <n v="0.25"/>
    <n v="0.25"/>
    <m/>
    <n v="0.25"/>
    <n v="0"/>
    <m/>
    <m/>
  </r>
  <r>
    <x v="22"/>
    <x v="11"/>
    <x v="3"/>
    <x v="4"/>
    <n v="0"/>
    <n v="0.25"/>
    <n v="0.25"/>
    <m/>
    <n v="0.25"/>
    <n v="0"/>
    <m/>
    <m/>
  </r>
  <r>
    <x v="22"/>
    <x v="0"/>
    <x v="0"/>
    <x v="4"/>
    <n v="0"/>
    <n v="0.25"/>
    <n v="0.25"/>
    <m/>
    <n v="0.28125"/>
    <n v="-3.125E-2"/>
    <m/>
    <m/>
  </r>
  <r>
    <x v="22"/>
    <x v="1"/>
    <x v="0"/>
    <x v="4"/>
    <n v="0.25"/>
    <n v="0.25"/>
    <n v="0.5"/>
    <m/>
    <n v="0.39285700000000001"/>
    <n v="0.107143"/>
    <m/>
    <m/>
  </r>
  <r>
    <x v="22"/>
    <x v="2"/>
    <x v="0"/>
    <x v="4"/>
    <n v="0"/>
    <n v="1"/>
    <n v="1"/>
    <m/>
    <n v="0.96428599999999998"/>
    <n v="3.5714000000000003E-2"/>
    <m/>
    <m/>
  </r>
  <r>
    <x v="22"/>
    <x v="3"/>
    <x v="1"/>
    <x v="4"/>
    <n v="0"/>
    <n v="1.5"/>
    <n v="1.5"/>
    <m/>
    <n v="1.35714"/>
    <n v="0.14285999999999999"/>
    <m/>
    <m/>
  </r>
  <r>
    <x v="22"/>
    <x v="4"/>
    <x v="1"/>
    <x v="4"/>
    <n v="0"/>
    <n v="2"/>
    <n v="2"/>
    <m/>
    <n v="2"/>
    <n v="0"/>
    <m/>
    <m/>
  </r>
  <r>
    <x v="22"/>
    <x v="5"/>
    <x v="1"/>
    <x v="4"/>
    <n v="0"/>
    <n v="2.5"/>
    <n v="2.5"/>
    <m/>
    <n v="2.5"/>
    <n v="0"/>
    <m/>
    <m/>
  </r>
  <r>
    <x v="23"/>
    <x v="6"/>
    <x v="2"/>
    <x v="4"/>
    <n v="0"/>
    <n v="3"/>
    <n v="3"/>
    <m/>
    <n v="3.0714299999999999"/>
    <n v="-7.1429999999999993E-2"/>
    <m/>
    <m/>
  </r>
  <r>
    <x v="23"/>
    <x v="7"/>
    <x v="2"/>
    <x v="4"/>
    <n v="0"/>
    <n v="3.5"/>
    <n v="3.5"/>
    <m/>
    <n v="3.5"/>
    <n v="0"/>
    <m/>
    <m/>
  </r>
  <r>
    <x v="23"/>
    <x v="8"/>
    <x v="2"/>
    <x v="4"/>
    <n v="0"/>
    <n v="4"/>
    <n v="4"/>
    <m/>
    <n v="4"/>
    <n v="0"/>
    <m/>
    <m/>
  </r>
  <r>
    <x v="23"/>
    <x v="9"/>
    <x v="3"/>
    <x v="4"/>
    <n v="0"/>
    <n v="4.5"/>
    <n v="4.5"/>
    <m/>
    <n v="4.5"/>
    <n v="0"/>
    <m/>
    <m/>
  </r>
  <r>
    <x v="23"/>
    <x v="10"/>
    <x v="3"/>
    <x v="4"/>
    <n v="0"/>
    <n v="5"/>
    <n v="5"/>
    <m/>
    <n v="5"/>
    <n v="0"/>
    <m/>
    <m/>
  </r>
  <r>
    <x v="23"/>
    <x v="11"/>
    <x v="3"/>
    <x v="4"/>
    <n v="0"/>
    <n v="5.5"/>
    <n v="5.5"/>
    <m/>
    <n v="5.5"/>
    <n v="0"/>
    <m/>
    <m/>
  </r>
  <r>
    <x v="23"/>
    <x v="0"/>
    <x v="0"/>
    <x v="4"/>
    <n v="0"/>
    <n v="6"/>
    <n v="6"/>
    <m/>
    <n v="6"/>
    <n v="0"/>
    <m/>
    <m/>
  </r>
  <r>
    <x v="23"/>
    <x v="1"/>
    <x v="0"/>
    <x v="4"/>
    <n v="0"/>
    <n v="6.5"/>
    <n v="6.5"/>
    <m/>
    <n v="6.5250000000000004"/>
    <n v="-2.5000000000000001E-2"/>
    <m/>
    <m/>
  </r>
  <r>
    <x v="23"/>
    <x v="2"/>
    <x v="0"/>
    <x v="4"/>
    <n v="-0.25"/>
    <n v="7"/>
    <n v="6.75"/>
    <m/>
    <n v="6.9375"/>
    <n v="-0.1875"/>
    <m/>
    <m/>
  </r>
  <r>
    <x v="23"/>
    <x v="3"/>
    <x v="1"/>
    <x v="4"/>
    <n v="0"/>
    <n v="7"/>
    <n v="7"/>
    <m/>
    <n v="7"/>
    <n v="0"/>
    <m/>
    <m/>
  </r>
  <r>
    <x v="23"/>
    <x v="4"/>
    <x v="1"/>
    <x v="4"/>
    <n v="0"/>
    <n v="7.25"/>
    <n v="7.25"/>
    <m/>
    <n v="7.1458300000000001"/>
    <n v="0.10417"/>
    <m/>
    <m/>
  </r>
  <r>
    <x v="23"/>
    <x v="5"/>
    <x v="1"/>
    <x v="4"/>
    <n v="0"/>
    <n v="7.5"/>
    <n v="7.5"/>
    <m/>
    <n v="7.5"/>
    <n v="0"/>
    <m/>
    <m/>
  </r>
  <r>
    <x v="24"/>
    <x v="6"/>
    <x v="2"/>
    <x v="4"/>
    <n v="0"/>
    <n v="7.75"/>
    <n v="7.75"/>
    <m/>
    <n v="7.7272699999999999"/>
    <n v="2.273E-2"/>
    <m/>
    <m/>
  </r>
  <r>
    <x v="24"/>
    <x v="7"/>
    <x v="2"/>
    <x v="4"/>
    <n v="-0.25"/>
    <n v="8"/>
    <n v="7.75"/>
    <m/>
    <n v="7.9772699999999999"/>
    <n v="-0.22727"/>
    <m/>
    <m/>
  </r>
  <r>
    <x v="24"/>
    <x v="8"/>
    <x v="2"/>
    <x v="4"/>
    <n v="0"/>
    <n v="7.75"/>
    <n v="7.75"/>
    <m/>
    <n v="7.75"/>
    <n v="0"/>
    <m/>
    <m/>
  </r>
  <r>
    <x v="24"/>
    <x v="9"/>
    <x v="3"/>
    <x v="4"/>
    <n v="0"/>
    <n v="7.75"/>
    <n v="7.75"/>
    <m/>
    <n v="7.75"/>
    <n v="0"/>
    <m/>
    <m/>
  </r>
  <r>
    <x v="24"/>
    <x v="10"/>
    <x v="3"/>
    <x v="4"/>
    <n v="0"/>
    <n v="7.75"/>
    <n v="7.75"/>
    <m/>
    <n v="7.75"/>
    <n v="0"/>
    <m/>
    <m/>
  </r>
  <r>
    <x v="24"/>
    <x v="11"/>
    <x v="3"/>
    <x v="4"/>
    <n v="0"/>
    <n v="7.75"/>
    <n v="7.75"/>
    <m/>
    <n v="7.75"/>
    <n v="0"/>
    <m/>
    <m/>
  </r>
  <r>
    <x v="24"/>
    <x v="0"/>
    <x v="0"/>
    <x v="4"/>
    <n v="0"/>
    <n v="7.75"/>
    <n v="7.75"/>
    <m/>
    <n v="7.75"/>
    <n v="0"/>
    <m/>
    <m/>
  </r>
  <r>
    <x v="24"/>
    <x v="1"/>
    <x v="0"/>
    <x v="4"/>
    <n v="0"/>
    <n v="7.75"/>
    <n v="7.75"/>
    <m/>
    <n v="7.7321400000000002"/>
    <n v="1.7860000000000001E-2"/>
    <m/>
    <m/>
  </r>
  <r>
    <x v="24"/>
    <x v="2"/>
    <x v="0"/>
    <x v="4"/>
    <n v="0"/>
    <n v="7.5"/>
    <n v="7.5"/>
    <m/>
    <n v="7.5416699999999999"/>
    <n v="-4.1669999999999999E-2"/>
    <m/>
    <m/>
  </r>
  <r>
    <x v="24"/>
    <x v="3"/>
    <x v="1"/>
    <x v="4"/>
    <n v="0"/>
    <n v="7.25"/>
    <n v="7.25"/>
    <m/>
    <n v="7.2692300000000003"/>
    <n v="-1.9230000000000001E-2"/>
    <m/>
    <m/>
  </r>
  <r>
    <x v="24"/>
    <x v="4"/>
    <x v="1"/>
    <x v="4"/>
    <n v="0"/>
    <n v="7"/>
    <n v="7"/>
    <m/>
    <n v="6.9821400000000002"/>
    <n v="1.7860000000000001E-2"/>
    <m/>
    <m/>
  </r>
  <r>
    <x v="24"/>
    <x v="5"/>
    <x v="1"/>
    <x v="4"/>
    <n v="0"/>
    <n v="6.75"/>
    <n v="6.75"/>
    <m/>
    <n v="6.69231"/>
    <n v="5.7689999999999998E-2"/>
    <m/>
    <m/>
  </r>
  <r>
    <x v="25"/>
    <x v="6"/>
    <x v="2"/>
    <x v="4"/>
    <n v="0"/>
    <n v="6.5"/>
    <n v="6.5"/>
    <m/>
    <n v="6.5"/>
    <n v="0"/>
    <m/>
    <m/>
  </r>
  <r>
    <x v="25"/>
    <x v="7"/>
    <x v="2"/>
    <x v="4"/>
    <n v="0"/>
    <n v="6.25"/>
    <n v="6.25"/>
    <m/>
    <n v="6.25"/>
    <n v="0"/>
    <m/>
    <m/>
  </r>
  <r>
    <x v="25"/>
    <x v="8"/>
    <x v="2"/>
    <x v="4"/>
    <n v="0.25"/>
    <n v="6"/>
    <n v="6.25"/>
    <m/>
    <n v="6.0192300000000003"/>
    <n v="0.23077"/>
    <m/>
    <m/>
  </r>
  <r>
    <x v="25"/>
    <x v="9"/>
    <x v="3"/>
    <x v="4"/>
    <n v="-0.25"/>
    <n v="6.25"/>
    <n v="6"/>
    <m/>
    <n v="6.2307699999999997"/>
    <n v="-0.23077"/>
    <m/>
    <m/>
  </r>
  <r>
    <x v="25"/>
    <x v="10"/>
    <x v="3"/>
    <x v="4"/>
    <n v="0"/>
    <n v="5.75"/>
    <n v="5.75"/>
    <m/>
    <n v="5.80769"/>
    <n v="-5.7689999999999998E-2"/>
    <m/>
    <m/>
  </r>
  <r>
    <x v="25"/>
    <x v="11"/>
    <x v="3"/>
    <x v="4"/>
    <n v="0.25"/>
    <n v="5.5"/>
    <n v="5.75"/>
    <m/>
    <n v="5.5625"/>
    <n v="0.1875"/>
    <m/>
    <m/>
  </r>
  <r>
    <x v="25"/>
    <x v="0"/>
    <x v="0"/>
    <x v="4"/>
    <n v="0"/>
    <n v="5.75"/>
    <n v="5.75"/>
    <m/>
    <n v="5.69231"/>
    <n v="5.7689999999999998E-2"/>
    <m/>
    <m/>
  </r>
  <r>
    <x v="25"/>
    <x v="1"/>
    <x v="0"/>
    <x v="4"/>
    <n v="-0.25"/>
    <n v="5.75"/>
    <n v="5.5"/>
    <m/>
    <n v="5.6785699999999997"/>
    <n v="-0.17857000000000001"/>
    <m/>
    <m/>
  </r>
  <r>
    <x v="25"/>
    <x v="2"/>
    <x v="0"/>
    <x v="4"/>
    <n v="0"/>
    <n v="5.25"/>
    <n v="5.25"/>
    <m/>
    <n v="5.30769"/>
    <n v="-5.7689999999999998E-2"/>
    <m/>
    <m/>
  </r>
  <r>
    <x v="25"/>
    <x v="3"/>
    <x v="1"/>
    <x v="4"/>
    <n v="0.25"/>
    <n v="5"/>
    <n v="5.25"/>
    <m/>
    <n v="5.0416699999999999"/>
    <n v="0.20832999999999999"/>
    <m/>
    <m/>
  </r>
  <r>
    <x v="25"/>
    <x v="4"/>
    <x v="1"/>
    <x v="4"/>
    <n v="0"/>
    <n v="5"/>
    <n v="5"/>
    <m/>
    <n v="5.1136400000000002"/>
    <n v="-0.11364"/>
    <m/>
    <m/>
  </r>
  <r>
    <x v="25"/>
    <x v="5"/>
    <x v="1"/>
    <x v="4"/>
    <n v="0"/>
    <n v="5"/>
    <n v="5"/>
    <m/>
    <n v="4.9375"/>
    <n v="6.25E-2"/>
    <m/>
    <m/>
  </r>
  <r>
    <x v="26"/>
    <x v="6"/>
    <x v="2"/>
    <x v="4"/>
    <n v="0"/>
    <n v="4.75"/>
    <n v="4.75"/>
    <m/>
    <n v="4.84091"/>
    <n v="-9.0910000000000005E-2"/>
    <m/>
    <m/>
  </r>
  <r>
    <x v="26"/>
    <x v="7"/>
    <x v="2"/>
    <x v="4"/>
    <n v="0"/>
    <n v="4.75"/>
    <n v="4.75"/>
    <m/>
    <n v="4.6730799999999997"/>
    <n v="7.6920000000000002E-2"/>
    <m/>
    <m/>
  </r>
  <r>
    <x v="26"/>
    <x v="8"/>
    <x v="2"/>
    <x v="4"/>
    <n v="0"/>
    <n v="4.75"/>
    <n v="4.75"/>
    <m/>
    <n v="4.65909"/>
    <n v="9.0910000000000005E-2"/>
    <m/>
    <m/>
  </r>
  <r>
    <x v="26"/>
    <x v="9"/>
    <x v="3"/>
    <x v="4"/>
    <n v="0"/>
    <n v="4.75"/>
    <n v="4.75"/>
    <m/>
    <n v="4.7083300000000001"/>
    <n v="4.1669999999999999E-2"/>
    <m/>
    <m/>
  </r>
  <r>
    <x v="26"/>
    <x v="10"/>
    <x v="3"/>
    <x v="4"/>
    <n v="-0.25"/>
    <n v="4.75"/>
    <n v="4.5"/>
    <m/>
    <n v="4.6538500000000003"/>
    <n v="-0.1538499999999999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84386-8893-4214-8A8C-5DB294C725B1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282" firstHeaderRow="0" firstDataRow="1" firstDataCol="2" rowPageCount="1" colPageCount="1"/>
  <pivotFields count="12">
    <pivotField axis="axisRow" compact="0" outline="0" showAll="0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6"/>
        <item x="7"/>
        <item x="8"/>
        <item x="9"/>
        <item x="10"/>
        <item x="11"/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2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79">
    <i>
      <x v="3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6"/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item="2" hier="-1"/>
  </pageFields>
  <dataFields count="3">
    <dataField name="Promedio de shock" fld="4" subtotal="average" baseField="2" baseItem="1"/>
    <dataField name="Promedio de IMF_shock" fld="7" subtotal="average" baseField="2" baseItem="3"/>
    <dataField name="Promedio de shock2" fld="9" subtotal="average" baseField="2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A7B13-43B6-4A13-B1A0-E5B7B92C277A}">
  <dimension ref="A1:L314"/>
  <sheetViews>
    <sheetView tabSelected="1" topLeftCell="A187" workbookViewId="0">
      <selection activeCell="E192" sqref="E192"/>
    </sheetView>
  </sheetViews>
  <sheetFormatPr baseColWidth="10" defaultRowHeight="14.5" x14ac:dyDescent="0.35"/>
  <cols>
    <col min="1" max="1" width="11.7265625" bestFit="1" customWidth="1"/>
    <col min="2" max="2" width="11" bestFit="1" customWidth="1"/>
    <col min="3" max="3" width="16.90625" bestFit="1" customWidth="1"/>
    <col min="4" max="4" width="21.1796875" bestFit="1" customWidth="1"/>
    <col min="5" max="5" width="17.90625" bestFit="1" customWidth="1"/>
    <col min="6" max="6" width="12" bestFit="1" customWidth="1"/>
  </cols>
  <sheetData>
    <row r="1" spans="1:11" x14ac:dyDescent="0.35">
      <c r="A1" s="2" t="s">
        <v>312</v>
      </c>
      <c r="B1" t="s">
        <v>323</v>
      </c>
    </row>
    <row r="3" spans="1:11" x14ac:dyDescent="0.35">
      <c r="A3" s="2" t="s">
        <v>335</v>
      </c>
      <c r="B3" s="2" t="s">
        <v>336</v>
      </c>
      <c r="C3" t="s">
        <v>340</v>
      </c>
      <c r="D3" t="s">
        <v>339</v>
      </c>
      <c r="E3" t="s">
        <v>343</v>
      </c>
      <c r="I3" t="s">
        <v>341</v>
      </c>
      <c r="J3" t="s">
        <v>342</v>
      </c>
      <c r="K3" t="s">
        <v>344</v>
      </c>
    </row>
    <row r="4" spans="1:11" x14ac:dyDescent="0.35">
      <c r="A4">
        <v>2002</v>
      </c>
      <c r="B4">
        <v>3</v>
      </c>
      <c r="C4">
        <v>-0.25</v>
      </c>
      <c r="E4">
        <v>-0.28333000000000003</v>
      </c>
      <c r="H4" s="3">
        <f>DATE(A4,B4,1)</f>
        <v>37316</v>
      </c>
      <c r="I4">
        <f>IF(C4="","",C4)</f>
        <v>-0.25</v>
      </c>
      <c r="J4" t="str">
        <f>IF(D4="","",D4)</f>
        <v/>
      </c>
      <c r="K4">
        <f>IF(E4="","",E4)</f>
        <v>-0.28333000000000003</v>
      </c>
    </row>
    <row r="5" spans="1:11" x14ac:dyDescent="0.35">
      <c r="A5">
        <v>2002</v>
      </c>
      <c r="B5">
        <v>4</v>
      </c>
      <c r="C5">
        <v>-0.5</v>
      </c>
      <c r="E5">
        <v>-0.5</v>
      </c>
      <c r="H5" s="3">
        <f t="shared" ref="H5:H68" si="0">DATE(A5,B5,1)</f>
        <v>37347</v>
      </c>
      <c r="I5">
        <f t="shared" ref="I5:I68" si="1">IF(C5="","",C5)</f>
        <v>-0.5</v>
      </c>
      <c r="J5" t="str">
        <f t="shared" ref="J5:J68" si="2">IF(D5="","",D5)</f>
        <v/>
      </c>
      <c r="K5">
        <f t="shared" ref="K5:K68" si="3">IF(E5="","",E5)</f>
        <v>-0.5</v>
      </c>
    </row>
    <row r="6" spans="1:11" x14ac:dyDescent="0.35">
      <c r="A6">
        <v>2002</v>
      </c>
      <c r="B6">
        <v>5</v>
      </c>
      <c r="C6">
        <v>-0.25</v>
      </c>
      <c r="E6">
        <v>-0.30556</v>
      </c>
      <c r="H6" s="3">
        <f t="shared" si="0"/>
        <v>37377</v>
      </c>
      <c r="I6">
        <f t="shared" si="1"/>
        <v>-0.25</v>
      </c>
      <c r="J6" t="str">
        <f t="shared" si="2"/>
        <v/>
      </c>
      <c r="K6">
        <f t="shared" si="3"/>
        <v>-0.30556</v>
      </c>
    </row>
    <row r="7" spans="1:11" x14ac:dyDescent="0.35">
      <c r="A7">
        <v>2002</v>
      </c>
      <c r="B7">
        <v>6</v>
      </c>
      <c r="C7">
        <v>0</v>
      </c>
      <c r="E7">
        <v>-0.14582999999999999</v>
      </c>
      <c r="H7" s="3">
        <f t="shared" si="0"/>
        <v>37408</v>
      </c>
      <c r="I7">
        <f t="shared" si="1"/>
        <v>0</v>
      </c>
      <c r="J7" t="str">
        <f t="shared" si="2"/>
        <v/>
      </c>
      <c r="K7">
        <f t="shared" si="3"/>
        <v>-0.14582999999999999</v>
      </c>
    </row>
    <row r="8" spans="1:11" x14ac:dyDescent="0.35">
      <c r="A8">
        <v>2002</v>
      </c>
      <c r="B8">
        <v>7</v>
      </c>
      <c r="C8">
        <v>0</v>
      </c>
      <c r="E8">
        <v>0</v>
      </c>
      <c r="H8" s="3">
        <f t="shared" si="0"/>
        <v>37438</v>
      </c>
      <c r="I8">
        <f t="shared" si="1"/>
        <v>0</v>
      </c>
      <c r="J8" t="str">
        <f t="shared" si="2"/>
        <v/>
      </c>
      <c r="K8">
        <f t="shared" si="3"/>
        <v>0</v>
      </c>
    </row>
    <row r="9" spans="1:11" x14ac:dyDescent="0.35">
      <c r="A9">
        <v>2002</v>
      </c>
      <c r="B9">
        <v>8</v>
      </c>
      <c r="C9">
        <v>0</v>
      </c>
      <c r="E9">
        <v>0</v>
      </c>
      <c r="H9" s="3">
        <f t="shared" si="0"/>
        <v>37469</v>
      </c>
      <c r="I9">
        <f t="shared" si="1"/>
        <v>0</v>
      </c>
      <c r="J9" t="str">
        <f t="shared" si="2"/>
        <v/>
      </c>
      <c r="K9">
        <f t="shared" si="3"/>
        <v>0</v>
      </c>
    </row>
    <row r="10" spans="1:11" x14ac:dyDescent="0.35">
      <c r="A10">
        <v>2002</v>
      </c>
      <c r="B10">
        <v>9</v>
      </c>
      <c r="C10">
        <v>0</v>
      </c>
      <c r="E10">
        <v>0</v>
      </c>
      <c r="H10" s="3">
        <f t="shared" si="0"/>
        <v>37500</v>
      </c>
      <c r="I10">
        <f t="shared" si="1"/>
        <v>0</v>
      </c>
      <c r="J10" t="str">
        <f t="shared" si="2"/>
        <v/>
      </c>
      <c r="K10">
        <f t="shared" si="3"/>
        <v>0</v>
      </c>
    </row>
    <row r="11" spans="1:11" x14ac:dyDescent="0.35">
      <c r="A11">
        <v>2002</v>
      </c>
      <c r="B11">
        <v>10</v>
      </c>
      <c r="C11">
        <v>0</v>
      </c>
      <c r="E11">
        <v>0</v>
      </c>
      <c r="H11" s="3">
        <f t="shared" si="0"/>
        <v>37530</v>
      </c>
      <c r="I11">
        <f t="shared" si="1"/>
        <v>0</v>
      </c>
      <c r="J11" t="str">
        <f t="shared" si="2"/>
        <v/>
      </c>
      <c r="K11">
        <f t="shared" si="3"/>
        <v>0</v>
      </c>
    </row>
    <row r="12" spans="1:11" x14ac:dyDescent="0.35">
      <c r="A12">
        <v>2002</v>
      </c>
      <c r="B12">
        <v>11</v>
      </c>
      <c r="C12">
        <v>0</v>
      </c>
      <c r="E12">
        <v>0</v>
      </c>
      <c r="H12" s="3">
        <f t="shared" si="0"/>
        <v>37561</v>
      </c>
      <c r="I12">
        <f t="shared" si="1"/>
        <v>0</v>
      </c>
      <c r="J12" t="str">
        <f t="shared" si="2"/>
        <v/>
      </c>
      <c r="K12">
        <f t="shared" si="3"/>
        <v>0</v>
      </c>
    </row>
    <row r="13" spans="1:11" x14ac:dyDescent="0.35">
      <c r="A13">
        <v>2002</v>
      </c>
      <c r="B13">
        <v>12</v>
      </c>
      <c r="C13">
        <v>0</v>
      </c>
      <c r="E13">
        <v>0</v>
      </c>
      <c r="H13" s="3">
        <f t="shared" si="0"/>
        <v>37591</v>
      </c>
      <c r="I13">
        <f t="shared" si="1"/>
        <v>0</v>
      </c>
      <c r="J13" t="str">
        <f t="shared" si="2"/>
        <v/>
      </c>
      <c r="K13">
        <f t="shared" si="3"/>
        <v>0</v>
      </c>
    </row>
    <row r="14" spans="1:11" x14ac:dyDescent="0.35">
      <c r="A14">
        <v>2003</v>
      </c>
      <c r="B14">
        <v>1</v>
      </c>
      <c r="C14">
        <v>0</v>
      </c>
      <c r="E14">
        <v>0</v>
      </c>
      <c r="H14" s="3">
        <f t="shared" si="0"/>
        <v>37622</v>
      </c>
      <c r="I14">
        <f t="shared" si="1"/>
        <v>0</v>
      </c>
      <c r="J14" t="str">
        <f t="shared" si="2"/>
        <v/>
      </c>
      <c r="K14">
        <f t="shared" si="3"/>
        <v>0</v>
      </c>
    </row>
    <row r="15" spans="1:11" x14ac:dyDescent="0.35">
      <c r="A15">
        <v>2003</v>
      </c>
      <c r="B15">
        <v>2</v>
      </c>
      <c r="C15">
        <v>0</v>
      </c>
      <c r="E15">
        <v>0</v>
      </c>
      <c r="H15" s="3">
        <f t="shared" si="0"/>
        <v>37653</v>
      </c>
      <c r="I15">
        <f t="shared" si="1"/>
        <v>0</v>
      </c>
      <c r="J15" t="str">
        <f t="shared" si="2"/>
        <v/>
      </c>
      <c r="K15">
        <f t="shared" si="3"/>
        <v>0</v>
      </c>
    </row>
    <row r="16" spans="1:11" x14ac:dyDescent="0.35">
      <c r="A16">
        <v>2003</v>
      </c>
      <c r="B16">
        <v>3</v>
      </c>
      <c r="C16">
        <v>0</v>
      </c>
      <c r="E16">
        <v>0</v>
      </c>
      <c r="H16" s="3">
        <f t="shared" si="0"/>
        <v>37681</v>
      </c>
      <c r="I16">
        <f t="shared" si="1"/>
        <v>0</v>
      </c>
      <c r="J16" t="str">
        <f t="shared" si="2"/>
        <v/>
      </c>
      <c r="K16">
        <f t="shared" si="3"/>
        <v>0</v>
      </c>
    </row>
    <row r="17" spans="1:11" x14ac:dyDescent="0.35">
      <c r="A17">
        <v>2003</v>
      </c>
      <c r="B17">
        <v>4</v>
      </c>
      <c r="C17">
        <v>0.25</v>
      </c>
      <c r="E17">
        <v>0.25</v>
      </c>
      <c r="H17" s="3">
        <f t="shared" si="0"/>
        <v>37712</v>
      </c>
      <c r="I17">
        <f t="shared" si="1"/>
        <v>0.25</v>
      </c>
      <c r="J17" t="str">
        <f t="shared" si="2"/>
        <v/>
      </c>
      <c r="K17">
        <f t="shared" si="3"/>
        <v>0.25</v>
      </c>
    </row>
    <row r="18" spans="1:11" x14ac:dyDescent="0.35">
      <c r="A18">
        <v>2003</v>
      </c>
      <c r="B18">
        <v>5</v>
      </c>
      <c r="C18">
        <v>0</v>
      </c>
      <c r="E18">
        <v>0</v>
      </c>
      <c r="H18" s="3">
        <f t="shared" si="0"/>
        <v>37742</v>
      </c>
      <c r="I18">
        <f t="shared" si="1"/>
        <v>0</v>
      </c>
      <c r="J18" t="str">
        <f t="shared" si="2"/>
        <v/>
      </c>
      <c r="K18">
        <f t="shared" si="3"/>
        <v>0</v>
      </c>
    </row>
    <row r="19" spans="1:11" x14ac:dyDescent="0.35">
      <c r="A19">
        <v>2003</v>
      </c>
      <c r="B19">
        <v>6</v>
      </c>
      <c r="C19">
        <v>0</v>
      </c>
      <c r="E19">
        <v>0</v>
      </c>
      <c r="H19" s="3">
        <f t="shared" si="0"/>
        <v>37773</v>
      </c>
      <c r="I19">
        <f t="shared" si="1"/>
        <v>0</v>
      </c>
      <c r="J19" t="str">
        <f t="shared" si="2"/>
        <v/>
      </c>
      <c r="K19">
        <f t="shared" si="3"/>
        <v>0</v>
      </c>
    </row>
    <row r="20" spans="1:11" x14ac:dyDescent="0.35">
      <c r="A20">
        <v>2003</v>
      </c>
      <c r="B20">
        <v>7</v>
      </c>
      <c r="C20">
        <v>0</v>
      </c>
      <c r="E20">
        <v>0</v>
      </c>
      <c r="H20" s="3">
        <f t="shared" si="0"/>
        <v>37803</v>
      </c>
      <c r="I20">
        <f t="shared" si="1"/>
        <v>0</v>
      </c>
      <c r="J20" t="str">
        <f t="shared" si="2"/>
        <v/>
      </c>
      <c r="K20">
        <f t="shared" si="3"/>
        <v>0</v>
      </c>
    </row>
    <row r="21" spans="1:11" x14ac:dyDescent="0.35">
      <c r="A21">
        <v>2003</v>
      </c>
      <c r="B21">
        <v>8</v>
      </c>
      <c r="C21">
        <v>0</v>
      </c>
      <c r="E21">
        <v>0</v>
      </c>
      <c r="H21" s="3">
        <f t="shared" si="0"/>
        <v>37834</v>
      </c>
      <c r="I21">
        <f t="shared" si="1"/>
        <v>0</v>
      </c>
      <c r="J21" t="str">
        <f t="shared" si="2"/>
        <v/>
      </c>
      <c r="K21">
        <f t="shared" si="3"/>
        <v>0</v>
      </c>
    </row>
    <row r="22" spans="1:11" x14ac:dyDescent="0.35">
      <c r="A22">
        <v>2003</v>
      </c>
      <c r="B22">
        <v>9</v>
      </c>
      <c r="C22">
        <v>0</v>
      </c>
      <c r="E22">
        <v>0</v>
      </c>
      <c r="H22" s="3">
        <f t="shared" si="0"/>
        <v>37865</v>
      </c>
      <c r="I22">
        <f t="shared" si="1"/>
        <v>0</v>
      </c>
      <c r="J22" t="str">
        <f t="shared" si="2"/>
        <v/>
      </c>
      <c r="K22">
        <f t="shared" si="3"/>
        <v>0</v>
      </c>
    </row>
    <row r="23" spans="1:11" x14ac:dyDescent="0.35">
      <c r="A23">
        <v>2003</v>
      </c>
      <c r="B23">
        <v>10</v>
      </c>
      <c r="C23">
        <v>0</v>
      </c>
      <c r="E23">
        <v>-5.5559999999999998E-2</v>
      </c>
      <c r="H23" s="3">
        <f t="shared" si="0"/>
        <v>37895</v>
      </c>
      <c r="I23">
        <f t="shared" si="1"/>
        <v>0</v>
      </c>
      <c r="J23" t="str">
        <f t="shared" si="2"/>
        <v/>
      </c>
      <c r="K23">
        <f t="shared" si="3"/>
        <v>-5.5559999999999998E-2</v>
      </c>
    </row>
    <row r="24" spans="1:11" x14ac:dyDescent="0.35">
      <c r="A24">
        <v>2003</v>
      </c>
      <c r="B24">
        <v>11</v>
      </c>
      <c r="C24">
        <v>0</v>
      </c>
      <c r="E24">
        <v>0</v>
      </c>
      <c r="H24" s="3">
        <f t="shared" si="0"/>
        <v>37926</v>
      </c>
      <c r="I24">
        <f t="shared" si="1"/>
        <v>0</v>
      </c>
      <c r="J24" t="str">
        <f t="shared" si="2"/>
        <v/>
      </c>
      <c r="K24">
        <f t="shared" si="3"/>
        <v>0</v>
      </c>
    </row>
    <row r="25" spans="1:11" x14ac:dyDescent="0.35">
      <c r="A25">
        <v>2003</v>
      </c>
      <c r="B25">
        <v>12</v>
      </c>
      <c r="C25">
        <v>0</v>
      </c>
      <c r="E25">
        <v>0</v>
      </c>
      <c r="H25" s="3">
        <f t="shared" si="0"/>
        <v>37956</v>
      </c>
      <c r="I25">
        <f t="shared" si="1"/>
        <v>0</v>
      </c>
      <c r="J25" t="str">
        <f t="shared" si="2"/>
        <v/>
      </c>
      <c r="K25">
        <f t="shared" si="3"/>
        <v>0</v>
      </c>
    </row>
    <row r="26" spans="1:11" x14ac:dyDescent="0.35">
      <c r="A26">
        <v>2004</v>
      </c>
      <c r="B26">
        <v>1</v>
      </c>
      <c r="C26">
        <v>0</v>
      </c>
      <c r="E26">
        <v>0</v>
      </c>
      <c r="H26" s="3">
        <f t="shared" si="0"/>
        <v>37987</v>
      </c>
      <c r="I26">
        <f t="shared" si="1"/>
        <v>0</v>
      </c>
      <c r="J26" t="str">
        <f t="shared" si="2"/>
        <v/>
      </c>
      <c r="K26">
        <f t="shared" si="3"/>
        <v>0</v>
      </c>
    </row>
    <row r="27" spans="1:11" x14ac:dyDescent="0.35">
      <c r="A27">
        <v>2004</v>
      </c>
      <c r="B27">
        <v>2</v>
      </c>
      <c r="C27">
        <v>0</v>
      </c>
      <c r="E27">
        <v>0</v>
      </c>
      <c r="H27" s="3">
        <f t="shared" si="0"/>
        <v>38018</v>
      </c>
      <c r="I27">
        <f t="shared" si="1"/>
        <v>0</v>
      </c>
      <c r="J27" t="str">
        <f t="shared" si="2"/>
        <v/>
      </c>
      <c r="K27">
        <f t="shared" si="3"/>
        <v>0</v>
      </c>
    </row>
    <row r="28" spans="1:11" x14ac:dyDescent="0.35">
      <c r="A28">
        <v>2004</v>
      </c>
      <c r="B28">
        <v>3</v>
      </c>
      <c r="C28">
        <v>0.25</v>
      </c>
      <c r="E28">
        <v>0.13042999999999999</v>
      </c>
      <c r="H28" s="3">
        <f t="shared" si="0"/>
        <v>38047</v>
      </c>
      <c r="I28">
        <f t="shared" si="1"/>
        <v>0.25</v>
      </c>
      <c r="J28" t="str">
        <f t="shared" si="2"/>
        <v/>
      </c>
      <c r="K28">
        <f t="shared" si="3"/>
        <v>0.13042999999999999</v>
      </c>
    </row>
    <row r="29" spans="1:11" x14ac:dyDescent="0.35">
      <c r="A29">
        <v>2004</v>
      </c>
      <c r="B29">
        <v>4</v>
      </c>
      <c r="C29">
        <v>0</v>
      </c>
      <c r="E29">
        <v>0.11905</v>
      </c>
      <c r="H29" s="3">
        <f t="shared" si="0"/>
        <v>38078</v>
      </c>
      <c r="I29">
        <f t="shared" si="1"/>
        <v>0</v>
      </c>
      <c r="J29" t="str">
        <f t="shared" si="2"/>
        <v/>
      </c>
      <c r="K29">
        <f t="shared" si="3"/>
        <v>0.11905</v>
      </c>
    </row>
    <row r="30" spans="1:11" x14ac:dyDescent="0.35">
      <c r="A30">
        <v>2004</v>
      </c>
      <c r="B30">
        <v>5</v>
      </c>
      <c r="C30">
        <v>0</v>
      </c>
      <c r="E30">
        <v>0</v>
      </c>
      <c r="H30" s="3">
        <f t="shared" si="0"/>
        <v>38108</v>
      </c>
      <c r="I30">
        <f t="shared" si="1"/>
        <v>0</v>
      </c>
      <c r="J30" t="str">
        <f t="shared" si="2"/>
        <v/>
      </c>
      <c r="K30">
        <f t="shared" si="3"/>
        <v>0</v>
      </c>
    </row>
    <row r="31" spans="1:11" x14ac:dyDescent="0.35">
      <c r="A31">
        <v>2004</v>
      </c>
      <c r="B31">
        <v>6</v>
      </c>
      <c r="C31">
        <v>0</v>
      </c>
      <c r="E31">
        <v>1.6670000000000001E-2</v>
      </c>
      <c r="H31" s="3">
        <f t="shared" si="0"/>
        <v>38139</v>
      </c>
      <c r="I31">
        <f t="shared" si="1"/>
        <v>0</v>
      </c>
      <c r="J31" t="str">
        <f t="shared" si="2"/>
        <v/>
      </c>
      <c r="K31">
        <f t="shared" si="3"/>
        <v>1.6670000000000001E-2</v>
      </c>
    </row>
    <row r="32" spans="1:11" x14ac:dyDescent="0.35">
      <c r="A32">
        <v>2004</v>
      </c>
      <c r="B32">
        <v>7</v>
      </c>
      <c r="C32">
        <v>0</v>
      </c>
      <c r="E32">
        <v>-0.02</v>
      </c>
      <c r="H32" s="3">
        <f t="shared" si="0"/>
        <v>38169</v>
      </c>
      <c r="I32">
        <f t="shared" si="1"/>
        <v>0</v>
      </c>
      <c r="J32" t="str">
        <f t="shared" si="2"/>
        <v/>
      </c>
      <c r="K32">
        <f t="shared" si="3"/>
        <v>-0.02</v>
      </c>
    </row>
    <row r="33" spans="1:11" x14ac:dyDescent="0.35">
      <c r="A33">
        <v>2004</v>
      </c>
      <c r="B33">
        <v>8</v>
      </c>
      <c r="C33">
        <v>0</v>
      </c>
      <c r="E33">
        <v>-4.5449999999999997E-2</v>
      </c>
      <c r="H33" s="3">
        <f t="shared" si="0"/>
        <v>38200</v>
      </c>
      <c r="I33">
        <f t="shared" si="1"/>
        <v>0</v>
      </c>
      <c r="J33" t="str">
        <f t="shared" si="2"/>
        <v/>
      </c>
      <c r="K33">
        <f t="shared" si="3"/>
        <v>-4.5449999999999997E-2</v>
      </c>
    </row>
    <row r="34" spans="1:11" x14ac:dyDescent="0.35">
      <c r="A34">
        <v>2004</v>
      </c>
      <c r="B34">
        <v>9</v>
      </c>
      <c r="C34">
        <v>0</v>
      </c>
      <c r="E34">
        <v>0</v>
      </c>
      <c r="H34" s="3">
        <f t="shared" si="0"/>
        <v>38231</v>
      </c>
      <c r="I34">
        <f t="shared" si="1"/>
        <v>0</v>
      </c>
      <c r="J34" t="str">
        <f t="shared" si="2"/>
        <v/>
      </c>
      <c r="K34">
        <f t="shared" si="3"/>
        <v>0</v>
      </c>
    </row>
    <row r="35" spans="1:11" x14ac:dyDescent="0.35">
      <c r="A35">
        <v>2004</v>
      </c>
      <c r="B35">
        <v>10</v>
      </c>
      <c r="C35">
        <v>0</v>
      </c>
      <c r="E35">
        <v>0</v>
      </c>
      <c r="H35" s="3">
        <f t="shared" si="0"/>
        <v>38261</v>
      </c>
      <c r="I35">
        <f t="shared" si="1"/>
        <v>0</v>
      </c>
      <c r="J35" t="str">
        <f t="shared" si="2"/>
        <v/>
      </c>
      <c r="K35">
        <f t="shared" si="3"/>
        <v>0</v>
      </c>
    </row>
    <row r="36" spans="1:11" x14ac:dyDescent="0.35">
      <c r="A36">
        <v>2004</v>
      </c>
      <c r="B36">
        <v>11</v>
      </c>
      <c r="C36">
        <v>0</v>
      </c>
      <c r="E36">
        <v>0</v>
      </c>
      <c r="H36" s="3">
        <f t="shared" si="0"/>
        <v>38292</v>
      </c>
      <c r="I36">
        <f t="shared" si="1"/>
        <v>0</v>
      </c>
      <c r="J36" t="str">
        <f t="shared" si="2"/>
        <v/>
      </c>
      <c r="K36">
        <f t="shared" si="3"/>
        <v>0</v>
      </c>
    </row>
    <row r="37" spans="1:11" x14ac:dyDescent="0.35">
      <c r="A37">
        <v>2004</v>
      </c>
      <c r="B37">
        <v>12</v>
      </c>
      <c r="C37">
        <v>-0.25</v>
      </c>
      <c r="E37">
        <v>-0.25</v>
      </c>
      <c r="H37" s="3">
        <f t="shared" si="0"/>
        <v>38322</v>
      </c>
      <c r="I37">
        <f t="shared" si="1"/>
        <v>-0.25</v>
      </c>
      <c r="J37" t="str">
        <f t="shared" si="2"/>
        <v/>
      </c>
      <c r="K37">
        <f t="shared" si="3"/>
        <v>-0.25</v>
      </c>
    </row>
    <row r="38" spans="1:11" x14ac:dyDescent="0.35">
      <c r="A38">
        <v>2005</v>
      </c>
      <c r="B38">
        <v>1</v>
      </c>
      <c r="C38">
        <v>0</v>
      </c>
      <c r="E38">
        <v>0</v>
      </c>
      <c r="H38" s="3">
        <f t="shared" si="0"/>
        <v>38353</v>
      </c>
      <c r="I38">
        <f t="shared" si="1"/>
        <v>0</v>
      </c>
      <c r="J38" t="str">
        <f t="shared" si="2"/>
        <v/>
      </c>
      <c r="K38">
        <f t="shared" si="3"/>
        <v>0</v>
      </c>
    </row>
    <row r="39" spans="1:11" x14ac:dyDescent="0.35">
      <c r="A39">
        <v>2005</v>
      </c>
      <c r="B39">
        <v>2</v>
      </c>
      <c r="C39">
        <v>0</v>
      </c>
      <c r="E39">
        <v>0</v>
      </c>
      <c r="H39" s="3">
        <f t="shared" si="0"/>
        <v>38384</v>
      </c>
      <c r="I39">
        <f t="shared" si="1"/>
        <v>0</v>
      </c>
      <c r="J39" t="str">
        <f t="shared" si="2"/>
        <v/>
      </c>
      <c r="K39">
        <f t="shared" si="3"/>
        <v>0</v>
      </c>
    </row>
    <row r="40" spans="1:11" x14ac:dyDescent="0.35">
      <c r="A40">
        <v>2005</v>
      </c>
      <c r="B40">
        <v>3</v>
      </c>
      <c r="C40">
        <v>0</v>
      </c>
      <c r="E40">
        <v>1.7860000000000001E-2</v>
      </c>
      <c r="H40" s="3">
        <f t="shared" si="0"/>
        <v>38412</v>
      </c>
      <c r="I40">
        <f t="shared" si="1"/>
        <v>0</v>
      </c>
      <c r="J40" t="str">
        <f t="shared" si="2"/>
        <v/>
      </c>
      <c r="K40">
        <f t="shared" si="3"/>
        <v>1.7860000000000001E-2</v>
      </c>
    </row>
    <row r="41" spans="1:11" x14ac:dyDescent="0.35">
      <c r="A41">
        <v>2005</v>
      </c>
      <c r="B41">
        <v>4</v>
      </c>
      <c r="C41">
        <v>0</v>
      </c>
      <c r="E41">
        <v>0</v>
      </c>
      <c r="H41" s="3">
        <f t="shared" si="0"/>
        <v>38443</v>
      </c>
      <c r="I41">
        <f t="shared" si="1"/>
        <v>0</v>
      </c>
      <c r="J41" t="str">
        <f t="shared" si="2"/>
        <v/>
      </c>
      <c r="K41">
        <f t="shared" si="3"/>
        <v>0</v>
      </c>
    </row>
    <row r="42" spans="1:11" x14ac:dyDescent="0.35">
      <c r="A42">
        <v>2005</v>
      </c>
      <c r="B42">
        <v>5</v>
      </c>
      <c r="C42">
        <v>0</v>
      </c>
      <c r="E42">
        <v>1.1900000000000001E-2</v>
      </c>
      <c r="H42" s="3">
        <f t="shared" si="0"/>
        <v>38473</v>
      </c>
      <c r="I42">
        <f t="shared" si="1"/>
        <v>0</v>
      </c>
      <c r="J42" t="str">
        <f t="shared" si="2"/>
        <v/>
      </c>
      <c r="K42">
        <f t="shared" si="3"/>
        <v>1.1900000000000001E-2</v>
      </c>
    </row>
    <row r="43" spans="1:11" x14ac:dyDescent="0.35">
      <c r="A43">
        <v>2005</v>
      </c>
      <c r="B43">
        <v>6</v>
      </c>
      <c r="C43">
        <v>0</v>
      </c>
      <c r="E43">
        <v>1.6670000000000001E-2</v>
      </c>
      <c r="H43" s="3">
        <f t="shared" si="0"/>
        <v>38504</v>
      </c>
      <c r="I43">
        <f t="shared" si="1"/>
        <v>0</v>
      </c>
      <c r="J43" t="str">
        <f t="shared" si="2"/>
        <v/>
      </c>
      <c r="K43">
        <f t="shared" si="3"/>
        <v>1.6670000000000001E-2</v>
      </c>
    </row>
    <row r="44" spans="1:11" x14ac:dyDescent="0.35">
      <c r="A44">
        <v>2005</v>
      </c>
      <c r="B44">
        <v>7</v>
      </c>
      <c r="C44">
        <v>0</v>
      </c>
      <c r="E44">
        <v>0</v>
      </c>
      <c r="H44" s="3">
        <f t="shared" si="0"/>
        <v>38534</v>
      </c>
      <c r="I44">
        <f t="shared" si="1"/>
        <v>0</v>
      </c>
      <c r="J44" t="str">
        <f t="shared" si="2"/>
        <v/>
      </c>
      <c r="K44">
        <f t="shared" si="3"/>
        <v>0</v>
      </c>
    </row>
    <row r="45" spans="1:11" x14ac:dyDescent="0.35">
      <c r="A45">
        <v>2005</v>
      </c>
      <c r="B45">
        <v>8</v>
      </c>
      <c r="C45">
        <v>0</v>
      </c>
      <c r="E45">
        <v>0</v>
      </c>
      <c r="H45" s="3">
        <f t="shared" si="0"/>
        <v>38565</v>
      </c>
      <c r="I45">
        <f t="shared" si="1"/>
        <v>0</v>
      </c>
      <c r="J45" t="str">
        <f t="shared" si="2"/>
        <v/>
      </c>
      <c r="K45">
        <f t="shared" si="3"/>
        <v>0</v>
      </c>
    </row>
    <row r="46" spans="1:11" x14ac:dyDescent="0.35">
      <c r="A46">
        <v>2005</v>
      </c>
      <c r="B46">
        <v>9</v>
      </c>
      <c r="C46">
        <v>-0.5</v>
      </c>
      <c r="E46">
        <v>-0.46666999999999997</v>
      </c>
      <c r="H46" s="3">
        <f t="shared" si="0"/>
        <v>38596</v>
      </c>
      <c r="I46">
        <f t="shared" si="1"/>
        <v>-0.5</v>
      </c>
      <c r="J46" t="str">
        <f t="shared" si="2"/>
        <v/>
      </c>
      <c r="K46">
        <f t="shared" si="3"/>
        <v>-0.46666999999999997</v>
      </c>
    </row>
    <row r="47" spans="1:11" x14ac:dyDescent="0.35">
      <c r="A47">
        <v>2005</v>
      </c>
      <c r="B47">
        <v>10</v>
      </c>
      <c r="C47">
        <v>0</v>
      </c>
      <c r="E47">
        <v>7.6920000000000002E-2</v>
      </c>
      <c r="H47" s="3">
        <f t="shared" si="0"/>
        <v>38626</v>
      </c>
      <c r="I47">
        <f t="shared" si="1"/>
        <v>0</v>
      </c>
      <c r="J47" t="str">
        <f t="shared" si="2"/>
        <v/>
      </c>
      <c r="K47">
        <f t="shared" si="3"/>
        <v>7.6920000000000002E-2</v>
      </c>
    </row>
    <row r="48" spans="1:11" x14ac:dyDescent="0.35">
      <c r="A48">
        <v>2005</v>
      </c>
      <c r="B48">
        <v>11</v>
      </c>
      <c r="C48">
        <v>0</v>
      </c>
      <c r="E48">
        <v>0</v>
      </c>
      <c r="H48" s="3">
        <f t="shared" si="0"/>
        <v>38657</v>
      </c>
      <c r="I48">
        <f t="shared" si="1"/>
        <v>0</v>
      </c>
      <c r="J48" t="str">
        <f t="shared" si="2"/>
        <v/>
      </c>
      <c r="K48">
        <f t="shared" si="3"/>
        <v>0</v>
      </c>
    </row>
    <row r="49" spans="1:11" x14ac:dyDescent="0.35">
      <c r="A49">
        <v>2005</v>
      </c>
      <c r="B49">
        <v>12</v>
      </c>
      <c r="C49">
        <v>0</v>
      </c>
      <c r="E49">
        <v>0</v>
      </c>
      <c r="H49" s="3">
        <f t="shared" si="0"/>
        <v>38687</v>
      </c>
      <c r="I49">
        <f t="shared" si="1"/>
        <v>0</v>
      </c>
      <c r="J49" t="str">
        <f t="shared" si="2"/>
        <v/>
      </c>
      <c r="K49">
        <f t="shared" si="3"/>
        <v>0</v>
      </c>
    </row>
    <row r="50" spans="1:11" x14ac:dyDescent="0.35">
      <c r="A50">
        <v>2006</v>
      </c>
      <c r="B50">
        <v>1</v>
      </c>
      <c r="C50">
        <v>0</v>
      </c>
      <c r="E50">
        <v>0</v>
      </c>
      <c r="H50" s="3">
        <f t="shared" si="0"/>
        <v>38718</v>
      </c>
      <c r="I50">
        <f t="shared" si="1"/>
        <v>0</v>
      </c>
      <c r="J50" t="str">
        <f t="shared" si="2"/>
        <v/>
      </c>
      <c r="K50">
        <f t="shared" si="3"/>
        <v>0</v>
      </c>
    </row>
    <row r="51" spans="1:11" x14ac:dyDescent="0.35">
      <c r="A51">
        <v>2006</v>
      </c>
      <c r="B51">
        <v>2</v>
      </c>
      <c r="C51">
        <v>0</v>
      </c>
      <c r="E51">
        <v>0</v>
      </c>
      <c r="H51" s="3">
        <f t="shared" si="0"/>
        <v>38749</v>
      </c>
      <c r="I51">
        <f t="shared" si="1"/>
        <v>0</v>
      </c>
      <c r="J51" t="str">
        <f t="shared" si="2"/>
        <v/>
      </c>
      <c r="K51">
        <f t="shared" si="3"/>
        <v>0</v>
      </c>
    </row>
    <row r="52" spans="1:11" x14ac:dyDescent="0.35">
      <c r="A52">
        <v>2006</v>
      </c>
      <c r="B52">
        <v>3</v>
      </c>
      <c r="C52">
        <v>0</v>
      </c>
      <c r="E52">
        <v>0</v>
      </c>
      <c r="H52" s="3">
        <f t="shared" si="0"/>
        <v>38777</v>
      </c>
      <c r="I52">
        <f t="shared" si="1"/>
        <v>0</v>
      </c>
      <c r="J52" t="str">
        <f t="shared" si="2"/>
        <v/>
      </c>
      <c r="K52">
        <f t="shared" si="3"/>
        <v>0</v>
      </c>
    </row>
    <row r="53" spans="1:11" x14ac:dyDescent="0.35">
      <c r="A53">
        <v>2006</v>
      </c>
      <c r="B53">
        <v>4</v>
      </c>
      <c r="C53">
        <v>0.25</v>
      </c>
      <c r="E53">
        <v>0.22727</v>
      </c>
      <c r="H53" s="3">
        <f t="shared" si="0"/>
        <v>38808</v>
      </c>
      <c r="I53">
        <f t="shared" si="1"/>
        <v>0.25</v>
      </c>
      <c r="J53" t="str">
        <f t="shared" si="2"/>
        <v/>
      </c>
      <c r="K53">
        <f t="shared" si="3"/>
        <v>0.22727</v>
      </c>
    </row>
    <row r="54" spans="1:11" x14ac:dyDescent="0.35">
      <c r="A54">
        <v>2006</v>
      </c>
      <c r="B54">
        <v>5</v>
      </c>
      <c r="C54">
        <v>-0.25</v>
      </c>
      <c r="E54">
        <v>-0.13158</v>
      </c>
      <c r="H54" s="3">
        <f t="shared" si="0"/>
        <v>38838</v>
      </c>
      <c r="I54">
        <f t="shared" si="1"/>
        <v>-0.25</v>
      </c>
      <c r="J54" t="str">
        <f t="shared" si="2"/>
        <v/>
      </c>
      <c r="K54">
        <f t="shared" si="3"/>
        <v>-0.13158</v>
      </c>
    </row>
    <row r="55" spans="1:11" x14ac:dyDescent="0.35">
      <c r="A55">
        <v>2006</v>
      </c>
      <c r="B55">
        <v>6</v>
      </c>
      <c r="C55">
        <v>0</v>
      </c>
      <c r="E55">
        <v>3.9469999999999998E-2</v>
      </c>
      <c r="H55" s="3">
        <f t="shared" si="0"/>
        <v>38869</v>
      </c>
      <c r="I55">
        <f t="shared" si="1"/>
        <v>0</v>
      </c>
      <c r="J55" t="str">
        <f t="shared" si="2"/>
        <v/>
      </c>
      <c r="K55">
        <f t="shared" si="3"/>
        <v>3.9469999999999998E-2</v>
      </c>
    </row>
    <row r="56" spans="1:11" x14ac:dyDescent="0.35">
      <c r="A56">
        <v>2006</v>
      </c>
      <c r="B56">
        <v>7</v>
      </c>
      <c r="C56">
        <v>0</v>
      </c>
      <c r="E56">
        <v>-6.5790000000000001E-2</v>
      </c>
      <c r="H56" s="3">
        <f t="shared" si="0"/>
        <v>38899</v>
      </c>
      <c r="I56">
        <f t="shared" si="1"/>
        <v>0</v>
      </c>
      <c r="J56" t="str">
        <f t="shared" si="2"/>
        <v/>
      </c>
      <c r="K56">
        <f t="shared" si="3"/>
        <v>-6.5790000000000001E-2</v>
      </c>
    </row>
    <row r="57" spans="1:11" x14ac:dyDescent="0.35">
      <c r="A57">
        <v>2006</v>
      </c>
      <c r="B57">
        <v>8</v>
      </c>
      <c r="C57">
        <v>0</v>
      </c>
      <c r="E57">
        <v>2.9409999999999999E-2</v>
      </c>
      <c r="H57" s="3">
        <f t="shared" si="0"/>
        <v>38930</v>
      </c>
      <c r="I57">
        <f t="shared" si="1"/>
        <v>0</v>
      </c>
      <c r="J57" t="str">
        <f t="shared" si="2"/>
        <v/>
      </c>
      <c r="K57">
        <f t="shared" si="3"/>
        <v>2.9409999999999999E-2</v>
      </c>
    </row>
    <row r="58" spans="1:11" x14ac:dyDescent="0.35">
      <c r="A58">
        <v>2006</v>
      </c>
      <c r="B58">
        <v>9</v>
      </c>
      <c r="C58">
        <v>0.25</v>
      </c>
      <c r="E58">
        <v>0.14815</v>
      </c>
      <c r="H58" s="3">
        <f t="shared" si="0"/>
        <v>38961</v>
      </c>
      <c r="I58">
        <f t="shared" si="1"/>
        <v>0.25</v>
      </c>
      <c r="J58" t="str">
        <f t="shared" si="2"/>
        <v/>
      </c>
      <c r="K58">
        <f t="shared" si="3"/>
        <v>0.14815</v>
      </c>
    </row>
    <row r="59" spans="1:11" x14ac:dyDescent="0.35">
      <c r="A59">
        <v>2006</v>
      </c>
      <c r="B59">
        <v>10</v>
      </c>
      <c r="C59">
        <v>0</v>
      </c>
      <c r="E59">
        <v>8.3330000000000001E-2</v>
      </c>
      <c r="H59" s="3">
        <f t="shared" si="0"/>
        <v>38991</v>
      </c>
      <c r="I59">
        <f t="shared" si="1"/>
        <v>0</v>
      </c>
      <c r="J59" t="str">
        <f t="shared" si="2"/>
        <v/>
      </c>
      <c r="K59">
        <f t="shared" si="3"/>
        <v>8.3330000000000001E-2</v>
      </c>
    </row>
    <row r="60" spans="1:11" x14ac:dyDescent="0.35">
      <c r="A60">
        <v>2006</v>
      </c>
      <c r="B60">
        <v>11</v>
      </c>
      <c r="C60">
        <v>0</v>
      </c>
      <c r="E60">
        <v>-4.5449999999999997E-2</v>
      </c>
      <c r="H60" s="3">
        <f t="shared" si="0"/>
        <v>39022</v>
      </c>
      <c r="I60">
        <f t="shared" si="1"/>
        <v>0</v>
      </c>
      <c r="J60" t="str">
        <f t="shared" si="2"/>
        <v/>
      </c>
      <c r="K60">
        <f t="shared" si="3"/>
        <v>-4.5449999999999997E-2</v>
      </c>
    </row>
    <row r="61" spans="1:11" x14ac:dyDescent="0.35">
      <c r="A61">
        <v>2006</v>
      </c>
      <c r="B61">
        <v>12</v>
      </c>
      <c r="C61">
        <v>0.25</v>
      </c>
      <c r="E61">
        <v>0.2</v>
      </c>
      <c r="H61" s="3">
        <f t="shared" si="0"/>
        <v>39052</v>
      </c>
      <c r="I61">
        <f t="shared" si="1"/>
        <v>0.25</v>
      </c>
      <c r="J61" t="str">
        <f t="shared" si="2"/>
        <v/>
      </c>
      <c r="K61">
        <f t="shared" si="3"/>
        <v>0.2</v>
      </c>
    </row>
    <row r="62" spans="1:11" x14ac:dyDescent="0.35">
      <c r="A62">
        <v>2007</v>
      </c>
      <c r="B62">
        <v>1</v>
      </c>
      <c r="C62">
        <v>0.25</v>
      </c>
      <c r="E62">
        <v>0.12963</v>
      </c>
      <c r="H62" s="3">
        <f t="shared" si="0"/>
        <v>39083</v>
      </c>
      <c r="I62">
        <f t="shared" si="1"/>
        <v>0.25</v>
      </c>
      <c r="J62" t="str">
        <f t="shared" si="2"/>
        <v/>
      </c>
      <c r="K62">
        <f t="shared" si="3"/>
        <v>0.12963</v>
      </c>
    </row>
    <row r="63" spans="1:11" x14ac:dyDescent="0.35">
      <c r="A63">
        <v>2007</v>
      </c>
      <c r="B63">
        <v>2</v>
      </c>
      <c r="C63">
        <v>0</v>
      </c>
      <c r="E63">
        <v>-1.9230000000000001E-2</v>
      </c>
      <c r="H63" s="3">
        <f t="shared" si="0"/>
        <v>39114</v>
      </c>
      <c r="I63">
        <f t="shared" si="1"/>
        <v>0</v>
      </c>
      <c r="J63" t="str">
        <f t="shared" si="2"/>
        <v/>
      </c>
      <c r="K63">
        <f t="shared" si="3"/>
        <v>-1.9230000000000001E-2</v>
      </c>
    </row>
    <row r="64" spans="1:11" x14ac:dyDescent="0.35">
      <c r="A64">
        <v>2007</v>
      </c>
      <c r="B64">
        <v>3</v>
      </c>
      <c r="C64">
        <v>0</v>
      </c>
      <c r="E64">
        <v>0</v>
      </c>
      <c r="H64" s="3">
        <f t="shared" si="0"/>
        <v>39142</v>
      </c>
      <c r="I64">
        <f t="shared" si="1"/>
        <v>0</v>
      </c>
      <c r="J64" t="str">
        <f t="shared" si="2"/>
        <v/>
      </c>
      <c r="K64">
        <f t="shared" si="3"/>
        <v>0</v>
      </c>
    </row>
    <row r="65" spans="1:11" x14ac:dyDescent="0.35">
      <c r="A65">
        <v>2007</v>
      </c>
      <c r="B65">
        <v>4</v>
      </c>
      <c r="C65">
        <v>0</v>
      </c>
      <c r="E65">
        <v>-2.273E-2</v>
      </c>
      <c r="H65" s="3">
        <f t="shared" si="0"/>
        <v>39173</v>
      </c>
      <c r="I65">
        <f t="shared" si="1"/>
        <v>0</v>
      </c>
      <c r="J65" t="str">
        <f t="shared" si="2"/>
        <v/>
      </c>
      <c r="K65">
        <f t="shared" si="3"/>
        <v>-2.273E-2</v>
      </c>
    </row>
    <row r="66" spans="1:11" x14ac:dyDescent="0.35">
      <c r="A66">
        <v>2007</v>
      </c>
      <c r="B66">
        <v>5</v>
      </c>
      <c r="C66">
        <v>0</v>
      </c>
      <c r="E66">
        <v>1.0869999999999999E-2</v>
      </c>
      <c r="H66" s="3">
        <f t="shared" si="0"/>
        <v>39203</v>
      </c>
      <c r="I66">
        <f t="shared" si="1"/>
        <v>0</v>
      </c>
      <c r="J66" t="str">
        <f t="shared" si="2"/>
        <v/>
      </c>
      <c r="K66">
        <f t="shared" si="3"/>
        <v>1.0869999999999999E-2</v>
      </c>
    </row>
    <row r="67" spans="1:11" x14ac:dyDescent="0.35">
      <c r="A67">
        <v>2007</v>
      </c>
      <c r="B67">
        <v>6</v>
      </c>
      <c r="C67">
        <v>0</v>
      </c>
      <c r="E67">
        <v>0.08</v>
      </c>
      <c r="H67" s="3">
        <f t="shared" si="0"/>
        <v>39234</v>
      </c>
      <c r="I67">
        <f t="shared" si="1"/>
        <v>0</v>
      </c>
      <c r="J67" t="str">
        <f t="shared" si="2"/>
        <v/>
      </c>
      <c r="K67">
        <f t="shared" si="3"/>
        <v>0.08</v>
      </c>
    </row>
    <row r="68" spans="1:11" x14ac:dyDescent="0.35">
      <c r="A68">
        <v>2007</v>
      </c>
      <c r="B68">
        <v>7</v>
      </c>
      <c r="C68">
        <v>0</v>
      </c>
      <c r="E68">
        <v>0.1129</v>
      </c>
      <c r="H68" s="3">
        <f t="shared" si="0"/>
        <v>39264</v>
      </c>
      <c r="I68">
        <f t="shared" si="1"/>
        <v>0</v>
      </c>
      <c r="J68" t="str">
        <f t="shared" si="2"/>
        <v/>
      </c>
      <c r="K68">
        <f t="shared" si="3"/>
        <v>0.1129</v>
      </c>
    </row>
    <row r="69" spans="1:11" x14ac:dyDescent="0.35">
      <c r="A69">
        <v>2007</v>
      </c>
      <c r="B69">
        <v>8</v>
      </c>
      <c r="C69">
        <v>-0.25</v>
      </c>
      <c r="E69">
        <v>-0.16378999999999999</v>
      </c>
      <c r="H69" s="3">
        <f t="shared" ref="H69:H132" si="4">DATE(A69,B69,1)</f>
        <v>39295</v>
      </c>
      <c r="I69">
        <f t="shared" ref="I69:I107" si="5">IF(C69="","",C69)</f>
        <v>-0.25</v>
      </c>
      <c r="J69" t="str">
        <f t="shared" ref="J69:J107" si="6">IF(D69="","",D69)</f>
        <v/>
      </c>
      <c r="K69">
        <f t="shared" ref="K69:K107" si="7">IF(E69="","",E69)</f>
        <v>-0.16378999999999999</v>
      </c>
    </row>
    <row r="70" spans="1:11" x14ac:dyDescent="0.35">
      <c r="A70">
        <v>2007</v>
      </c>
      <c r="B70">
        <v>9</v>
      </c>
      <c r="C70">
        <v>0</v>
      </c>
      <c r="E70">
        <v>-7.5799999999999999E-3</v>
      </c>
      <c r="H70" s="3">
        <f t="shared" si="4"/>
        <v>39326</v>
      </c>
      <c r="I70">
        <f t="shared" si="5"/>
        <v>0</v>
      </c>
      <c r="J70" t="str">
        <f t="shared" si="6"/>
        <v/>
      </c>
      <c r="K70">
        <f t="shared" si="7"/>
        <v>-7.5799999999999999E-3</v>
      </c>
    </row>
    <row r="71" spans="1:11" x14ac:dyDescent="0.35">
      <c r="A71">
        <v>2007</v>
      </c>
      <c r="B71">
        <v>10</v>
      </c>
      <c r="C71">
        <v>0</v>
      </c>
      <c r="E71">
        <v>-6.7600000000000004E-3</v>
      </c>
      <c r="H71" s="3">
        <f t="shared" si="4"/>
        <v>39356</v>
      </c>
      <c r="I71">
        <f t="shared" si="5"/>
        <v>0</v>
      </c>
      <c r="J71" t="str">
        <f t="shared" si="6"/>
        <v/>
      </c>
      <c r="K71">
        <f t="shared" si="7"/>
        <v>-6.7600000000000004E-3</v>
      </c>
    </row>
    <row r="72" spans="1:11" x14ac:dyDescent="0.35">
      <c r="A72">
        <v>2007</v>
      </c>
      <c r="B72">
        <v>11</v>
      </c>
      <c r="C72">
        <v>0.25</v>
      </c>
      <c r="E72">
        <v>0.24167</v>
      </c>
      <c r="H72" s="3">
        <f t="shared" si="4"/>
        <v>39387</v>
      </c>
      <c r="I72">
        <f t="shared" si="5"/>
        <v>0.25</v>
      </c>
      <c r="J72" t="str">
        <f t="shared" si="6"/>
        <v/>
      </c>
      <c r="K72">
        <f t="shared" si="7"/>
        <v>0.24167</v>
      </c>
    </row>
    <row r="73" spans="1:11" x14ac:dyDescent="0.35">
      <c r="A73">
        <v>2007</v>
      </c>
      <c r="B73">
        <v>12</v>
      </c>
      <c r="C73">
        <v>0</v>
      </c>
      <c r="E73">
        <v>-7.3499999999999998E-3</v>
      </c>
      <c r="H73" s="3">
        <f t="shared" si="4"/>
        <v>39417</v>
      </c>
      <c r="I73">
        <f t="shared" si="5"/>
        <v>0</v>
      </c>
      <c r="J73" t="str">
        <f t="shared" si="6"/>
        <v/>
      </c>
      <c r="K73">
        <f t="shared" si="7"/>
        <v>-7.3499999999999998E-3</v>
      </c>
    </row>
    <row r="74" spans="1:11" x14ac:dyDescent="0.35">
      <c r="A74">
        <v>2008</v>
      </c>
      <c r="B74">
        <v>1</v>
      </c>
      <c r="C74">
        <v>0</v>
      </c>
      <c r="E74">
        <v>-4.1669999999999999E-2</v>
      </c>
      <c r="H74" s="3">
        <f t="shared" si="4"/>
        <v>39448</v>
      </c>
      <c r="I74">
        <f t="shared" si="5"/>
        <v>0</v>
      </c>
      <c r="J74" t="str">
        <f t="shared" si="6"/>
        <v/>
      </c>
      <c r="K74">
        <f t="shared" si="7"/>
        <v>-4.1669999999999999E-2</v>
      </c>
    </row>
    <row r="75" spans="1:11" x14ac:dyDescent="0.35">
      <c r="A75">
        <v>2008</v>
      </c>
      <c r="B75">
        <v>2</v>
      </c>
      <c r="C75">
        <v>0.25</v>
      </c>
      <c r="E75">
        <v>0.16216</v>
      </c>
      <c r="H75" s="3">
        <f t="shared" si="4"/>
        <v>39479</v>
      </c>
      <c r="I75">
        <f t="shared" si="5"/>
        <v>0.25</v>
      </c>
      <c r="J75" t="str">
        <f t="shared" si="6"/>
        <v/>
      </c>
      <c r="K75">
        <f t="shared" si="7"/>
        <v>0.16216</v>
      </c>
    </row>
    <row r="76" spans="1:11" x14ac:dyDescent="0.35">
      <c r="A76">
        <v>2008</v>
      </c>
      <c r="B76">
        <v>3</v>
      </c>
      <c r="C76">
        <v>0</v>
      </c>
      <c r="E76">
        <v>0</v>
      </c>
      <c r="H76" s="3">
        <f t="shared" si="4"/>
        <v>39508</v>
      </c>
      <c r="I76">
        <f t="shared" si="5"/>
        <v>0</v>
      </c>
      <c r="J76" t="str">
        <f t="shared" si="6"/>
        <v/>
      </c>
      <c r="K76">
        <f t="shared" si="7"/>
        <v>0</v>
      </c>
    </row>
    <row r="77" spans="1:11" x14ac:dyDescent="0.35">
      <c r="A77">
        <v>2008</v>
      </c>
      <c r="B77">
        <v>4</v>
      </c>
      <c r="C77">
        <v>0</v>
      </c>
      <c r="E77">
        <v>0</v>
      </c>
      <c r="H77" s="3">
        <f t="shared" si="4"/>
        <v>39539</v>
      </c>
      <c r="I77">
        <f t="shared" si="5"/>
        <v>0</v>
      </c>
      <c r="J77" t="str">
        <f t="shared" si="6"/>
        <v/>
      </c>
      <c r="K77">
        <f t="shared" si="7"/>
        <v>0</v>
      </c>
    </row>
    <row r="78" spans="1:11" x14ac:dyDescent="0.35">
      <c r="A78">
        <v>2008</v>
      </c>
      <c r="B78">
        <v>5</v>
      </c>
      <c r="C78">
        <v>0</v>
      </c>
      <c r="E78">
        <v>-5.4879999999999998E-2</v>
      </c>
      <c r="H78" s="3">
        <f t="shared" si="4"/>
        <v>39569</v>
      </c>
      <c r="I78">
        <f t="shared" si="5"/>
        <v>0</v>
      </c>
      <c r="J78" t="str">
        <f t="shared" si="6"/>
        <v/>
      </c>
      <c r="K78">
        <f t="shared" si="7"/>
        <v>-5.4879999999999998E-2</v>
      </c>
    </row>
    <row r="79" spans="1:11" x14ac:dyDescent="0.35">
      <c r="A79">
        <v>2008</v>
      </c>
      <c r="B79">
        <v>6</v>
      </c>
      <c r="C79">
        <v>0</v>
      </c>
      <c r="E79">
        <v>-0.10256</v>
      </c>
      <c r="H79" s="3">
        <f t="shared" si="4"/>
        <v>39600</v>
      </c>
      <c r="I79">
        <f t="shared" si="5"/>
        <v>0</v>
      </c>
      <c r="J79" t="str">
        <f t="shared" si="6"/>
        <v/>
      </c>
      <c r="K79">
        <f t="shared" si="7"/>
        <v>-0.10256</v>
      </c>
    </row>
    <row r="80" spans="1:11" x14ac:dyDescent="0.35">
      <c r="A80">
        <v>2008</v>
      </c>
      <c r="B80">
        <v>7</v>
      </c>
      <c r="C80">
        <v>0.25</v>
      </c>
      <c r="E80">
        <v>0.13414999999999999</v>
      </c>
      <c r="H80" s="3">
        <f t="shared" si="4"/>
        <v>39630</v>
      </c>
      <c r="I80">
        <f t="shared" si="5"/>
        <v>0.25</v>
      </c>
      <c r="J80" t="str">
        <f t="shared" si="6"/>
        <v/>
      </c>
      <c r="K80">
        <f t="shared" si="7"/>
        <v>0.13414999999999999</v>
      </c>
    </row>
    <row r="81" spans="1:11" x14ac:dyDescent="0.35">
      <c r="A81">
        <v>2008</v>
      </c>
      <c r="B81">
        <v>8</v>
      </c>
      <c r="C81">
        <v>0</v>
      </c>
      <c r="E81">
        <v>-2.5600000000000001E-2</v>
      </c>
      <c r="H81" s="3">
        <f t="shared" si="4"/>
        <v>39661</v>
      </c>
      <c r="I81">
        <f t="shared" si="5"/>
        <v>0</v>
      </c>
      <c r="J81" t="str">
        <f t="shared" si="6"/>
        <v/>
      </c>
      <c r="K81">
        <f t="shared" si="7"/>
        <v>-2.5600000000000001E-2</v>
      </c>
    </row>
    <row r="82" spans="1:11" x14ac:dyDescent="0.35">
      <c r="A82">
        <v>2008</v>
      </c>
      <c r="B82">
        <v>9</v>
      </c>
      <c r="C82">
        <v>0</v>
      </c>
      <c r="E82">
        <v>0</v>
      </c>
      <c r="H82" s="3">
        <f t="shared" si="4"/>
        <v>39692</v>
      </c>
      <c r="I82">
        <f t="shared" si="5"/>
        <v>0</v>
      </c>
      <c r="J82" t="str">
        <f t="shared" si="6"/>
        <v/>
      </c>
      <c r="K82">
        <f t="shared" si="7"/>
        <v>0</v>
      </c>
    </row>
    <row r="83" spans="1:11" x14ac:dyDescent="0.35">
      <c r="A83">
        <v>2008</v>
      </c>
      <c r="B83">
        <v>10</v>
      </c>
      <c r="C83">
        <v>0</v>
      </c>
      <c r="E83">
        <v>2.0830000000000001E-2</v>
      </c>
      <c r="H83" s="3">
        <f t="shared" si="4"/>
        <v>39722</v>
      </c>
      <c r="I83">
        <f t="shared" si="5"/>
        <v>0</v>
      </c>
      <c r="J83" t="str">
        <f t="shared" si="6"/>
        <v/>
      </c>
      <c r="K83">
        <f t="shared" si="7"/>
        <v>2.0830000000000001E-2</v>
      </c>
    </row>
    <row r="84" spans="1:11" x14ac:dyDescent="0.35">
      <c r="A84">
        <v>2008</v>
      </c>
      <c r="B84">
        <v>11</v>
      </c>
      <c r="C84">
        <v>0</v>
      </c>
      <c r="E84">
        <v>3.7879999999999997E-2</v>
      </c>
      <c r="H84" s="3">
        <f t="shared" si="4"/>
        <v>39753</v>
      </c>
      <c r="I84">
        <f t="shared" si="5"/>
        <v>0</v>
      </c>
      <c r="J84" t="str">
        <f t="shared" si="6"/>
        <v/>
      </c>
      <c r="K84">
        <f t="shared" si="7"/>
        <v>3.7879999999999997E-2</v>
      </c>
    </row>
    <row r="85" spans="1:11" x14ac:dyDescent="0.35">
      <c r="A85">
        <v>2008</v>
      </c>
      <c r="B85">
        <v>12</v>
      </c>
      <c r="C85">
        <v>-0.5</v>
      </c>
      <c r="E85">
        <v>-0.375</v>
      </c>
      <c r="H85" s="3">
        <f t="shared" si="4"/>
        <v>39783</v>
      </c>
      <c r="I85">
        <f t="shared" si="5"/>
        <v>-0.5</v>
      </c>
      <c r="J85" t="str">
        <f t="shared" si="6"/>
        <v/>
      </c>
      <c r="K85">
        <f t="shared" si="7"/>
        <v>-0.375</v>
      </c>
    </row>
    <row r="86" spans="1:11" x14ac:dyDescent="0.35">
      <c r="A86">
        <v>2009</v>
      </c>
      <c r="B86">
        <v>1</v>
      </c>
      <c r="C86">
        <v>0</v>
      </c>
      <c r="E86">
        <v>1.282E-2</v>
      </c>
      <c r="H86" s="3">
        <f t="shared" si="4"/>
        <v>39814</v>
      </c>
      <c r="I86">
        <f t="shared" si="5"/>
        <v>0</v>
      </c>
      <c r="J86" t="str">
        <f t="shared" si="6"/>
        <v/>
      </c>
      <c r="K86">
        <f t="shared" si="7"/>
        <v>1.282E-2</v>
      </c>
    </row>
    <row r="87" spans="1:11" x14ac:dyDescent="0.35">
      <c r="A87">
        <v>2009</v>
      </c>
      <c r="B87">
        <v>2</v>
      </c>
      <c r="C87">
        <v>-0.5</v>
      </c>
      <c r="E87">
        <v>-0.47143000000000002</v>
      </c>
      <c r="H87" s="3">
        <f t="shared" si="4"/>
        <v>39845</v>
      </c>
      <c r="I87">
        <f t="shared" si="5"/>
        <v>-0.5</v>
      </c>
      <c r="J87" t="str">
        <f t="shared" si="6"/>
        <v/>
      </c>
      <c r="K87">
        <f t="shared" si="7"/>
        <v>-0.47143000000000002</v>
      </c>
    </row>
    <row r="88" spans="1:11" x14ac:dyDescent="0.35">
      <c r="A88">
        <v>2009</v>
      </c>
      <c r="B88">
        <v>3</v>
      </c>
      <c r="C88">
        <v>0</v>
      </c>
      <c r="E88">
        <v>-0.17424000000000001</v>
      </c>
      <c r="H88" s="3">
        <f t="shared" si="4"/>
        <v>39873</v>
      </c>
      <c r="I88">
        <f t="shared" si="5"/>
        <v>0</v>
      </c>
      <c r="J88" t="str">
        <f t="shared" si="6"/>
        <v/>
      </c>
      <c r="K88">
        <f t="shared" si="7"/>
        <v>-0.17424000000000001</v>
      </c>
    </row>
    <row r="89" spans="1:11" x14ac:dyDescent="0.35">
      <c r="A89">
        <v>2009</v>
      </c>
      <c r="B89">
        <v>4</v>
      </c>
      <c r="C89">
        <v>0</v>
      </c>
      <c r="E89">
        <v>0</v>
      </c>
      <c r="H89" s="3">
        <f t="shared" si="4"/>
        <v>39904</v>
      </c>
      <c r="I89">
        <f t="shared" si="5"/>
        <v>0</v>
      </c>
      <c r="J89" t="str">
        <f t="shared" si="6"/>
        <v/>
      </c>
      <c r="K89">
        <f t="shared" si="7"/>
        <v>0</v>
      </c>
    </row>
    <row r="90" spans="1:11" x14ac:dyDescent="0.35">
      <c r="A90">
        <v>2009</v>
      </c>
      <c r="B90">
        <v>5</v>
      </c>
      <c r="C90">
        <v>0</v>
      </c>
      <c r="E90">
        <v>-0.12069000000000001</v>
      </c>
      <c r="H90" s="3">
        <f t="shared" si="4"/>
        <v>39934</v>
      </c>
      <c r="I90">
        <f t="shared" si="5"/>
        <v>0</v>
      </c>
      <c r="J90" t="str">
        <f t="shared" si="6"/>
        <v/>
      </c>
      <c r="K90">
        <f t="shared" si="7"/>
        <v>-0.12069000000000001</v>
      </c>
    </row>
    <row r="91" spans="1:11" x14ac:dyDescent="0.35">
      <c r="A91">
        <v>2009</v>
      </c>
      <c r="B91">
        <v>6</v>
      </c>
      <c r="C91">
        <v>0</v>
      </c>
      <c r="E91">
        <v>-7.2580000000000006E-2</v>
      </c>
      <c r="H91" s="3">
        <f t="shared" si="4"/>
        <v>39965</v>
      </c>
      <c r="I91">
        <f t="shared" si="5"/>
        <v>0</v>
      </c>
      <c r="J91" t="str">
        <f t="shared" si="6"/>
        <v/>
      </c>
      <c r="K91">
        <f t="shared" si="7"/>
        <v>-7.2580000000000006E-2</v>
      </c>
    </row>
    <row r="92" spans="1:11" x14ac:dyDescent="0.35">
      <c r="A92">
        <v>2009</v>
      </c>
      <c r="B92">
        <v>7</v>
      </c>
      <c r="C92">
        <v>0</v>
      </c>
      <c r="E92">
        <v>1.4710000000000001E-2</v>
      </c>
      <c r="H92" s="3">
        <f t="shared" si="4"/>
        <v>39995</v>
      </c>
      <c r="I92">
        <f t="shared" si="5"/>
        <v>0</v>
      </c>
      <c r="J92" t="str">
        <f t="shared" si="6"/>
        <v/>
      </c>
      <c r="K92">
        <f t="shared" si="7"/>
        <v>1.4710000000000001E-2</v>
      </c>
    </row>
    <row r="93" spans="1:11" x14ac:dyDescent="0.35">
      <c r="A93">
        <v>2009</v>
      </c>
      <c r="B93">
        <v>8</v>
      </c>
      <c r="C93">
        <v>0</v>
      </c>
      <c r="E93">
        <v>4.8390000000000002E-2</v>
      </c>
      <c r="H93" s="3">
        <f t="shared" si="4"/>
        <v>40026</v>
      </c>
      <c r="I93">
        <f t="shared" si="5"/>
        <v>0</v>
      </c>
      <c r="J93" t="str">
        <f t="shared" si="6"/>
        <v/>
      </c>
      <c r="K93">
        <f t="shared" si="7"/>
        <v>4.8390000000000002E-2</v>
      </c>
    </row>
    <row r="94" spans="1:11" x14ac:dyDescent="0.35">
      <c r="A94">
        <v>2009</v>
      </c>
      <c r="B94">
        <v>9</v>
      </c>
      <c r="C94">
        <v>-0.5</v>
      </c>
      <c r="E94">
        <v>-0.5</v>
      </c>
      <c r="H94" s="3">
        <f t="shared" si="4"/>
        <v>40057</v>
      </c>
      <c r="I94">
        <f t="shared" si="5"/>
        <v>-0.5</v>
      </c>
      <c r="J94" t="str">
        <f t="shared" si="6"/>
        <v/>
      </c>
      <c r="K94">
        <f t="shared" si="7"/>
        <v>-0.5</v>
      </c>
    </row>
    <row r="95" spans="1:11" x14ac:dyDescent="0.35">
      <c r="A95">
        <v>2009</v>
      </c>
      <c r="B95">
        <v>10</v>
      </c>
      <c r="C95">
        <v>0</v>
      </c>
      <c r="E95">
        <v>8.9289999999999994E-2</v>
      </c>
      <c r="H95" s="3">
        <f t="shared" si="4"/>
        <v>40087</v>
      </c>
      <c r="I95">
        <f t="shared" si="5"/>
        <v>0</v>
      </c>
      <c r="J95" t="str">
        <f t="shared" si="6"/>
        <v/>
      </c>
      <c r="K95">
        <f t="shared" si="7"/>
        <v>8.9289999999999994E-2</v>
      </c>
    </row>
    <row r="96" spans="1:11" x14ac:dyDescent="0.35">
      <c r="A96">
        <v>2009</v>
      </c>
      <c r="B96">
        <v>11</v>
      </c>
      <c r="C96">
        <v>-0.5</v>
      </c>
      <c r="E96">
        <v>-0.40151999999999999</v>
      </c>
      <c r="H96" s="3">
        <f t="shared" si="4"/>
        <v>40118</v>
      </c>
      <c r="I96">
        <f t="shared" si="5"/>
        <v>-0.5</v>
      </c>
      <c r="J96" t="str">
        <f t="shared" si="6"/>
        <v/>
      </c>
      <c r="K96">
        <f t="shared" si="7"/>
        <v>-0.40151999999999999</v>
      </c>
    </row>
    <row r="97" spans="1:11" x14ac:dyDescent="0.35">
      <c r="A97">
        <v>2009</v>
      </c>
      <c r="B97">
        <v>12</v>
      </c>
      <c r="C97">
        <v>0</v>
      </c>
      <c r="E97">
        <v>3.125E-2</v>
      </c>
      <c r="H97" s="3">
        <f t="shared" si="4"/>
        <v>40148</v>
      </c>
      <c r="I97">
        <f t="shared" si="5"/>
        <v>0</v>
      </c>
      <c r="J97" t="str">
        <f t="shared" si="6"/>
        <v/>
      </c>
      <c r="K97">
        <f t="shared" si="7"/>
        <v>3.125E-2</v>
      </c>
    </row>
    <row r="98" spans="1:11" x14ac:dyDescent="0.35">
      <c r="A98">
        <v>2010</v>
      </c>
      <c r="B98">
        <v>1</v>
      </c>
      <c r="C98">
        <v>0</v>
      </c>
      <c r="E98">
        <v>0</v>
      </c>
      <c r="H98" s="3">
        <f t="shared" si="4"/>
        <v>40179</v>
      </c>
      <c r="I98">
        <f t="shared" si="5"/>
        <v>0</v>
      </c>
      <c r="J98" t="str">
        <f t="shared" si="6"/>
        <v/>
      </c>
      <c r="K98">
        <f t="shared" si="7"/>
        <v>0</v>
      </c>
    </row>
    <row r="99" spans="1:11" x14ac:dyDescent="0.35">
      <c r="A99">
        <v>2010</v>
      </c>
      <c r="B99">
        <v>2</v>
      </c>
      <c r="C99">
        <v>0</v>
      </c>
      <c r="E99">
        <v>0</v>
      </c>
      <c r="H99" s="3">
        <f t="shared" si="4"/>
        <v>40210</v>
      </c>
      <c r="I99">
        <f t="shared" si="5"/>
        <v>0</v>
      </c>
      <c r="J99" t="str">
        <f t="shared" si="6"/>
        <v/>
      </c>
      <c r="K99">
        <f t="shared" si="7"/>
        <v>0</v>
      </c>
    </row>
    <row r="100" spans="1:11" x14ac:dyDescent="0.35">
      <c r="A100">
        <v>2010</v>
      </c>
      <c r="B100">
        <v>3</v>
      </c>
      <c r="C100">
        <v>0</v>
      </c>
      <c r="E100">
        <v>0</v>
      </c>
      <c r="H100" s="3">
        <f t="shared" si="4"/>
        <v>40238</v>
      </c>
      <c r="I100">
        <f t="shared" si="5"/>
        <v>0</v>
      </c>
      <c r="J100" t="str">
        <f t="shared" si="6"/>
        <v/>
      </c>
      <c r="K100">
        <f t="shared" si="7"/>
        <v>0</v>
      </c>
    </row>
    <row r="101" spans="1:11" x14ac:dyDescent="0.35">
      <c r="A101">
        <v>2010</v>
      </c>
      <c r="B101">
        <v>4</v>
      </c>
      <c r="C101">
        <v>-0.5</v>
      </c>
      <c r="E101">
        <v>-0.5</v>
      </c>
      <c r="H101" s="3">
        <f t="shared" si="4"/>
        <v>40269</v>
      </c>
      <c r="I101">
        <f t="shared" si="5"/>
        <v>-0.5</v>
      </c>
      <c r="J101" t="str">
        <f t="shared" si="6"/>
        <v/>
      </c>
      <c r="K101">
        <f t="shared" si="7"/>
        <v>-0.5</v>
      </c>
    </row>
    <row r="102" spans="1:11" x14ac:dyDescent="0.35">
      <c r="A102">
        <v>2010</v>
      </c>
      <c r="B102">
        <v>5</v>
      </c>
      <c r="C102">
        <v>0</v>
      </c>
      <c r="E102">
        <v>0</v>
      </c>
      <c r="H102" s="3">
        <f t="shared" si="4"/>
        <v>40299</v>
      </c>
      <c r="I102">
        <f t="shared" si="5"/>
        <v>0</v>
      </c>
      <c r="J102" t="str">
        <f t="shared" si="6"/>
        <v/>
      </c>
      <c r="K102">
        <f t="shared" si="7"/>
        <v>0</v>
      </c>
    </row>
    <row r="103" spans="1:11" x14ac:dyDescent="0.35">
      <c r="A103">
        <v>2010</v>
      </c>
      <c r="B103">
        <v>6</v>
      </c>
      <c r="C103">
        <v>0</v>
      </c>
      <c r="E103">
        <v>0</v>
      </c>
      <c r="H103" s="3">
        <f t="shared" si="4"/>
        <v>40330</v>
      </c>
      <c r="I103">
        <f t="shared" si="5"/>
        <v>0</v>
      </c>
      <c r="J103" t="str">
        <f t="shared" si="6"/>
        <v/>
      </c>
      <c r="K103">
        <f t="shared" si="7"/>
        <v>0</v>
      </c>
    </row>
    <row r="104" spans="1:11" x14ac:dyDescent="0.35">
      <c r="A104">
        <v>2010</v>
      </c>
      <c r="B104">
        <v>7</v>
      </c>
      <c r="C104">
        <v>0</v>
      </c>
      <c r="E104">
        <v>0</v>
      </c>
      <c r="H104" s="3">
        <f t="shared" si="4"/>
        <v>40360</v>
      </c>
      <c r="I104">
        <f t="shared" si="5"/>
        <v>0</v>
      </c>
      <c r="J104" t="str">
        <f t="shared" si="6"/>
        <v/>
      </c>
      <c r="K104">
        <f t="shared" si="7"/>
        <v>0</v>
      </c>
    </row>
    <row r="105" spans="1:11" x14ac:dyDescent="0.35">
      <c r="A105">
        <v>2010</v>
      </c>
      <c r="B105">
        <v>8</v>
      </c>
      <c r="C105">
        <v>0</v>
      </c>
      <c r="E105">
        <v>4.3479999999999998E-2</v>
      </c>
      <c r="H105" s="3">
        <f t="shared" si="4"/>
        <v>40391</v>
      </c>
      <c r="I105">
        <f t="shared" si="5"/>
        <v>0</v>
      </c>
      <c r="J105" t="str">
        <f t="shared" si="6"/>
        <v/>
      </c>
      <c r="K105">
        <f t="shared" si="7"/>
        <v>4.3479999999999998E-2</v>
      </c>
    </row>
    <row r="106" spans="1:11" x14ac:dyDescent="0.35">
      <c r="A106">
        <v>2010</v>
      </c>
      <c r="B106">
        <v>9</v>
      </c>
      <c r="C106">
        <v>0</v>
      </c>
      <c r="E106">
        <v>0</v>
      </c>
      <c r="H106" s="3">
        <f t="shared" si="4"/>
        <v>40422</v>
      </c>
      <c r="I106">
        <f t="shared" si="5"/>
        <v>0</v>
      </c>
      <c r="J106" t="str">
        <f t="shared" si="6"/>
        <v/>
      </c>
      <c r="K106">
        <f t="shared" si="7"/>
        <v>0</v>
      </c>
    </row>
    <row r="107" spans="1:11" x14ac:dyDescent="0.35">
      <c r="A107">
        <v>2010</v>
      </c>
      <c r="B107">
        <v>10</v>
      </c>
      <c r="C107">
        <v>0</v>
      </c>
      <c r="E107">
        <v>2.3439999999999999E-2</v>
      </c>
      <c r="H107" s="3">
        <f t="shared" si="4"/>
        <v>40452</v>
      </c>
      <c r="I107">
        <f t="shared" si="5"/>
        <v>0</v>
      </c>
      <c r="J107" t="str">
        <f t="shared" si="6"/>
        <v/>
      </c>
      <c r="K107">
        <f t="shared" si="7"/>
        <v>2.3439999999999999E-2</v>
      </c>
    </row>
    <row r="108" spans="1:11" x14ac:dyDescent="0.35">
      <c r="A108">
        <v>2010</v>
      </c>
      <c r="B108">
        <v>11</v>
      </c>
      <c r="C108">
        <v>0</v>
      </c>
      <c r="E108">
        <v>0</v>
      </c>
      <c r="H108" s="3">
        <f t="shared" si="4"/>
        <v>40483</v>
      </c>
      <c r="I108">
        <f t="shared" ref="I108:I171" si="8">IF(C108="","",C108)</f>
        <v>0</v>
      </c>
      <c r="J108" t="str">
        <f t="shared" ref="J108:J171" si="9">IF(D108="","",D108)</f>
        <v/>
      </c>
      <c r="K108">
        <f t="shared" ref="K108:K171" si="10">IF(E108="","",E108)</f>
        <v>0</v>
      </c>
    </row>
    <row r="109" spans="1:11" x14ac:dyDescent="0.35">
      <c r="A109">
        <v>2010</v>
      </c>
      <c r="B109">
        <v>12</v>
      </c>
      <c r="C109">
        <v>0</v>
      </c>
      <c r="E109">
        <v>0</v>
      </c>
      <c r="H109" s="3">
        <f t="shared" si="4"/>
        <v>40513</v>
      </c>
      <c r="I109">
        <f t="shared" si="8"/>
        <v>0</v>
      </c>
      <c r="J109" t="str">
        <f t="shared" si="9"/>
        <v/>
      </c>
      <c r="K109">
        <f t="shared" si="10"/>
        <v>0</v>
      </c>
    </row>
    <row r="110" spans="1:11" x14ac:dyDescent="0.35">
      <c r="A110">
        <v>2011</v>
      </c>
      <c r="B110">
        <v>1</v>
      </c>
      <c r="C110">
        <v>0</v>
      </c>
      <c r="E110">
        <v>-8.3300000000000006E-3</v>
      </c>
      <c r="H110" s="3">
        <f t="shared" si="4"/>
        <v>40544</v>
      </c>
      <c r="I110">
        <f t="shared" si="8"/>
        <v>0</v>
      </c>
      <c r="J110" t="str">
        <f t="shared" si="9"/>
        <v/>
      </c>
      <c r="K110">
        <f t="shared" si="10"/>
        <v>-8.3300000000000006E-3</v>
      </c>
    </row>
    <row r="111" spans="1:11" x14ac:dyDescent="0.35">
      <c r="A111">
        <v>2011</v>
      </c>
      <c r="B111">
        <v>2</v>
      </c>
      <c r="C111">
        <v>0.25</v>
      </c>
      <c r="E111">
        <v>0.22825999999999999</v>
      </c>
      <c r="H111" s="3">
        <f t="shared" si="4"/>
        <v>40575</v>
      </c>
      <c r="I111">
        <f t="shared" si="8"/>
        <v>0.25</v>
      </c>
      <c r="J111" t="str">
        <f t="shared" si="9"/>
        <v/>
      </c>
      <c r="K111">
        <f t="shared" si="10"/>
        <v>0.22825999999999999</v>
      </c>
    </row>
    <row r="112" spans="1:11" x14ac:dyDescent="0.35">
      <c r="A112">
        <v>2011</v>
      </c>
      <c r="B112">
        <v>3</v>
      </c>
      <c r="C112">
        <v>0</v>
      </c>
      <c r="E112">
        <v>4.6300000000000001E-2</v>
      </c>
      <c r="H112" s="3">
        <f t="shared" si="4"/>
        <v>40603</v>
      </c>
      <c r="I112">
        <f t="shared" si="8"/>
        <v>0</v>
      </c>
      <c r="J112" t="str">
        <f t="shared" si="9"/>
        <v/>
      </c>
      <c r="K112">
        <f t="shared" si="10"/>
        <v>4.6300000000000001E-2</v>
      </c>
    </row>
    <row r="113" spans="1:11" x14ac:dyDescent="0.35">
      <c r="A113">
        <v>2011</v>
      </c>
      <c r="B113">
        <v>4</v>
      </c>
      <c r="C113">
        <v>0</v>
      </c>
      <c r="E113">
        <v>5.1720000000000002E-2</v>
      </c>
      <c r="H113" s="3">
        <f t="shared" si="4"/>
        <v>40634</v>
      </c>
      <c r="I113">
        <f t="shared" si="8"/>
        <v>0</v>
      </c>
      <c r="J113" t="str">
        <f t="shared" si="9"/>
        <v/>
      </c>
      <c r="K113">
        <f t="shared" si="10"/>
        <v>5.1720000000000002E-2</v>
      </c>
    </row>
    <row r="114" spans="1:11" x14ac:dyDescent="0.35">
      <c r="A114">
        <v>2011</v>
      </c>
      <c r="B114">
        <v>5</v>
      </c>
      <c r="C114">
        <v>0</v>
      </c>
      <c r="E114">
        <v>0</v>
      </c>
      <c r="H114" s="3">
        <f t="shared" si="4"/>
        <v>40664</v>
      </c>
      <c r="I114">
        <f t="shared" si="8"/>
        <v>0</v>
      </c>
      <c r="J114" t="str">
        <f t="shared" si="9"/>
        <v/>
      </c>
      <c r="K114">
        <f t="shared" si="10"/>
        <v>0</v>
      </c>
    </row>
    <row r="115" spans="1:11" x14ac:dyDescent="0.35">
      <c r="A115">
        <v>2011</v>
      </c>
      <c r="B115">
        <v>6</v>
      </c>
      <c r="C115">
        <v>0</v>
      </c>
      <c r="E115">
        <v>1.0869999999999999E-2</v>
      </c>
      <c r="H115" s="3">
        <f t="shared" si="4"/>
        <v>40695</v>
      </c>
      <c r="I115">
        <f t="shared" si="8"/>
        <v>0</v>
      </c>
      <c r="J115" t="str">
        <f t="shared" si="9"/>
        <v/>
      </c>
      <c r="K115">
        <f t="shared" si="10"/>
        <v>1.0869999999999999E-2</v>
      </c>
    </row>
    <row r="116" spans="1:11" x14ac:dyDescent="0.35">
      <c r="A116">
        <v>2011</v>
      </c>
      <c r="B116">
        <v>7</v>
      </c>
      <c r="C116">
        <v>0</v>
      </c>
      <c r="E116">
        <v>0.03</v>
      </c>
      <c r="H116" s="3">
        <f t="shared" si="4"/>
        <v>40725</v>
      </c>
      <c r="I116">
        <f t="shared" si="8"/>
        <v>0</v>
      </c>
      <c r="J116" t="str">
        <f t="shared" si="9"/>
        <v/>
      </c>
      <c r="K116">
        <f t="shared" si="10"/>
        <v>0.03</v>
      </c>
    </row>
    <row r="117" spans="1:11" x14ac:dyDescent="0.35">
      <c r="A117">
        <v>2011</v>
      </c>
      <c r="B117">
        <v>8</v>
      </c>
      <c r="C117">
        <v>-0.25</v>
      </c>
      <c r="E117">
        <v>-0.15278</v>
      </c>
      <c r="H117" s="3">
        <f t="shared" si="4"/>
        <v>40756</v>
      </c>
      <c r="I117">
        <f t="shared" si="8"/>
        <v>-0.25</v>
      </c>
      <c r="J117" t="str">
        <f t="shared" si="9"/>
        <v/>
      </c>
      <c r="K117">
        <f t="shared" si="10"/>
        <v>-0.15278</v>
      </c>
    </row>
    <row r="118" spans="1:11" x14ac:dyDescent="0.35">
      <c r="A118">
        <v>2011</v>
      </c>
      <c r="B118">
        <v>9</v>
      </c>
      <c r="C118">
        <v>0</v>
      </c>
      <c r="E118">
        <v>0</v>
      </c>
      <c r="H118" s="3">
        <f t="shared" si="4"/>
        <v>40787</v>
      </c>
      <c r="I118">
        <f t="shared" si="8"/>
        <v>0</v>
      </c>
      <c r="J118" t="str">
        <f t="shared" si="9"/>
        <v/>
      </c>
      <c r="K118">
        <f t="shared" si="10"/>
        <v>0</v>
      </c>
    </row>
    <row r="119" spans="1:11" x14ac:dyDescent="0.35">
      <c r="A119">
        <v>2011</v>
      </c>
      <c r="B119">
        <v>10</v>
      </c>
      <c r="C119">
        <v>0</v>
      </c>
      <c r="E119">
        <v>-8.6199999999999992E-3</v>
      </c>
      <c r="H119" s="3">
        <f t="shared" si="4"/>
        <v>40817</v>
      </c>
      <c r="I119">
        <f t="shared" si="8"/>
        <v>0</v>
      </c>
      <c r="J119" t="str">
        <f t="shared" si="9"/>
        <v/>
      </c>
      <c r="K119">
        <f t="shared" si="10"/>
        <v>-8.6199999999999992E-3</v>
      </c>
    </row>
    <row r="120" spans="1:11" x14ac:dyDescent="0.35">
      <c r="A120">
        <v>2011</v>
      </c>
      <c r="B120">
        <v>11</v>
      </c>
      <c r="C120">
        <v>0</v>
      </c>
      <c r="E120">
        <v>0.12143</v>
      </c>
      <c r="H120" s="3">
        <f t="shared" si="4"/>
        <v>40848</v>
      </c>
      <c r="I120">
        <f t="shared" si="8"/>
        <v>0</v>
      </c>
      <c r="J120" t="str">
        <f t="shared" si="9"/>
        <v/>
      </c>
      <c r="K120">
        <f t="shared" si="10"/>
        <v>0.12143</v>
      </c>
    </row>
    <row r="121" spans="1:11" x14ac:dyDescent="0.35">
      <c r="A121">
        <v>2011</v>
      </c>
      <c r="B121">
        <v>12</v>
      </c>
      <c r="C121">
        <v>0</v>
      </c>
      <c r="E121">
        <v>-4.6879999999999998E-2</v>
      </c>
      <c r="H121" s="3">
        <f t="shared" si="4"/>
        <v>40878</v>
      </c>
      <c r="I121">
        <f t="shared" si="8"/>
        <v>0</v>
      </c>
      <c r="J121" t="str">
        <f t="shared" si="9"/>
        <v/>
      </c>
      <c r="K121">
        <f t="shared" si="10"/>
        <v>-4.6879999999999998E-2</v>
      </c>
    </row>
    <row r="122" spans="1:11" x14ac:dyDescent="0.35">
      <c r="A122">
        <v>2012</v>
      </c>
      <c r="B122">
        <v>1</v>
      </c>
      <c r="C122">
        <v>0.25</v>
      </c>
      <c r="E122">
        <v>0.24218999999999999</v>
      </c>
      <c r="H122" s="3">
        <f t="shared" si="4"/>
        <v>40909</v>
      </c>
      <c r="I122">
        <f t="shared" si="8"/>
        <v>0.25</v>
      </c>
      <c r="J122" t="str">
        <f t="shared" si="9"/>
        <v/>
      </c>
      <c r="K122">
        <f t="shared" si="10"/>
        <v>0.24218999999999999</v>
      </c>
    </row>
    <row r="123" spans="1:11" x14ac:dyDescent="0.35">
      <c r="A123">
        <v>2012</v>
      </c>
      <c r="B123">
        <v>2</v>
      </c>
      <c r="C123">
        <v>0</v>
      </c>
      <c r="E123">
        <v>9.7220000000000001E-2</v>
      </c>
      <c r="H123" s="3">
        <f t="shared" si="4"/>
        <v>40940</v>
      </c>
      <c r="I123">
        <f t="shared" si="8"/>
        <v>0</v>
      </c>
      <c r="J123" t="str">
        <f t="shared" si="9"/>
        <v/>
      </c>
      <c r="K123">
        <f t="shared" si="10"/>
        <v>9.7220000000000001E-2</v>
      </c>
    </row>
    <row r="124" spans="1:11" x14ac:dyDescent="0.35">
      <c r="A124">
        <v>2012</v>
      </c>
      <c r="B124">
        <v>3</v>
      </c>
      <c r="C124">
        <v>0</v>
      </c>
      <c r="E124">
        <v>-0.11667</v>
      </c>
      <c r="H124" s="3">
        <f t="shared" si="4"/>
        <v>40969</v>
      </c>
      <c r="I124">
        <f t="shared" si="8"/>
        <v>0</v>
      </c>
      <c r="J124" t="str">
        <f t="shared" si="9"/>
        <v/>
      </c>
      <c r="K124">
        <f t="shared" si="10"/>
        <v>-0.11667</v>
      </c>
    </row>
    <row r="125" spans="1:11" x14ac:dyDescent="0.35">
      <c r="A125">
        <v>2012</v>
      </c>
      <c r="B125">
        <v>4</v>
      </c>
      <c r="C125">
        <v>0</v>
      </c>
      <c r="E125">
        <v>0</v>
      </c>
      <c r="H125" s="3">
        <f t="shared" si="4"/>
        <v>41000</v>
      </c>
      <c r="I125">
        <f t="shared" si="8"/>
        <v>0</v>
      </c>
      <c r="J125" t="str">
        <f t="shared" si="9"/>
        <v/>
      </c>
      <c r="K125">
        <f t="shared" si="10"/>
        <v>0</v>
      </c>
    </row>
    <row r="126" spans="1:11" x14ac:dyDescent="0.35">
      <c r="A126">
        <v>2012</v>
      </c>
      <c r="B126">
        <v>5</v>
      </c>
      <c r="C126">
        <v>0</v>
      </c>
      <c r="E126">
        <v>0</v>
      </c>
      <c r="H126" s="3">
        <f t="shared" si="4"/>
        <v>41030</v>
      </c>
      <c r="I126">
        <f t="shared" si="8"/>
        <v>0</v>
      </c>
      <c r="J126" t="str">
        <f t="shared" si="9"/>
        <v/>
      </c>
      <c r="K126">
        <f t="shared" si="10"/>
        <v>0</v>
      </c>
    </row>
    <row r="127" spans="1:11" x14ac:dyDescent="0.35">
      <c r="A127">
        <v>2012</v>
      </c>
      <c r="B127">
        <v>6</v>
      </c>
      <c r="C127">
        <v>0</v>
      </c>
      <c r="E127">
        <v>0</v>
      </c>
      <c r="H127" s="3">
        <f t="shared" si="4"/>
        <v>41061</v>
      </c>
      <c r="I127">
        <f t="shared" si="8"/>
        <v>0</v>
      </c>
      <c r="J127" t="str">
        <f t="shared" si="9"/>
        <v/>
      </c>
      <c r="K127">
        <f t="shared" si="10"/>
        <v>0</v>
      </c>
    </row>
    <row r="128" spans="1:11" x14ac:dyDescent="0.35">
      <c r="A128">
        <v>2012</v>
      </c>
      <c r="B128">
        <v>7</v>
      </c>
      <c r="C128">
        <v>-0.25</v>
      </c>
      <c r="E128">
        <v>-0.17143</v>
      </c>
      <c r="H128" s="3">
        <f t="shared" si="4"/>
        <v>41091</v>
      </c>
      <c r="I128">
        <f t="shared" si="8"/>
        <v>-0.25</v>
      </c>
      <c r="J128" t="str">
        <f t="shared" si="9"/>
        <v/>
      </c>
      <c r="K128">
        <f t="shared" si="10"/>
        <v>-0.17143</v>
      </c>
    </row>
    <row r="129" spans="1:11" x14ac:dyDescent="0.35">
      <c r="A129">
        <v>2012</v>
      </c>
      <c r="B129">
        <v>8</v>
      </c>
      <c r="C129">
        <v>0</v>
      </c>
      <c r="E129">
        <v>-3.0300000000000001E-2</v>
      </c>
      <c r="H129" s="3">
        <f t="shared" si="4"/>
        <v>41122</v>
      </c>
      <c r="I129">
        <f t="shared" si="8"/>
        <v>0</v>
      </c>
      <c r="J129" t="str">
        <f t="shared" si="9"/>
        <v/>
      </c>
      <c r="K129">
        <f t="shared" si="10"/>
        <v>-3.0300000000000001E-2</v>
      </c>
    </row>
    <row r="130" spans="1:11" x14ac:dyDescent="0.35">
      <c r="A130">
        <v>2012</v>
      </c>
      <c r="B130">
        <v>9</v>
      </c>
      <c r="C130">
        <v>0</v>
      </c>
      <c r="E130">
        <v>8.8239999999999999E-2</v>
      </c>
      <c r="H130" s="3">
        <f t="shared" si="4"/>
        <v>41153</v>
      </c>
      <c r="I130">
        <f t="shared" si="8"/>
        <v>0</v>
      </c>
      <c r="J130" t="str">
        <f t="shared" si="9"/>
        <v/>
      </c>
      <c r="K130">
        <f t="shared" si="10"/>
        <v>8.8239999999999999E-2</v>
      </c>
    </row>
    <row r="131" spans="1:11" x14ac:dyDescent="0.35">
      <c r="A131">
        <v>2012</v>
      </c>
      <c r="B131">
        <v>10</v>
      </c>
      <c r="C131">
        <v>0</v>
      </c>
      <c r="E131">
        <v>0.05</v>
      </c>
      <c r="H131" s="3">
        <f t="shared" si="4"/>
        <v>41183</v>
      </c>
      <c r="I131">
        <f t="shared" si="8"/>
        <v>0</v>
      </c>
      <c r="J131" t="str">
        <f t="shared" si="9"/>
        <v/>
      </c>
      <c r="K131">
        <f t="shared" si="10"/>
        <v>0.05</v>
      </c>
    </row>
    <row r="132" spans="1:11" x14ac:dyDescent="0.35">
      <c r="A132">
        <v>2012</v>
      </c>
      <c r="B132">
        <v>11</v>
      </c>
      <c r="C132">
        <v>-0.25</v>
      </c>
      <c r="E132">
        <v>-0.23485</v>
      </c>
      <c r="H132" s="3">
        <f t="shared" si="4"/>
        <v>41214</v>
      </c>
      <c r="I132">
        <f t="shared" si="8"/>
        <v>-0.25</v>
      </c>
      <c r="J132" t="str">
        <f t="shared" si="9"/>
        <v/>
      </c>
      <c r="K132">
        <f t="shared" si="10"/>
        <v>-0.23485</v>
      </c>
    </row>
    <row r="133" spans="1:11" x14ac:dyDescent="0.35">
      <c r="A133">
        <v>2012</v>
      </c>
      <c r="B133">
        <v>12</v>
      </c>
      <c r="C133">
        <v>-0.25</v>
      </c>
      <c r="E133">
        <v>-0.16406000000000001</v>
      </c>
      <c r="H133" s="3">
        <f t="shared" ref="H133:H196" si="11">DATE(A133,B133,1)</f>
        <v>41244</v>
      </c>
      <c r="I133">
        <f t="shared" si="8"/>
        <v>-0.25</v>
      </c>
      <c r="J133" t="str">
        <f t="shared" si="9"/>
        <v/>
      </c>
      <c r="K133">
        <f t="shared" si="10"/>
        <v>-0.16406000000000001</v>
      </c>
    </row>
    <row r="134" spans="1:11" x14ac:dyDescent="0.35">
      <c r="A134">
        <v>2013</v>
      </c>
      <c r="B134">
        <v>1</v>
      </c>
      <c r="C134">
        <v>0</v>
      </c>
      <c r="E134">
        <v>-1.515E-2</v>
      </c>
      <c r="H134" s="3">
        <f t="shared" si="11"/>
        <v>41275</v>
      </c>
      <c r="I134">
        <f t="shared" si="8"/>
        <v>0</v>
      </c>
      <c r="J134" t="str">
        <f t="shared" si="9"/>
        <v/>
      </c>
      <c r="K134">
        <f t="shared" si="10"/>
        <v>-1.515E-2</v>
      </c>
    </row>
    <row r="135" spans="1:11" x14ac:dyDescent="0.35">
      <c r="A135">
        <v>2013</v>
      </c>
      <c r="B135">
        <v>2</v>
      </c>
      <c r="C135">
        <v>0</v>
      </c>
      <c r="E135">
        <v>0</v>
      </c>
      <c r="H135" s="3">
        <f t="shared" si="11"/>
        <v>41306</v>
      </c>
      <c r="I135">
        <f t="shared" si="8"/>
        <v>0</v>
      </c>
      <c r="J135" t="str">
        <f t="shared" si="9"/>
        <v/>
      </c>
      <c r="K135">
        <f t="shared" si="10"/>
        <v>0</v>
      </c>
    </row>
    <row r="136" spans="1:11" x14ac:dyDescent="0.35">
      <c r="A136">
        <v>2013</v>
      </c>
      <c r="B136">
        <v>3</v>
      </c>
      <c r="C136">
        <v>-0.25</v>
      </c>
      <c r="E136">
        <v>-0.28905999999999998</v>
      </c>
      <c r="H136" s="3">
        <f t="shared" si="11"/>
        <v>41334</v>
      </c>
      <c r="I136">
        <f t="shared" si="8"/>
        <v>-0.25</v>
      </c>
      <c r="J136" t="str">
        <f t="shared" si="9"/>
        <v/>
      </c>
      <c r="K136">
        <f t="shared" si="10"/>
        <v>-0.28905999999999998</v>
      </c>
    </row>
    <row r="137" spans="1:11" x14ac:dyDescent="0.35">
      <c r="A137">
        <v>2013</v>
      </c>
      <c r="B137">
        <v>4</v>
      </c>
      <c r="C137">
        <v>0</v>
      </c>
      <c r="E137">
        <v>9.6769999999999995E-2</v>
      </c>
      <c r="H137" s="3">
        <f t="shared" si="11"/>
        <v>41365</v>
      </c>
      <c r="I137">
        <f t="shared" si="8"/>
        <v>0</v>
      </c>
      <c r="J137" t="str">
        <f t="shared" si="9"/>
        <v/>
      </c>
      <c r="K137">
        <f t="shared" si="10"/>
        <v>9.6769999999999995E-2</v>
      </c>
    </row>
    <row r="138" spans="1:11" x14ac:dyDescent="0.35">
      <c r="A138">
        <v>2013</v>
      </c>
      <c r="B138">
        <v>5</v>
      </c>
      <c r="C138">
        <v>0</v>
      </c>
      <c r="E138">
        <v>0</v>
      </c>
      <c r="H138" s="3">
        <f t="shared" si="11"/>
        <v>41395</v>
      </c>
      <c r="I138">
        <f t="shared" si="8"/>
        <v>0</v>
      </c>
      <c r="J138" t="str">
        <f t="shared" si="9"/>
        <v/>
      </c>
      <c r="K138">
        <f t="shared" si="10"/>
        <v>0</v>
      </c>
    </row>
    <row r="139" spans="1:11" x14ac:dyDescent="0.35">
      <c r="A139">
        <v>2013</v>
      </c>
      <c r="B139">
        <v>6</v>
      </c>
      <c r="C139">
        <v>0</v>
      </c>
      <c r="E139">
        <v>9.2599999999999991E-3</v>
      </c>
      <c r="H139" s="3">
        <f t="shared" si="11"/>
        <v>41426</v>
      </c>
      <c r="I139">
        <f t="shared" si="8"/>
        <v>0</v>
      </c>
      <c r="J139" t="str">
        <f t="shared" si="9"/>
        <v/>
      </c>
      <c r="K139">
        <f t="shared" si="10"/>
        <v>9.2599999999999991E-3</v>
      </c>
    </row>
    <row r="140" spans="1:11" x14ac:dyDescent="0.35">
      <c r="A140">
        <v>2013</v>
      </c>
      <c r="B140">
        <v>7</v>
      </c>
      <c r="C140">
        <v>0</v>
      </c>
      <c r="E140">
        <v>0</v>
      </c>
      <c r="H140" s="3">
        <f t="shared" si="11"/>
        <v>41456</v>
      </c>
      <c r="I140">
        <f t="shared" si="8"/>
        <v>0</v>
      </c>
      <c r="J140" t="str">
        <f t="shared" si="9"/>
        <v/>
      </c>
      <c r="K140">
        <f t="shared" si="10"/>
        <v>0</v>
      </c>
    </row>
    <row r="141" spans="1:11" x14ac:dyDescent="0.35">
      <c r="A141">
        <v>2013</v>
      </c>
      <c r="B141">
        <v>8</v>
      </c>
      <c r="C141">
        <v>0</v>
      </c>
      <c r="E141">
        <v>0</v>
      </c>
      <c r="H141" s="3">
        <f t="shared" si="11"/>
        <v>41487</v>
      </c>
      <c r="I141">
        <f t="shared" si="8"/>
        <v>0</v>
      </c>
      <c r="J141" t="str">
        <f t="shared" si="9"/>
        <v/>
      </c>
      <c r="K141">
        <f t="shared" si="10"/>
        <v>0</v>
      </c>
    </row>
    <row r="142" spans="1:11" x14ac:dyDescent="0.35">
      <c r="A142">
        <v>2013</v>
      </c>
      <c r="B142">
        <v>9</v>
      </c>
      <c r="C142">
        <v>0</v>
      </c>
      <c r="E142">
        <v>2.3439999999999999E-2</v>
      </c>
      <c r="H142" s="3">
        <f t="shared" si="11"/>
        <v>41518</v>
      </c>
      <c r="I142">
        <f t="shared" si="8"/>
        <v>0</v>
      </c>
      <c r="J142" t="str">
        <f t="shared" si="9"/>
        <v/>
      </c>
      <c r="K142">
        <f t="shared" si="10"/>
        <v>2.3439999999999999E-2</v>
      </c>
    </row>
    <row r="143" spans="1:11" x14ac:dyDescent="0.35">
      <c r="A143">
        <v>2013</v>
      </c>
      <c r="B143">
        <v>10</v>
      </c>
      <c r="C143">
        <v>0</v>
      </c>
      <c r="E143">
        <v>7.5799999999999999E-3</v>
      </c>
      <c r="H143" s="3">
        <f t="shared" si="11"/>
        <v>41548</v>
      </c>
      <c r="I143">
        <f t="shared" si="8"/>
        <v>0</v>
      </c>
      <c r="J143" t="str">
        <f t="shared" si="9"/>
        <v/>
      </c>
      <c r="K143">
        <f t="shared" si="10"/>
        <v>7.5799999999999999E-3</v>
      </c>
    </row>
    <row r="144" spans="1:11" x14ac:dyDescent="0.35">
      <c r="A144">
        <v>2013</v>
      </c>
      <c r="B144">
        <v>11</v>
      </c>
      <c r="C144">
        <v>0</v>
      </c>
      <c r="E144">
        <v>8.6199999999999992E-3</v>
      </c>
      <c r="H144" s="3">
        <f t="shared" si="11"/>
        <v>41579</v>
      </c>
      <c r="I144">
        <f t="shared" si="8"/>
        <v>0</v>
      </c>
      <c r="J144" t="str">
        <f t="shared" si="9"/>
        <v/>
      </c>
      <c r="K144">
        <f t="shared" si="10"/>
        <v>8.6199999999999992E-3</v>
      </c>
    </row>
    <row r="145" spans="1:12" x14ac:dyDescent="0.35">
      <c r="A145">
        <v>2013</v>
      </c>
      <c r="B145">
        <v>12</v>
      </c>
      <c r="C145">
        <v>0</v>
      </c>
      <c r="E145">
        <v>0</v>
      </c>
      <c r="H145" s="3">
        <f t="shared" si="11"/>
        <v>41609</v>
      </c>
      <c r="I145">
        <f t="shared" si="8"/>
        <v>0</v>
      </c>
      <c r="J145" t="str">
        <f t="shared" si="9"/>
        <v/>
      </c>
      <c r="K145">
        <f t="shared" si="10"/>
        <v>0</v>
      </c>
    </row>
    <row r="146" spans="1:12" x14ac:dyDescent="0.35">
      <c r="A146">
        <v>2014</v>
      </c>
      <c r="B146">
        <v>1</v>
      </c>
      <c r="C146">
        <v>0</v>
      </c>
      <c r="E146">
        <v>0</v>
      </c>
      <c r="H146" s="3">
        <f t="shared" si="11"/>
        <v>41640</v>
      </c>
      <c r="I146">
        <f t="shared" si="8"/>
        <v>0</v>
      </c>
      <c r="J146" t="str">
        <f t="shared" si="9"/>
        <v/>
      </c>
      <c r="K146">
        <f t="shared" si="10"/>
        <v>0</v>
      </c>
    </row>
    <row r="147" spans="1:12" x14ac:dyDescent="0.35">
      <c r="A147">
        <v>2014</v>
      </c>
      <c r="B147">
        <v>2</v>
      </c>
      <c r="C147">
        <v>0</v>
      </c>
      <c r="E147">
        <v>0</v>
      </c>
      <c r="H147" s="3">
        <f t="shared" si="11"/>
        <v>41671</v>
      </c>
      <c r="I147">
        <f t="shared" si="8"/>
        <v>0</v>
      </c>
      <c r="J147" t="str">
        <f t="shared" si="9"/>
        <v/>
      </c>
      <c r="K147">
        <f t="shared" si="10"/>
        <v>0</v>
      </c>
    </row>
    <row r="148" spans="1:12" x14ac:dyDescent="0.35">
      <c r="A148">
        <v>2014</v>
      </c>
      <c r="B148">
        <v>3</v>
      </c>
      <c r="C148">
        <v>0</v>
      </c>
      <c r="E148">
        <v>0</v>
      </c>
      <c r="H148" s="3">
        <f t="shared" si="11"/>
        <v>41699</v>
      </c>
      <c r="I148">
        <f t="shared" si="8"/>
        <v>0</v>
      </c>
      <c r="J148" t="str">
        <f t="shared" si="9"/>
        <v/>
      </c>
      <c r="K148">
        <f t="shared" si="10"/>
        <v>0</v>
      </c>
    </row>
    <row r="149" spans="1:12" x14ac:dyDescent="0.35">
      <c r="A149">
        <v>2014</v>
      </c>
      <c r="B149">
        <v>4</v>
      </c>
      <c r="C149">
        <v>0.25</v>
      </c>
      <c r="E149">
        <v>0.22414000000000001</v>
      </c>
      <c r="H149" s="3">
        <f t="shared" si="11"/>
        <v>41730</v>
      </c>
      <c r="I149">
        <f t="shared" si="8"/>
        <v>0.25</v>
      </c>
      <c r="J149" t="str">
        <f t="shared" si="9"/>
        <v/>
      </c>
      <c r="K149">
        <f t="shared" si="10"/>
        <v>0.22414000000000001</v>
      </c>
    </row>
    <row r="150" spans="1:12" x14ac:dyDescent="0.35">
      <c r="A150">
        <v>2014</v>
      </c>
      <c r="B150">
        <v>5</v>
      </c>
      <c r="C150">
        <v>0</v>
      </c>
      <c r="E150">
        <v>0.03</v>
      </c>
      <c r="H150" s="3">
        <f t="shared" si="11"/>
        <v>41760</v>
      </c>
      <c r="I150">
        <f t="shared" si="8"/>
        <v>0</v>
      </c>
      <c r="J150" t="str">
        <f t="shared" si="9"/>
        <v/>
      </c>
      <c r="K150">
        <f t="shared" si="10"/>
        <v>0.03</v>
      </c>
    </row>
    <row r="151" spans="1:12" x14ac:dyDescent="0.35">
      <c r="A151">
        <v>2014</v>
      </c>
      <c r="B151">
        <v>6</v>
      </c>
      <c r="C151">
        <v>0</v>
      </c>
      <c r="E151">
        <v>-3.5709999999999999E-2</v>
      </c>
      <c r="H151" s="3">
        <f t="shared" si="11"/>
        <v>41791</v>
      </c>
      <c r="I151">
        <f t="shared" si="8"/>
        <v>0</v>
      </c>
      <c r="J151" t="str">
        <f t="shared" si="9"/>
        <v/>
      </c>
      <c r="K151">
        <f t="shared" si="10"/>
        <v>-3.5709999999999999E-2</v>
      </c>
    </row>
    <row r="152" spans="1:12" x14ac:dyDescent="0.35">
      <c r="A152">
        <v>2014</v>
      </c>
      <c r="B152">
        <v>7</v>
      </c>
      <c r="C152">
        <v>0</v>
      </c>
      <c r="E152">
        <v>1.562E-2</v>
      </c>
      <c r="H152" s="3">
        <f t="shared" si="11"/>
        <v>41821</v>
      </c>
      <c r="I152">
        <f t="shared" si="8"/>
        <v>0</v>
      </c>
      <c r="J152" t="str">
        <f t="shared" si="9"/>
        <v/>
      </c>
      <c r="K152">
        <f t="shared" si="10"/>
        <v>1.562E-2</v>
      </c>
    </row>
    <row r="153" spans="1:12" x14ac:dyDescent="0.35">
      <c r="A153">
        <v>2014</v>
      </c>
      <c r="B153">
        <v>8</v>
      </c>
      <c r="C153">
        <v>0</v>
      </c>
      <c r="E153">
        <v>3.6760000000000001E-2</v>
      </c>
      <c r="H153" s="3">
        <f t="shared" si="11"/>
        <v>41852</v>
      </c>
      <c r="I153">
        <f t="shared" si="8"/>
        <v>0</v>
      </c>
      <c r="J153" t="str">
        <f t="shared" si="9"/>
        <v/>
      </c>
      <c r="K153">
        <f t="shared" si="10"/>
        <v>3.6760000000000001E-2</v>
      </c>
      <c r="L153">
        <v>0</v>
      </c>
    </row>
    <row r="154" spans="1:12" x14ac:dyDescent="0.35">
      <c r="A154">
        <v>2014</v>
      </c>
      <c r="B154">
        <v>9</v>
      </c>
      <c r="C154">
        <v>0</v>
      </c>
      <c r="E154">
        <v>-4.054E-2</v>
      </c>
      <c r="H154" s="3">
        <f t="shared" si="11"/>
        <v>41883</v>
      </c>
      <c r="I154">
        <f t="shared" si="8"/>
        <v>0</v>
      </c>
      <c r="J154" t="str">
        <f t="shared" si="9"/>
        <v/>
      </c>
      <c r="K154">
        <f t="shared" si="10"/>
        <v>-4.054E-2</v>
      </c>
      <c r="L154">
        <v>0</v>
      </c>
    </row>
    <row r="155" spans="1:12" x14ac:dyDescent="0.35">
      <c r="A155">
        <v>2014</v>
      </c>
      <c r="B155">
        <v>10</v>
      </c>
      <c r="C155">
        <v>0</v>
      </c>
      <c r="E155">
        <v>-6.5799999999999999E-3</v>
      </c>
      <c r="H155" s="3">
        <f t="shared" si="11"/>
        <v>41913</v>
      </c>
      <c r="I155">
        <f t="shared" si="8"/>
        <v>0</v>
      </c>
      <c r="J155" t="str">
        <f t="shared" si="9"/>
        <v/>
      </c>
      <c r="K155">
        <f t="shared" si="10"/>
        <v>-6.5799999999999999E-3</v>
      </c>
      <c r="L155">
        <v>0</v>
      </c>
    </row>
    <row r="156" spans="1:12" x14ac:dyDescent="0.35">
      <c r="A156">
        <v>2014</v>
      </c>
      <c r="B156">
        <v>11</v>
      </c>
      <c r="C156">
        <v>0</v>
      </c>
      <c r="E156">
        <v>0</v>
      </c>
      <c r="H156" s="3">
        <f t="shared" si="11"/>
        <v>41944</v>
      </c>
      <c r="I156">
        <f t="shared" si="8"/>
        <v>0</v>
      </c>
      <c r="J156" t="str">
        <f t="shared" si="9"/>
        <v/>
      </c>
      <c r="K156">
        <f t="shared" si="10"/>
        <v>0</v>
      </c>
      <c r="L156">
        <v>0</v>
      </c>
    </row>
    <row r="157" spans="1:12" x14ac:dyDescent="0.35">
      <c r="A157">
        <v>2014</v>
      </c>
      <c r="B157">
        <v>12</v>
      </c>
      <c r="C157">
        <v>0</v>
      </c>
      <c r="E157">
        <v>8.6199999999999992E-3</v>
      </c>
      <c r="H157" s="3">
        <f t="shared" si="11"/>
        <v>41974</v>
      </c>
      <c r="I157">
        <f t="shared" si="8"/>
        <v>0</v>
      </c>
      <c r="J157" t="str">
        <f t="shared" si="9"/>
        <v/>
      </c>
      <c r="K157">
        <f t="shared" si="10"/>
        <v>8.6199999999999992E-3</v>
      </c>
      <c r="L157">
        <v>0</v>
      </c>
    </row>
    <row r="158" spans="1:12" x14ac:dyDescent="0.35">
      <c r="A158">
        <v>2015</v>
      </c>
      <c r="B158">
        <v>1</v>
      </c>
      <c r="C158">
        <v>0</v>
      </c>
      <c r="E158">
        <v>0</v>
      </c>
      <c r="H158" s="3">
        <f t="shared" si="11"/>
        <v>42005</v>
      </c>
      <c r="I158">
        <f t="shared" si="8"/>
        <v>0</v>
      </c>
      <c r="J158" t="str">
        <f t="shared" si="9"/>
        <v/>
      </c>
      <c r="K158">
        <f t="shared" si="10"/>
        <v>0</v>
      </c>
      <c r="L158">
        <v>0</v>
      </c>
    </row>
    <row r="159" spans="1:12" x14ac:dyDescent="0.35">
      <c r="A159">
        <v>2015</v>
      </c>
      <c r="B159">
        <v>2</v>
      </c>
      <c r="C159">
        <v>0</v>
      </c>
      <c r="E159">
        <v>0</v>
      </c>
      <c r="H159" s="3">
        <f t="shared" si="11"/>
        <v>42036</v>
      </c>
      <c r="I159">
        <f t="shared" si="8"/>
        <v>0</v>
      </c>
      <c r="J159" t="str">
        <f t="shared" si="9"/>
        <v/>
      </c>
      <c r="K159">
        <f t="shared" si="10"/>
        <v>0</v>
      </c>
      <c r="L159">
        <v>0</v>
      </c>
    </row>
    <row r="160" spans="1:12" x14ac:dyDescent="0.35">
      <c r="A160">
        <v>2015</v>
      </c>
      <c r="B160">
        <v>3</v>
      </c>
      <c r="C160">
        <v>0</v>
      </c>
      <c r="E160">
        <v>-3.5709999999999999E-2</v>
      </c>
      <c r="H160" s="3">
        <f t="shared" si="11"/>
        <v>42064</v>
      </c>
      <c r="I160">
        <f t="shared" si="8"/>
        <v>0</v>
      </c>
      <c r="J160" t="str">
        <f t="shared" si="9"/>
        <v/>
      </c>
      <c r="K160">
        <f t="shared" si="10"/>
        <v>-3.5709999999999999E-2</v>
      </c>
      <c r="L160">
        <v>0</v>
      </c>
    </row>
    <row r="161" spans="1:12" x14ac:dyDescent="0.35">
      <c r="A161">
        <v>2015</v>
      </c>
      <c r="B161">
        <v>4</v>
      </c>
      <c r="C161">
        <v>0</v>
      </c>
      <c r="E161">
        <v>0</v>
      </c>
      <c r="H161" s="3">
        <f t="shared" si="11"/>
        <v>42095</v>
      </c>
      <c r="I161">
        <f t="shared" si="8"/>
        <v>0</v>
      </c>
      <c r="J161" t="str">
        <f t="shared" si="9"/>
        <v/>
      </c>
      <c r="K161">
        <f t="shared" si="10"/>
        <v>0</v>
      </c>
      <c r="L161">
        <v>0</v>
      </c>
    </row>
    <row r="162" spans="1:12" x14ac:dyDescent="0.35">
      <c r="A162">
        <v>2015</v>
      </c>
      <c r="B162">
        <v>5</v>
      </c>
      <c r="C162">
        <v>0</v>
      </c>
      <c r="E162">
        <v>0</v>
      </c>
      <c r="H162" s="3">
        <f t="shared" si="11"/>
        <v>42125</v>
      </c>
      <c r="I162">
        <f t="shared" si="8"/>
        <v>0</v>
      </c>
      <c r="J162" t="str">
        <f t="shared" si="9"/>
        <v/>
      </c>
      <c r="K162">
        <f t="shared" si="10"/>
        <v>0</v>
      </c>
      <c r="L162">
        <v>0</v>
      </c>
    </row>
    <row r="163" spans="1:12" x14ac:dyDescent="0.35">
      <c r="A163">
        <v>2015</v>
      </c>
      <c r="B163">
        <v>6</v>
      </c>
      <c r="C163">
        <v>0</v>
      </c>
      <c r="E163">
        <v>0</v>
      </c>
      <c r="H163" s="3">
        <f t="shared" si="11"/>
        <v>42156</v>
      </c>
      <c r="I163">
        <f t="shared" si="8"/>
        <v>0</v>
      </c>
      <c r="J163" t="str">
        <f t="shared" si="9"/>
        <v/>
      </c>
      <c r="K163">
        <f t="shared" si="10"/>
        <v>0</v>
      </c>
      <c r="L163">
        <v>0</v>
      </c>
    </row>
    <row r="164" spans="1:12" x14ac:dyDescent="0.35">
      <c r="A164">
        <v>2015</v>
      </c>
      <c r="B164">
        <v>7</v>
      </c>
      <c r="C164">
        <v>0</v>
      </c>
      <c r="E164">
        <v>0</v>
      </c>
      <c r="H164" s="3">
        <f t="shared" si="11"/>
        <v>42186</v>
      </c>
      <c r="I164">
        <f t="shared" si="8"/>
        <v>0</v>
      </c>
      <c r="J164" t="str">
        <f t="shared" si="9"/>
        <v/>
      </c>
      <c r="K164">
        <f t="shared" si="10"/>
        <v>0</v>
      </c>
      <c r="L164">
        <v>0</v>
      </c>
    </row>
    <row r="165" spans="1:12" x14ac:dyDescent="0.35">
      <c r="A165">
        <v>2015</v>
      </c>
      <c r="B165">
        <v>8</v>
      </c>
      <c r="C165">
        <v>0</v>
      </c>
      <c r="E165">
        <v>-2.632E-2</v>
      </c>
      <c r="H165" s="3">
        <f t="shared" si="11"/>
        <v>42217</v>
      </c>
      <c r="I165">
        <f t="shared" si="8"/>
        <v>0</v>
      </c>
      <c r="J165" t="str">
        <f t="shared" si="9"/>
        <v/>
      </c>
      <c r="K165">
        <f t="shared" si="10"/>
        <v>-2.632E-2</v>
      </c>
      <c r="L165">
        <v>0</v>
      </c>
    </row>
    <row r="166" spans="1:12" x14ac:dyDescent="0.35">
      <c r="A166">
        <v>2015</v>
      </c>
      <c r="B166">
        <v>9</v>
      </c>
      <c r="C166">
        <v>0.25</v>
      </c>
      <c r="E166">
        <v>0.15789</v>
      </c>
      <c r="H166" s="3">
        <f t="shared" si="11"/>
        <v>42248</v>
      </c>
      <c r="I166">
        <f t="shared" si="8"/>
        <v>0.25</v>
      </c>
      <c r="J166" t="str">
        <f t="shared" si="9"/>
        <v/>
      </c>
      <c r="K166">
        <f t="shared" si="10"/>
        <v>0.15789</v>
      </c>
      <c r="L166">
        <v>0</v>
      </c>
    </row>
    <row r="167" spans="1:12" x14ac:dyDescent="0.35">
      <c r="A167">
        <v>2015</v>
      </c>
      <c r="B167">
        <v>10</v>
      </c>
      <c r="C167">
        <v>0.25</v>
      </c>
      <c r="E167">
        <v>0.25</v>
      </c>
      <c r="H167" s="3">
        <f t="shared" si="11"/>
        <v>42278</v>
      </c>
      <c r="I167">
        <f t="shared" si="8"/>
        <v>0.25</v>
      </c>
      <c r="J167" t="str">
        <f t="shared" si="9"/>
        <v/>
      </c>
      <c r="K167">
        <f t="shared" si="10"/>
        <v>0.25</v>
      </c>
      <c r="L167">
        <v>2.5000000000000022E-3</v>
      </c>
    </row>
    <row r="168" spans="1:12" x14ac:dyDescent="0.35">
      <c r="A168">
        <v>2015</v>
      </c>
      <c r="B168">
        <v>11</v>
      </c>
      <c r="C168">
        <v>-0.25</v>
      </c>
      <c r="E168">
        <v>-0.13125000000000001</v>
      </c>
      <c r="H168" s="3">
        <f t="shared" si="11"/>
        <v>42309</v>
      </c>
      <c r="I168">
        <f t="shared" si="8"/>
        <v>-0.25</v>
      </c>
      <c r="J168" t="str">
        <f t="shared" si="9"/>
        <v/>
      </c>
      <c r="K168">
        <f t="shared" si="10"/>
        <v>-0.13125000000000001</v>
      </c>
      <c r="L168">
        <v>2.4999999999999953E-3</v>
      </c>
    </row>
    <row r="169" spans="1:12" x14ac:dyDescent="0.35">
      <c r="A169">
        <v>2015</v>
      </c>
      <c r="B169">
        <v>12</v>
      </c>
      <c r="C169">
        <v>0</v>
      </c>
      <c r="E169">
        <v>6.7600000000000004E-3</v>
      </c>
      <c r="H169" s="3">
        <f t="shared" si="11"/>
        <v>42339</v>
      </c>
      <c r="I169">
        <f t="shared" si="8"/>
        <v>0</v>
      </c>
      <c r="J169" t="str">
        <f t="shared" si="9"/>
        <v/>
      </c>
      <c r="K169">
        <f t="shared" si="10"/>
        <v>6.7600000000000004E-3</v>
      </c>
      <c r="L169">
        <v>0</v>
      </c>
    </row>
    <row r="170" spans="1:12" x14ac:dyDescent="0.35">
      <c r="A170">
        <v>2016</v>
      </c>
      <c r="B170">
        <v>1</v>
      </c>
      <c r="C170">
        <v>0</v>
      </c>
      <c r="E170">
        <v>6.7600000000000004E-3</v>
      </c>
      <c r="H170" s="3">
        <f t="shared" si="11"/>
        <v>42370</v>
      </c>
      <c r="I170">
        <f t="shared" si="8"/>
        <v>0</v>
      </c>
      <c r="J170" t="str">
        <f t="shared" si="9"/>
        <v/>
      </c>
      <c r="K170">
        <f t="shared" si="10"/>
        <v>6.7600000000000004E-3</v>
      </c>
      <c r="L170">
        <v>0</v>
      </c>
    </row>
    <row r="171" spans="1:12" x14ac:dyDescent="0.35">
      <c r="A171">
        <v>2016</v>
      </c>
      <c r="B171">
        <v>2</v>
      </c>
      <c r="C171">
        <v>0</v>
      </c>
      <c r="E171">
        <v>-5.1470000000000002E-2</v>
      </c>
      <c r="H171" s="3">
        <f t="shared" si="11"/>
        <v>42401</v>
      </c>
      <c r="I171">
        <f t="shared" si="8"/>
        <v>0</v>
      </c>
      <c r="J171" t="str">
        <f t="shared" si="9"/>
        <v/>
      </c>
      <c r="K171">
        <f t="shared" si="10"/>
        <v>-5.1470000000000002E-2</v>
      </c>
      <c r="L171">
        <v>0</v>
      </c>
    </row>
    <row r="172" spans="1:12" x14ac:dyDescent="0.35">
      <c r="A172">
        <v>2016</v>
      </c>
      <c r="B172">
        <v>3</v>
      </c>
      <c r="C172">
        <v>0</v>
      </c>
      <c r="E172">
        <v>0</v>
      </c>
      <c r="H172" s="3">
        <f t="shared" si="11"/>
        <v>42430</v>
      </c>
      <c r="I172">
        <f t="shared" ref="I172:I235" si="12">IF(C172="","",C172)</f>
        <v>0</v>
      </c>
      <c r="J172" t="str">
        <f t="shared" ref="J172:J235" si="13">IF(D172="","",D172)</f>
        <v/>
      </c>
      <c r="K172">
        <f t="shared" ref="K172:K235" si="14">IF(E172="","",E172)</f>
        <v>0</v>
      </c>
      <c r="L172">
        <v>0</v>
      </c>
    </row>
    <row r="173" spans="1:12" x14ac:dyDescent="0.35">
      <c r="A173">
        <v>2016</v>
      </c>
      <c r="B173">
        <v>4</v>
      </c>
      <c r="C173">
        <v>0.25</v>
      </c>
      <c r="E173">
        <v>0.18590000000000001</v>
      </c>
      <c r="H173" s="3">
        <f t="shared" si="11"/>
        <v>42461</v>
      </c>
      <c r="I173">
        <f t="shared" si="12"/>
        <v>0.25</v>
      </c>
      <c r="J173" t="str">
        <f t="shared" si="13"/>
        <v/>
      </c>
      <c r="K173">
        <f t="shared" si="14"/>
        <v>0.18590000000000001</v>
      </c>
      <c r="L173">
        <v>0</v>
      </c>
    </row>
    <row r="174" spans="1:12" x14ac:dyDescent="0.35">
      <c r="A174">
        <v>2016</v>
      </c>
      <c r="B174">
        <v>5</v>
      </c>
      <c r="C174">
        <v>0</v>
      </c>
      <c r="E174">
        <v>2.273E-2</v>
      </c>
      <c r="H174" s="3">
        <f t="shared" si="11"/>
        <v>42491</v>
      </c>
      <c r="I174">
        <f t="shared" si="12"/>
        <v>0</v>
      </c>
      <c r="J174" t="str">
        <f t="shared" si="13"/>
        <v/>
      </c>
      <c r="K174">
        <f t="shared" si="14"/>
        <v>2.273E-2</v>
      </c>
      <c r="L174">
        <v>2.5000000000000022E-3</v>
      </c>
    </row>
    <row r="175" spans="1:12" x14ac:dyDescent="0.35">
      <c r="A175">
        <v>2016</v>
      </c>
      <c r="B175">
        <v>6</v>
      </c>
      <c r="C175">
        <v>0</v>
      </c>
      <c r="E175">
        <v>0</v>
      </c>
      <c r="H175" s="3">
        <f t="shared" si="11"/>
        <v>42522</v>
      </c>
      <c r="I175">
        <f t="shared" si="12"/>
        <v>0</v>
      </c>
      <c r="J175" t="str">
        <f t="shared" si="13"/>
        <v/>
      </c>
      <c r="K175">
        <f t="shared" si="14"/>
        <v>0</v>
      </c>
      <c r="L175">
        <v>0</v>
      </c>
    </row>
    <row r="176" spans="1:12" x14ac:dyDescent="0.35">
      <c r="A176">
        <v>2016</v>
      </c>
      <c r="B176">
        <v>7</v>
      </c>
      <c r="C176">
        <v>0</v>
      </c>
      <c r="E176">
        <v>5.1470000000000002E-2</v>
      </c>
      <c r="H176" s="3">
        <f t="shared" si="11"/>
        <v>42552</v>
      </c>
      <c r="I176">
        <f t="shared" si="12"/>
        <v>0</v>
      </c>
      <c r="J176" t="str">
        <f t="shared" si="13"/>
        <v/>
      </c>
      <c r="K176">
        <f t="shared" si="14"/>
        <v>5.1470000000000002E-2</v>
      </c>
      <c r="L176">
        <v>0</v>
      </c>
    </row>
    <row r="177" spans="1:12" x14ac:dyDescent="0.35">
      <c r="A177">
        <v>2016</v>
      </c>
      <c r="B177">
        <v>8</v>
      </c>
      <c r="C177">
        <v>0</v>
      </c>
      <c r="E177">
        <v>-7.639E-2</v>
      </c>
      <c r="H177" s="3">
        <f t="shared" si="11"/>
        <v>42583</v>
      </c>
      <c r="I177">
        <f t="shared" si="12"/>
        <v>0</v>
      </c>
      <c r="J177" t="str">
        <f t="shared" si="13"/>
        <v/>
      </c>
      <c r="K177">
        <f t="shared" si="14"/>
        <v>-7.639E-2</v>
      </c>
      <c r="L177">
        <v>0</v>
      </c>
    </row>
    <row r="178" spans="1:12" x14ac:dyDescent="0.35">
      <c r="A178">
        <v>2016</v>
      </c>
      <c r="B178">
        <v>9</v>
      </c>
      <c r="C178">
        <v>0</v>
      </c>
      <c r="E178">
        <v>0</v>
      </c>
      <c r="H178" s="3">
        <f t="shared" si="11"/>
        <v>42614</v>
      </c>
      <c r="I178">
        <f t="shared" si="12"/>
        <v>0</v>
      </c>
      <c r="J178" t="str">
        <f t="shared" si="13"/>
        <v/>
      </c>
      <c r="K178">
        <f t="shared" si="14"/>
        <v>0</v>
      </c>
      <c r="L178">
        <v>0</v>
      </c>
    </row>
    <row r="179" spans="1:12" x14ac:dyDescent="0.35">
      <c r="A179">
        <v>2016</v>
      </c>
      <c r="B179">
        <v>10</v>
      </c>
      <c r="C179">
        <v>0</v>
      </c>
      <c r="E179">
        <v>8.0599999999999995E-3</v>
      </c>
      <c r="H179" s="3">
        <f t="shared" si="11"/>
        <v>42644</v>
      </c>
      <c r="I179">
        <f t="shared" si="12"/>
        <v>0</v>
      </c>
      <c r="J179" t="str">
        <f t="shared" si="13"/>
        <v/>
      </c>
      <c r="K179">
        <f t="shared" si="14"/>
        <v>8.0599999999999995E-3</v>
      </c>
      <c r="L179">
        <v>0</v>
      </c>
    </row>
    <row r="180" spans="1:12" x14ac:dyDescent="0.35">
      <c r="A180">
        <v>2016</v>
      </c>
      <c r="B180">
        <v>11</v>
      </c>
      <c r="C180">
        <v>0</v>
      </c>
      <c r="E180">
        <v>7.5799999999999999E-3</v>
      </c>
      <c r="H180" s="3">
        <f t="shared" si="11"/>
        <v>42675</v>
      </c>
      <c r="I180">
        <f t="shared" si="12"/>
        <v>0</v>
      </c>
      <c r="J180" t="str">
        <f t="shared" si="13"/>
        <v/>
      </c>
      <c r="K180">
        <f t="shared" si="14"/>
        <v>7.5799999999999999E-3</v>
      </c>
      <c r="L180">
        <v>0</v>
      </c>
    </row>
    <row r="181" spans="1:12" x14ac:dyDescent="0.35">
      <c r="A181">
        <v>2016</v>
      </c>
      <c r="B181">
        <v>12</v>
      </c>
      <c r="C181">
        <v>-0.25</v>
      </c>
      <c r="E181">
        <v>-0.24306</v>
      </c>
      <c r="H181" s="3">
        <f t="shared" si="11"/>
        <v>42705</v>
      </c>
      <c r="I181">
        <f t="shared" si="12"/>
        <v>-0.25</v>
      </c>
      <c r="J181" t="str">
        <f t="shared" si="13"/>
        <v/>
      </c>
      <c r="K181">
        <f t="shared" si="14"/>
        <v>-0.24306</v>
      </c>
      <c r="L181">
        <v>0</v>
      </c>
    </row>
    <row r="182" spans="1:12" x14ac:dyDescent="0.35">
      <c r="A182">
        <v>2017</v>
      </c>
      <c r="B182">
        <v>1</v>
      </c>
      <c r="C182">
        <v>0.25</v>
      </c>
      <c r="E182">
        <v>0.22917000000000001</v>
      </c>
      <c r="H182" s="3">
        <f t="shared" si="11"/>
        <v>42736</v>
      </c>
      <c r="I182">
        <f t="shared" si="12"/>
        <v>0.25</v>
      </c>
      <c r="J182" t="str">
        <f t="shared" si="13"/>
        <v/>
      </c>
      <c r="K182">
        <f t="shared" si="14"/>
        <v>0.22917000000000001</v>
      </c>
      <c r="L182">
        <v>-2.5000000000000022E-3</v>
      </c>
    </row>
    <row r="183" spans="1:12" x14ac:dyDescent="0.35">
      <c r="A183">
        <v>2017</v>
      </c>
      <c r="B183">
        <v>2</v>
      </c>
      <c r="C183">
        <v>-0.25</v>
      </c>
      <c r="E183">
        <v>-0.17308000000000001</v>
      </c>
      <c r="H183" s="3">
        <f t="shared" si="11"/>
        <v>42767</v>
      </c>
      <c r="I183">
        <f t="shared" si="12"/>
        <v>-0.25</v>
      </c>
      <c r="J183" t="str">
        <f t="shared" si="13"/>
        <v/>
      </c>
      <c r="K183">
        <f t="shared" si="14"/>
        <v>-0.17308000000000001</v>
      </c>
      <c r="L183">
        <v>2.5000000000000022E-3</v>
      </c>
    </row>
    <row r="184" spans="1:12" x14ac:dyDescent="0.35">
      <c r="A184">
        <v>2017</v>
      </c>
      <c r="B184">
        <v>3</v>
      </c>
      <c r="C184">
        <v>0</v>
      </c>
      <c r="E184">
        <v>4.2860000000000002E-2</v>
      </c>
      <c r="H184" s="3">
        <f t="shared" si="11"/>
        <v>42795</v>
      </c>
      <c r="I184">
        <f t="shared" si="12"/>
        <v>0</v>
      </c>
      <c r="J184" t="str">
        <f t="shared" si="13"/>
        <v/>
      </c>
      <c r="K184">
        <f t="shared" si="14"/>
        <v>4.2860000000000002E-2</v>
      </c>
      <c r="L184">
        <v>-2.5000000000000022E-3</v>
      </c>
    </row>
    <row r="185" spans="1:12" x14ac:dyDescent="0.35">
      <c r="A185">
        <v>2017</v>
      </c>
      <c r="B185">
        <v>4</v>
      </c>
      <c r="C185">
        <v>-0.25</v>
      </c>
      <c r="E185">
        <v>-0.16428999999999999</v>
      </c>
      <c r="H185" s="3">
        <f t="shared" si="11"/>
        <v>42826</v>
      </c>
      <c r="I185">
        <f t="shared" si="12"/>
        <v>-0.25</v>
      </c>
      <c r="J185" t="str">
        <f t="shared" si="13"/>
        <v/>
      </c>
      <c r="K185">
        <f t="shared" si="14"/>
        <v>-0.16428999999999999</v>
      </c>
      <c r="L185">
        <v>0</v>
      </c>
    </row>
    <row r="186" spans="1:12" x14ac:dyDescent="0.35">
      <c r="A186">
        <v>2017</v>
      </c>
      <c r="B186">
        <v>5</v>
      </c>
      <c r="C186">
        <v>0</v>
      </c>
      <c r="E186">
        <v>6.5790000000000001E-2</v>
      </c>
      <c r="H186" s="3">
        <f t="shared" si="11"/>
        <v>42856</v>
      </c>
      <c r="I186">
        <f t="shared" si="12"/>
        <v>0</v>
      </c>
      <c r="J186" t="str">
        <f t="shared" si="13"/>
        <v/>
      </c>
      <c r="K186">
        <f t="shared" si="14"/>
        <v>6.5790000000000001E-2</v>
      </c>
      <c r="L186">
        <v>-2.5000000000000022E-3</v>
      </c>
    </row>
    <row r="187" spans="1:12" x14ac:dyDescent="0.35">
      <c r="A187">
        <v>2017</v>
      </c>
      <c r="B187">
        <v>6</v>
      </c>
      <c r="C187">
        <v>0</v>
      </c>
      <c r="E187">
        <v>-0.11806</v>
      </c>
      <c r="H187" s="3">
        <f t="shared" si="11"/>
        <v>42887</v>
      </c>
      <c r="I187">
        <f t="shared" si="12"/>
        <v>0</v>
      </c>
      <c r="J187" t="str">
        <f t="shared" si="13"/>
        <v/>
      </c>
      <c r="K187">
        <f t="shared" si="14"/>
        <v>-0.11806</v>
      </c>
      <c r="L187">
        <v>0</v>
      </c>
    </row>
    <row r="188" spans="1:12" x14ac:dyDescent="0.35">
      <c r="A188">
        <v>2017</v>
      </c>
      <c r="B188">
        <v>7</v>
      </c>
      <c r="C188">
        <v>0</v>
      </c>
      <c r="E188">
        <v>2.7029999999999998E-2</v>
      </c>
      <c r="H188" s="3">
        <f t="shared" si="11"/>
        <v>42917</v>
      </c>
      <c r="I188">
        <f t="shared" si="12"/>
        <v>0</v>
      </c>
      <c r="J188" t="str">
        <f t="shared" si="13"/>
        <v/>
      </c>
      <c r="K188">
        <f t="shared" si="14"/>
        <v>2.7029999999999998E-2</v>
      </c>
      <c r="L188">
        <v>-2.4999999999999953E-3</v>
      </c>
    </row>
    <row r="189" spans="1:12" x14ac:dyDescent="0.35">
      <c r="A189">
        <v>2017</v>
      </c>
      <c r="B189">
        <v>8</v>
      </c>
      <c r="C189">
        <v>0</v>
      </c>
      <c r="E189">
        <v>1.3509999999999999E-2</v>
      </c>
      <c r="H189" s="3">
        <f t="shared" si="11"/>
        <v>42948</v>
      </c>
      <c r="I189">
        <f t="shared" si="12"/>
        <v>0</v>
      </c>
      <c r="J189" t="str">
        <f t="shared" si="13"/>
        <v/>
      </c>
      <c r="K189">
        <f t="shared" si="14"/>
        <v>1.3509999999999999E-2</v>
      </c>
      <c r="L189">
        <v>0</v>
      </c>
    </row>
    <row r="190" spans="1:12" x14ac:dyDescent="0.35">
      <c r="A190">
        <v>2017</v>
      </c>
      <c r="B190">
        <v>9</v>
      </c>
      <c r="C190">
        <v>0</v>
      </c>
      <c r="E190">
        <v>2.7779999999999999E-2</v>
      </c>
      <c r="H190" s="3">
        <f t="shared" si="11"/>
        <v>42979</v>
      </c>
      <c r="I190">
        <f t="shared" si="12"/>
        <v>0</v>
      </c>
      <c r="J190" t="str">
        <f t="shared" si="13"/>
        <v/>
      </c>
      <c r="K190">
        <f t="shared" si="14"/>
        <v>2.7779999999999999E-2</v>
      </c>
      <c r="L190">
        <v>0</v>
      </c>
    </row>
    <row r="191" spans="1:12" x14ac:dyDescent="0.35">
      <c r="A191">
        <v>2017</v>
      </c>
      <c r="B191">
        <v>10</v>
      </c>
      <c r="C191">
        <v>-0.25</v>
      </c>
      <c r="E191">
        <v>-0.22794</v>
      </c>
      <c r="H191" s="3">
        <f t="shared" si="11"/>
        <v>43009</v>
      </c>
      <c r="I191">
        <f t="shared" si="12"/>
        <v>-0.25</v>
      </c>
      <c r="J191" t="str">
        <f t="shared" si="13"/>
        <v/>
      </c>
      <c r="K191">
        <f t="shared" si="14"/>
        <v>-0.22794</v>
      </c>
      <c r="L191">
        <v>0</v>
      </c>
    </row>
    <row r="192" spans="1:12" x14ac:dyDescent="0.35">
      <c r="A192">
        <v>2017</v>
      </c>
      <c r="B192">
        <v>11</v>
      </c>
      <c r="C192">
        <v>-0.25</v>
      </c>
      <c r="E192">
        <v>-0.12878999999999999</v>
      </c>
      <c r="H192" s="3">
        <f t="shared" si="11"/>
        <v>43040</v>
      </c>
      <c r="I192">
        <f t="shared" si="12"/>
        <v>-0.25</v>
      </c>
      <c r="J192" t="str">
        <f t="shared" si="13"/>
        <v/>
      </c>
      <c r="K192">
        <f t="shared" si="14"/>
        <v>-0.12878999999999999</v>
      </c>
      <c r="L192">
        <v>-2.4999999999999953E-3</v>
      </c>
    </row>
    <row r="193" spans="1:12" x14ac:dyDescent="0.35">
      <c r="A193">
        <v>2017</v>
      </c>
      <c r="B193">
        <v>12</v>
      </c>
      <c r="C193">
        <v>0</v>
      </c>
      <c r="E193">
        <v>2.8570000000000002E-2</v>
      </c>
      <c r="H193" s="3">
        <f t="shared" si="11"/>
        <v>43070</v>
      </c>
      <c r="I193">
        <f t="shared" si="12"/>
        <v>0</v>
      </c>
      <c r="J193" t="str">
        <f t="shared" si="13"/>
        <v/>
      </c>
      <c r="K193">
        <f t="shared" si="14"/>
        <v>2.8570000000000002E-2</v>
      </c>
      <c r="L193">
        <v>-2.5000000000000022E-3</v>
      </c>
    </row>
    <row r="194" spans="1:12" x14ac:dyDescent="0.35">
      <c r="A194">
        <v>2018</v>
      </c>
      <c r="B194">
        <v>1</v>
      </c>
      <c r="C194">
        <v>0</v>
      </c>
      <c r="E194">
        <v>-0.11806</v>
      </c>
      <c r="H194" s="3">
        <f t="shared" si="11"/>
        <v>43101</v>
      </c>
      <c r="I194">
        <f t="shared" si="12"/>
        <v>0</v>
      </c>
      <c r="J194" t="str">
        <f t="shared" si="13"/>
        <v/>
      </c>
      <c r="K194">
        <f t="shared" si="14"/>
        <v>-0.11806</v>
      </c>
      <c r="L194">
        <v>0</v>
      </c>
    </row>
    <row r="195" spans="1:12" x14ac:dyDescent="0.35">
      <c r="A195">
        <v>2018</v>
      </c>
      <c r="B195">
        <v>2</v>
      </c>
      <c r="C195">
        <v>0</v>
      </c>
      <c r="E195">
        <v>0</v>
      </c>
      <c r="H195" s="3">
        <f t="shared" si="11"/>
        <v>43132</v>
      </c>
      <c r="I195">
        <f t="shared" si="12"/>
        <v>0</v>
      </c>
      <c r="J195" t="str">
        <f t="shared" si="13"/>
        <v/>
      </c>
      <c r="K195">
        <f t="shared" si="14"/>
        <v>0</v>
      </c>
      <c r="L195">
        <v>-2.5000000000000022E-3</v>
      </c>
    </row>
    <row r="196" spans="1:12" x14ac:dyDescent="0.35">
      <c r="A196">
        <v>2018</v>
      </c>
      <c r="B196">
        <v>3</v>
      </c>
      <c r="C196">
        <v>0</v>
      </c>
      <c r="E196">
        <v>9.4829999999999998E-2</v>
      </c>
      <c r="H196" s="3">
        <f t="shared" si="11"/>
        <v>43160</v>
      </c>
      <c r="I196">
        <f t="shared" si="12"/>
        <v>0</v>
      </c>
      <c r="J196" t="str">
        <f t="shared" si="13"/>
        <v/>
      </c>
      <c r="K196">
        <f t="shared" si="14"/>
        <v>9.4829999999999998E-2</v>
      </c>
      <c r="L196">
        <v>0</v>
      </c>
    </row>
    <row r="197" spans="1:12" x14ac:dyDescent="0.35">
      <c r="A197">
        <v>2018</v>
      </c>
      <c r="B197">
        <v>4</v>
      </c>
      <c r="C197">
        <v>0</v>
      </c>
      <c r="E197">
        <v>1.515E-2</v>
      </c>
      <c r="H197" s="3">
        <f t="shared" ref="H197:H260" si="15">DATE(A197,B197,1)</f>
        <v>43191</v>
      </c>
      <c r="I197">
        <f t="shared" si="12"/>
        <v>0</v>
      </c>
      <c r="J197" t="str">
        <f t="shared" si="13"/>
        <v/>
      </c>
      <c r="K197">
        <f t="shared" si="14"/>
        <v>1.515E-2</v>
      </c>
      <c r="L197">
        <v>0</v>
      </c>
    </row>
    <row r="198" spans="1:12" x14ac:dyDescent="0.35">
      <c r="A198">
        <v>2018</v>
      </c>
      <c r="B198">
        <v>5</v>
      </c>
      <c r="C198">
        <v>0</v>
      </c>
      <c r="E198">
        <v>0</v>
      </c>
      <c r="H198" s="3">
        <f t="shared" si="15"/>
        <v>43221</v>
      </c>
      <c r="I198">
        <f t="shared" si="12"/>
        <v>0</v>
      </c>
      <c r="J198" t="str">
        <f t="shared" si="13"/>
        <v/>
      </c>
      <c r="K198">
        <f t="shared" si="14"/>
        <v>0</v>
      </c>
      <c r="L198">
        <v>0</v>
      </c>
    </row>
    <row r="199" spans="1:12" x14ac:dyDescent="0.35">
      <c r="A199">
        <v>2018</v>
      </c>
      <c r="B199">
        <v>6</v>
      </c>
      <c r="C199">
        <v>0</v>
      </c>
      <c r="E199">
        <v>9.6200000000000001E-3</v>
      </c>
      <c r="H199" s="3">
        <f t="shared" si="15"/>
        <v>43252</v>
      </c>
      <c r="I199">
        <f t="shared" si="12"/>
        <v>0</v>
      </c>
      <c r="J199" t="str">
        <f t="shared" si="13"/>
        <v/>
      </c>
      <c r="K199">
        <f t="shared" si="14"/>
        <v>9.6200000000000001E-3</v>
      </c>
      <c r="L199">
        <v>0</v>
      </c>
    </row>
    <row r="200" spans="1:12" x14ac:dyDescent="0.35">
      <c r="A200">
        <v>2018</v>
      </c>
      <c r="B200">
        <v>7</v>
      </c>
      <c r="C200">
        <v>0</v>
      </c>
      <c r="E200">
        <v>0</v>
      </c>
      <c r="H200" s="3">
        <f t="shared" si="15"/>
        <v>43282</v>
      </c>
      <c r="I200">
        <f t="shared" si="12"/>
        <v>0</v>
      </c>
      <c r="J200" t="str">
        <f t="shared" si="13"/>
        <v/>
      </c>
      <c r="K200">
        <f t="shared" si="14"/>
        <v>0</v>
      </c>
      <c r="L200">
        <v>0</v>
      </c>
    </row>
    <row r="201" spans="1:12" x14ac:dyDescent="0.35">
      <c r="A201">
        <v>2018</v>
      </c>
      <c r="B201">
        <v>8</v>
      </c>
      <c r="C201">
        <v>0</v>
      </c>
      <c r="E201">
        <v>0</v>
      </c>
      <c r="H201" s="3">
        <f t="shared" si="15"/>
        <v>43313</v>
      </c>
      <c r="I201">
        <f t="shared" si="12"/>
        <v>0</v>
      </c>
      <c r="J201" t="str">
        <f t="shared" si="13"/>
        <v/>
      </c>
      <c r="K201">
        <f t="shared" si="14"/>
        <v>0</v>
      </c>
      <c r="L201">
        <v>0</v>
      </c>
    </row>
    <row r="202" spans="1:12" x14ac:dyDescent="0.35">
      <c r="A202">
        <v>2018</v>
      </c>
      <c r="B202">
        <v>9</v>
      </c>
      <c r="C202">
        <v>0</v>
      </c>
      <c r="E202">
        <v>0</v>
      </c>
      <c r="H202" s="3">
        <f t="shared" si="15"/>
        <v>43344</v>
      </c>
      <c r="I202">
        <f t="shared" si="12"/>
        <v>0</v>
      </c>
      <c r="J202" t="str">
        <f t="shared" si="13"/>
        <v/>
      </c>
      <c r="K202">
        <f t="shared" si="14"/>
        <v>0</v>
      </c>
      <c r="L202">
        <v>0</v>
      </c>
    </row>
    <row r="203" spans="1:12" x14ac:dyDescent="0.35">
      <c r="A203">
        <v>2018</v>
      </c>
      <c r="B203">
        <v>10</v>
      </c>
      <c r="C203">
        <v>0</v>
      </c>
      <c r="E203">
        <v>0</v>
      </c>
      <c r="H203" s="3">
        <f t="shared" si="15"/>
        <v>43374</v>
      </c>
      <c r="I203">
        <f t="shared" si="12"/>
        <v>0</v>
      </c>
      <c r="J203" t="str">
        <f t="shared" si="13"/>
        <v/>
      </c>
      <c r="K203">
        <f t="shared" si="14"/>
        <v>0</v>
      </c>
      <c r="L203">
        <v>0</v>
      </c>
    </row>
    <row r="204" spans="1:12" x14ac:dyDescent="0.35">
      <c r="A204">
        <v>2018</v>
      </c>
      <c r="B204">
        <v>11</v>
      </c>
      <c r="C204">
        <v>0</v>
      </c>
      <c r="E204">
        <v>0</v>
      </c>
      <c r="H204" s="3">
        <f t="shared" si="15"/>
        <v>43405</v>
      </c>
      <c r="I204">
        <f t="shared" si="12"/>
        <v>0</v>
      </c>
      <c r="J204" t="str">
        <f t="shared" si="13"/>
        <v/>
      </c>
      <c r="K204">
        <f t="shared" si="14"/>
        <v>0</v>
      </c>
      <c r="L204">
        <v>0</v>
      </c>
    </row>
    <row r="205" spans="1:12" x14ac:dyDescent="0.35">
      <c r="A205">
        <v>2018</v>
      </c>
      <c r="B205">
        <v>12</v>
      </c>
      <c r="C205">
        <v>0</v>
      </c>
      <c r="E205">
        <v>0</v>
      </c>
      <c r="H205" s="3">
        <f t="shared" si="15"/>
        <v>43435</v>
      </c>
      <c r="I205">
        <f t="shared" si="12"/>
        <v>0</v>
      </c>
      <c r="J205" t="str">
        <f t="shared" si="13"/>
        <v/>
      </c>
      <c r="K205">
        <f t="shared" si="14"/>
        <v>0</v>
      </c>
      <c r="L205">
        <v>0</v>
      </c>
    </row>
    <row r="206" spans="1:12" x14ac:dyDescent="0.35">
      <c r="A206">
        <v>2019</v>
      </c>
      <c r="B206">
        <v>1</v>
      </c>
      <c r="C206">
        <v>0</v>
      </c>
      <c r="E206">
        <v>0</v>
      </c>
      <c r="H206" s="3">
        <f t="shared" si="15"/>
        <v>43466</v>
      </c>
      <c r="I206">
        <f t="shared" si="12"/>
        <v>0</v>
      </c>
      <c r="J206" t="str">
        <f t="shared" si="13"/>
        <v/>
      </c>
      <c r="K206">
        <f t="shared" si="14"/>
        <v>0</v>
      </c>
      <c r="L206">
        <v>0</v>
      </c>
    </row>
    <row r="207" spans="1:12" x14ac:dyDescent="0.35">
      <c r="A207">
        <v>2019</v>
      </c>
      <c r="B207">
        <v>2</v>
      </c>
      <c r="C207">
        <v>0</v>
      </c>
      <c r="E207">
        <v>0</v>
      </c>
      <c r="H207" s="3">
        <f t="shared" si="15"/>
        <v>43497</v>
      </c>
      <c r="I207">
        <f t="shared" si="12"/>
        <v>0</v>
      </c>
      <c r="J207" t="str">
        <f t="shared" si="13"/>
        <v/>
      </c>
      <c r="K207">
        <f t="shared" si="14"/>
        <v>0</v>
      </c>
      <c r="L207">
        <v>0</v>
      </c>
    </row>
    <row r="208" spans="1:12" x14ac:dyDescent="0.35">
      <c r="A208">
        <v>2019</v>
      </c>
      <c r="B208">
        <v>3</v>
      </c>
      <c r="C208">
        <v>0</v>
      </c>
      <c r="E208">
        <v>0</v>
      </c>
      <c r="H208" s="3">
        <f t="shared" si="15"/>
        <v>43525</v>
      </c>
      <c r="I208">
        <f t="shared" si="12"/>
        <v>0</v>
      </c>
      <c r="J208" t="str">
        <f t="shared" si="13"/>
        <v/>
      </c>
      <c r="K208">
        <f t="shared" si="14"/>
        <v>0</v>
      </c>
      <c r="L208">
        <v>0</v>
      </c>
    </row>
    <row r="209" spans="1:12" x14ac:dyDescent="0.35">
      <c r="A209">
        <v>2019</v>
      </c>
      <c r="B209">
        <v>4</v>
      </c>
      <c r="C209">
        <v>0</v>
      </c>
      <c r="E209">
        <v>0</v>
      </c>
      <c r="H209" s="3">
        <f t="shared" si="15"/>
        <v>43556</v>
      </c>
      <c r="I209">
        <f t="shared" si="12"/>
        <v>0</v>
      </c>
      <c r="J209" t="str">
        <f t="shared" si="13"/>
        <v/>
      </c>
      <c r="K209">
        <f t="shared" si="14"/>
        <v>0</v>
      </c>
      <c r="L209">
        <v>0</v>
      </c>
    </row>
    <row r="210" spans="1:12" x14ac:dyDescent="0.35">
      <c r="A210">
        <v>2019</v>
      </c>
      <c r="B210">
        <v>5</v>
      </c>
      <c r="C210">
        <v>0</v>
      </c>
      <c r="E210">
        <v>0</v>
      </c>
      <c r="H210" s="3">
        <f t="shared" si="15"/>
        <v>43586</v>
      </c>
      <c r="I210">
        <f t="shared" si="12"/>
        <v>0</v>
      </c>
      <c r="J210" t="str">
        <f t="shared" si="13"/>
        <v/>
      </c>
      <c r="K210">
        <f t="shared" si="14"/>
        <v>0</v>
      </c>
      <c r="L210">
        <v>0</v>
      </c>
    </row>
    <row r="211" spans="1:12" x14ac:dyDescent="0.35">
      <c r="A211">
        <v>2019</v>
      </c>
      <c r="B211">
        <v>6</v>
      </c>
      <c r="C211">
        <v>0</v>
      </c>
      <c r="E211">
        <v>0</v>
      </c>
      <c r="H211" s="3">
        <f t="shared" si="15"/>
        <v>43617</v>
      </c>
      <c r="I211">
        <f t="shared" si="12"/>
        <v>0</v>
      </c>
      <c r="J211" t="str">
        <f t="shared" si="13"/>
        <v/>
      </c>
      <c r="K211">
        <f t="shared" si="14"/>
        <v>0</v>
      </c>
      <c r="L211">
        <v>0</v>
      </c>
    </row>
    <row r="212" spans="1:12" x14ac:dyDescent="0.35">
      <c r="A212">
        <v>2019</v>
      </c>
      <c r="B212">
        <v>7</v>
      </c>
      <c r="C212">
        <v>0</v>
      </c>
      <c r="E212">
        <v>0</v>
      </c>
      <c r="H212" s="3">
        <f t="shared" si="15"/>
        <v>43647</v>
      </c>
      <c r="I212">
        <f t="shared" si="12"/>
        <v>0</v>
      </c>
      <c r="J212" t="str">
        <f t="shared" si="13"/>
        <v/>
      </c>
      <c r="K212">
        <f t="shared" si="14"/>
        <v>0</v>
      </c>
      <c r="L212">
        <v>0</v>
      </c>
    </row>
    <row r="213" spans="1:12" x14ac:dyDescent="0.35">
      <c r="A213">
        <v>2019</v>
      </c>
      <c r="B213">
        <v>8</v>
      </c>
      <c r="C213">
        <v>0</v>
      </c>
      <c r="E213">
        <v>0</v>
      </c>
      <c r="H213" s="3">
        <f t="shared" si="15"/>
        <v>43678</v>
      </c>
      <c r="I213">
        <f t="shared" si="12"/>
        <v>0</v>
      </c>
      <c r="J213" t="str">
        <f t="shared" si="13"/>
        <v/>
      </c>
      <c r="K213">
        <f t="shared" si="14"/>
        <v>0</v>
      </c>
      <c r="L213">
        <v>0</v>
      </c>
    </row>
    <row r="214" spans="1:12" x14ac:dyDescent="0.35">
      <c r="A214">
        <v>2019</v>
      </c>
      <c r="B214">
        <v>9</v>
      </c>
      <c r="C214">
        <v>0</v>
      </c>
      <c r="E214">
        <v>0</v>
      </c>
      <c r="H214" s="3">
        <f t="shared" si="15"/>
        <v>43709</v>
      </c>
      <c r="I214">
        <f t="shared" si="12"/>
        <v>0</v>
      </c>
      <c r="J214" t="str">
        <f t="shared" si="13"/>
        <v/>
      </c>
      <c r="K214">
        <f t="shared" si="14"/>
        <v>0</v>
      </c>
      <c r="L214">
        <v>0</v>
      </c>
    </row>
    <row r="215" spans="1:12" x14ac:dyDescent="0.35">
      <c r="A215">
        <v>2019</v>
      </c>
      <c r="B215">
        <v>10</v>
      </c>
      <c r="C215">
        <v>0</v>
      </c>
      <c r="E215">
        <v>0</v>
      </c>
      <c r="H215" s="3">
        <f t="shared" si="15"/>
        <v>43739</v>
      </c>
      <c r="I215">
        <f t="shared" si="12"/>
        <v>0</v>
      </c>
      <c r="J215" t="str">
        <f t="shared" si="13"/>
        <v/>
      </c>
      <c r="K215">
        <f t="shared" si="14"/>
        <v>0</v>
      </c>
      <c r="L215">
        <v>0</v>
      </c>
    </row>
    <row r="216" spans="1:12" x14ac:dyDescent="0.35">
      <c r="A216">
        <v>2019</v>
      </c>
      <c r="B216">
        <v>11</v>
      </c>
      <c r="C216">
        <v>0</v>
      </c>
      <c r="E216">
        <v>0</v>
      </c>
      <c r="H216" s="3">
        <f t="shared" si="15"/>
        <v>43770</v>
      </c>
      <c r="I216">
        <f t="shared" si="12"/>
        <v>0</v>
      </c>
      <c r="J216" t="str">
        <f t="shared" si="13"/>
        <v/>
      </c>
      <c r="K216">
        <f t="shared" si="14"/>
        <v>0</v>
      </c>
      <c r="L216">
        <v>0</v>
      </c>
    </row>
    <row r="217" spans="1:12" x14ac:dyDescent="0.35">
      <c r="A217">
        <v>2019</v>
      </c>
      <c r="B217">
        <v>12</v>
      </c>
      <c r="C217">
        <v>0</v>
      </c>
      <c r="E217">
        <v>0</v>
      </c>
      <c r="H217" s="3">
        <f t="shared" si="15"/>
        <v>43800</v>
      </c>
      <c r="I217">
        <f t="shared" si="12"/>
        <v>0</v>
      </c>
      <c r="J217" t="str">
        <f t="shared" si="13"/>
        <v/>
      </c>
      <c r="K217">
        <f t="shared" si="14"/>
        <v>0</v>
      </c>
      <c r="L217">
        <v>0</v>
      </c>
    </row>
    <row r="218" spans="1:12" x14ac:dyDescent="0.35">
      <c r="A218">
        <v>2020</v>
      </c>
      <c r="B218">
        <v>1</v>
      </c>
      <c r="C218">
        <v>0</v>
      </c>
      <c r="E218">
        <v>-9.6200000000000001E-3</v>
      </c>
      <c r="H218" s="3">
        <f t="shared" si="15"/>
        <v>43831</v>
      </c>
      <c r="I218">
        <f t="shared" si="12"/>
        <v>0</v>
      </c>
      <c r="J218" t="str">
        <f t="shared" si="13"/>
        <v/>
      </c>
      <c r="K218">
        <f t="shared" si="14"/>
        <v>-9.6200000000000001E-3</v>
      </c>
    </row>
    <row r="219" spans="1:12" x14ac:dyDescent="0.35">
      <c r="A219">
        <v>2020</v>
      </c>
      <c r="B219">
        <v>2</v>
      </c>
      <c r="C219">
        <v>0</v>
      </c>
      <c r="E219">
        <v>0</v>
      </c>
      <c r="H219" s="3">
        <f t="shared" si="15"/>
        <v>43862</v>
      </c>
      <c r="I219">
        <f t="shared" si="12"/>
        <v>0</v>
      </c>
      <c r="J219" t="str">
        <f t="shared" si="13"/>
        <v/>
      </c>
      <c r="K219">
        <f t="shared" si="14"/>
        <v>0</v>
      </c>
    </row>
    <row r="220" spans="1:12" x14ac:dyDescent="0.35">
      <c r="A220">
        <v>2020</v>
      </c>
      <c r="B220">
        <v>3</v>
      </c>
      <c r="C220">
        <v>0</v>
      </c>
      <c r="E220">
        <v>-0.15217</v>
      </c>
      <c r="H220" s="3">
        <f t="shared" si="15"/>
        <v>43891</v>
      </c>
      <c r="I220">
        <f t="shared" si="12"/>
        <v>0</v>
      </c>
      <c r="J220" t="str">
        <f t="shared" si="13"/>
        <v/>
      </c>
      <c r="K220">
        <f t="shared" si="14"/>
        <v>-0.15217</v>
      </c>
    </row>
    <row r="221" spans="1:12" x14ac:dyDescent="0.35">
      <c r="A221">
        <v>2020</v>
      </c>
      <c r="B221">
        <v>4</v>
      </c>
      <c r="C221">
        <v>0</v>
      </c>
      <c r="E221">
        <v>2.8850000000000001E-2</v>
      </c>
      <c r="H221" s="3">
        <f t="shared" si="15"/>
        <v>43922</v>
      </c>
      <c r="I221">
        <f t="shared" si="12"/>
        <v>0</v>
      </c>
      <c r="J221" t="str">
        <f t="shared" si="13"/>
        <v/>
      </c>
      <c r="K221">
        <f t="shared" si="14"/>
        <v>2.8850000000000001E-2</v>
      </c>
    </row>
    <row r="222" spans="1:12" x14ac:dyDescent="0.35">
      <c r="A222">
        <v>2020</v>
      </c>
      <c r="B222">
        <v>5</v>
      </c>
      <c r="C222">
        <v>0</v>
      </c>
      <c r="E222">
        <v>-1.042E-2</v>
      </c>
      <c r="H222" s="3">
        <f t="shared" si="15"/>
        <v>43952</v>
      </c>
      <c r="I222">
        <f t="shared" si="12"/>
        <v>0</v>
      </c>
      <c r="J222" t="str">
        <f t="shared" si="13"/>
        <v/>
      </c>
      <c r="K222">
        <f t="shared" si="14"/>
        <v>-1.042E-2</v>
      </c>
    </row>
    <row r="223" spans="1:12" x14ac:dyDescent="0.35">
      <c r="A223">
        <v>2020</v>
      </c>
      <c r="B223">
        <v>6</v>
      </c>
      <c r="C223">
        <v>0.25</v>
      </c>
      <c r="E223">
        <v>0.16303999999999999</v>
      </c>
      <c r="H223" s="3">
        <f t="shared" si="15"/>
        <v>43983</v>
      </c>
      <c r="I223">
        <f t="shared" si="12"/>
        <v>0.25</v>
      </c>
      <c r="J223" t="str">
        <f t="shared" si="13"/>
        <v/>
      </c>
      <c r="K223">
        <f t="shared" si="14"/>
        <v>0.16303999999999999</v>
      </c>
    </row>
    <row r="224" spans="1:12" x14ac:dyDescent="0.35">
      <c r="A224">
        <v>2020</v>
      </c>
      <c r="B224">
        <v>7</v>
      </c>
      <c r="C224">
        <v>0</v>
      </c>
      <c r="E224">
        <v>-9.2599999999999991E-3</v>
      </c>
      <c r="H224" s="3">
        <f t="shared" si="15"/>
        <v>44013</v>
      </c>
      <c r="I224">
        <f t="shared" si="12"/>
        <v>0</v>
      </c>
      <c r="J224" t="str">
        <f t="shared" si="13"/>
        <v/>
      </c>
      <c r="K224">
        <f t="shared" si="14"/>
        <v>-9.2599999999999991E-3</v>
      </c>
    </row>
    <row r="225" spans="1:11" x14ac:dyDescent="0.35">
      <c r="A225">
        <v>2020</v>
      </c>
      <c r="B225">
        <v>8</v>
      </c>
      <c r="C225">
        <v>0</v>
      </c>
      <c r="E225">
        <v>0</v>
      </c>
      <c r="H225" s="3">
        <f t="shared" si="15"/>
        <v>44044</v>
      </c>
      <c r="I225">
        <f t="shared" si="12"/>
        <v>0</v>
      </c>
      <c r="J225" t="str">
        <f t="shared" si="13"/>
        <v/>
      </c>
      <c r="K225">
        <f t="shared" si="14"/>
        <v>0</v>
      </c>
    </row>
    <row r="226" spans="1:11" x14ac:dyDescent="0.35">
      <c r="A226">
        <v>2020</v>
      </c>
      <c r="B226">
        <v>9</v>
      </c>
      <c r="C226">
        <v>0</v>
      </c>
      <c r="E226">
        <v>-0.10227</v>
      </c>
      <c r="H226" s="3">
        <f t="shared" si="15"/>
        <v>44075</v>
      </c>
      <c r="I226">
        <f t="shared" si="12"/>
        <v>0</v>
      </c>
      <c r="J226" t="str">
        <f t="shared" si="13"/>
        <v/>
      </c>
      <c r="K226">
        <f t="shared" si="14"/>
        <v>-0.10227</v>
      </c>
    </row>
    <row r="227" spans="1:11" x14ac:dyDescent="0.35">
      <c r="A227">
        <v>2020</v>
      </c>
      <c r="B227">
        <v>10</v>
      </c>
      <c r="C227">
        <v>0</v>
      </c>
      <c r="E227">
        <v>3.261E-2</v>
      </c>
      <c r="H227" s="3">
        <f t="shared" si="15"/>
        <v>44105</v>
      </c>
      <c r="I227">
        <f t="shared" si="12"/>
        <v>0</v>
      </c>
      <c r="J227" t="str">
        <f t="shared" si="13"/>
        <v/>
      </c>
      <c r="K227">
        <f t="shared" si="14"/>
        <v>3.261E-2</v>
      </c>
    </row>
    <row r="228" spans="1:11" x14ac:dyDescent="0.35">
      <c r="A228">
        <v>2020</v>
      </c>
      <c r="B228">
        <v>11</v>
      </c>
      <c r="C228">
        <v>0</v>
      </c>
      <c r="E228">
        <v>0</v>
      </c>
      <c r="H228" s="3">
        <f t="shared" si="15"/>
        <v>44136</v>
      </c>
      <c r="I228">
        <f t="shared" si="12"/>
        <v>0</v>
      </c>
      <c r="J228" t="str">
        <f t="shared" si="13"/>
        <v/>
      </c>
      <c r="K228">
        <f t="shared" si="14"/>
        <v>0</v>
      </c>
    </row>
    <row r="229" spans="1:11" x14ac:dyDescent="0.35">
      <c r="A229">
        <v>2020</v>
      </c>
      <c r="B229">
        <v>12</v>
      </c>
      <c r="C229">
        <v>0</v>
      </c>
      <c r="E229">
        <v>0</v>
      </c>
      <c r="H229" s="3">
        <f t="shared" si="15"/>
        <v>44166</v>
      </c>
      <c r="I229">
        <f t="shared" si="12"/>
        <v>0</v>
      </c>
      <c r="J229" t="str">
        <f t="shared" si="13"/>
        <v/>
      </c>
      <c r="K229">
        <f t="shared" si="14"/>
        <v>0</v>
      </c>
    </row>
    <row r="230" spans="1:11" x14ac:dyDescent="0.35">
      <c r="A230">
        <v>2021</v>
      </c>
      <c r="B230">
        <v>1</v>
      </c>
      <c r="C230">
        <v>0</v>
      </c>
      <c r="E230">
        <v>0</v>
      </c>
      <c r="H230" s="3">
        <f t="shared" si="15"/>
        <v>44197</v>
      </c>
      <c r="I230">
        <f t="shared" si="12"/>
        <v>0</v>
      </c>
      <c r="J230" t="str">
        <f t="shared" si="13"/>
        <v/>
      </c>
      <c r="K230">
        <f t="shared" si="14"/>
        <v>0</v>
      </c>
    </row>
    <row r="231" spans="1:11" x14ac:dyDescent="0.35">
      <c r="A231">
        <v>2021</v>
      </c>
      <c r="B231">
        <v>2</v>
      </c>
      <c r="C231">
        <v>0</v>
      </c>
      <c r="E231">
        <v>0</v>
      </c>
      <c r="H231" s="3">
        <f t="shared" si="15"/>
        <v>44228</v>
      </c>
      <c r="I231">
        <f t="shared" si="12"/>
        <v>0</v>
      </c>
      <c r="J231" t="str">
        <f t="shared" si="13"/>
        <v/>
      </c>
      <c r="K231">
        <f t="shared" si="14"/>
        <v>0</v>
      </c>
    </row>
    <row r="232" spans="1:11" x14ac:dyDescent="0.35">
      <c r="A232">
        <v>2021</v>
      </c>
      <c r="B232">
        <v>3</v>
      </c>
      <c r="C232">
        <v>0</v>
      </c>
      <c r="E232">
        <v>0</v>
      </c>
      <c r="H232" s="3">
        <f t="shared" si="15"/>
        <v>44256</v>
      </c>
      <c r="I232">
        <f t="shared" si="12"/>
        <v>0</v>
      </c>
      <c r="J232" t="str">
        <f t="shared" si="13"/>
        <v/>
      </c>
      <c r="K232">
        <f t="shared" si="14"/>
        <v>0</v>
      </c>
    </row>
    <row r="233" spans="1:11" x14ac:dyDescent="0.35">
      <c r="A233">
        <v>2021</v>
      </c>
      <c r="B233">
        <v>4</v>
      </c>
      <c r="C233">
        <v>0</v>
      </c>
      <c r="E233">
        <v>0</v>
      </c>
      <c r="H233" s="3">
        <f t="shared" si="15"/>
        <v>44287</v>
      </c>
      <c r="I233">
        <f t="shared" si="12"/>
        <v>0</v>
      </c>
      <c r="J233" t="str">
        <f t="shared" si="13"/>
        <v/>
      </c>
      <c r="K233">
        <f t="shared" si="14"/>
        <v>0</v>
      </c>
    </row>
    <row r="234" spans="1:11" x14ac:dyDescent="0.35">
      <c r="A234">
        <v>2021</v>
      </c>
      <c r="B234">
        <v>5</v>
      </c>
      <c r="C234">
        <v>0</v>
      </c>
      <c r="E234">
        <v>0</v>
      </c>
      <c r="H234" s="3">
        <f t="shared" si="15"/>
        <v>44317</v>
      </c>
      <c r="I234">
        <f t="shared" si="12"/>
        <v>0</v>
      </c>
      <c r="J234" t="str">
        <f t="shared" si="13"/>
        <v/>
      </c>
      <c r="K234">
        <f t="shared" si="14"/>
        <v>0</v>
      </c>
    </row>
    <row r="235" spans="1:11" x14ac:dyDescent="0.35">
      <c r="A235">
        <v>2021</v>
      </c>
      <c r="B235">
        <v>6</v>
      </c>
      <c r="C235">
        <v>0</v>
      </c>
      <c r="E235">
        <v>0</v>
      </c>
      <c r="H235" s="3">
        <f t="shared" si="15"/>
        <v>44348</v>
      </c>
      <c r="I235">
        <f t="shared" si="12"/>
        <v>0</v>
      </c>
      <c r="J235" t="str">
        <f t="shared" si="13"/>
        <v/>
      </c>
      <c r="K235">
        <f t="shared" si="14"/>
        <v>0</v>
      </c>
    </row>
    <row r="236" spans="1:11" x14ac:dyDescent="0.35">
      <c r="A236">
        <v>2021</v>
      </c>
      <c r="B236">
        <v>7</v>
      </c>
      <c r="C236">
        <v>0</v>
      </c>
      <c r="E236">
        <v>0</v>
      </c>
      <c r="H236" s="3">
        <f t="shared" si="15"/>
        <v>44378</v>
      </c>
      <c r="I236">
        <f t="shared" ref="I236:I299" si="16">IF(C236="","",C236)</f>
        <v>0</v>
      </c>
      <c r="J236" t="str">
        <f t="shared" ref="J236:J299" si="17">IF(D236="","",D236)</f>
        <v/>
      </c>
      <c r="K236">
        <f t="shared" ref="K236:K299" si="18">IF(E236="","",E236)</f>
        <v>0</v>
      </c>
    </row>
    <row r="237" spans="1:11" x14ac:dyDescent="0.35">
      <c r="A237">
        <v>2021</v>
      </c>
      <c r="B237">
        <v>8</v>
      </c>
      <c r="C237">
        <v>0</v>
      </c>
      <c r="E237">
        <v>0</v>
      </c>
      <c r="H237" s="3">
        <f t="shared" si="15"/>
        <v>44409</v>
      </c>
      <c r="I237">
        <f t="shared" si="16"/>
        <v>0</v>
      </c>
      <c r="J237" t="str">
        <f t="shared" si="17"/>
        <v/>
      </c>
      <c r="K237">
        <f t="shared" si="18"/>
        <v>0</v>
      </c>
    </row>
    <row r="238" spans="1:11" x14ac:dyDescent="0.35">
      <c r="A238">
        <v>2021</v>
      </c>
      <c r="B238">
        <v>9</v>
      </c>
      <c r="C238">
        <v>0</v>
      </c>
      <c r="E238">
        <v>-1.136E-2</v>
      </c>
      <c r="H238" s="3">
        <f t="shared" si="15"/>
        <v>44440</v>
      </c>
      <c r="I238">
        <f t="shared" si="16"/>
        <v>0</v>
      </c>
      <c r="J238" t="str">
        <f t="shared" si="17"/>
        <v/>
      </c>
      <c r="K238">
        <f t="shared" si="18"/>
        <v>-1.136E-2</v>
      </c>
    </row>
    <row r="239" spans="1:11" x14ac:dyDescent="0.35">
      <c r="A239">
        <v>2021</v>
      </c>
      <c r="B239">
        <v>10</v>
      </c>
      <c r="C239">
        <v>0.25</v>
      </c>
      <c r="E239">
        <v>0.15625</v>
      </c>
      <c r="H239" s="3">
        <f t="shared" si="15"/>
        <v>44470</v>
      </c>
      <c r="I239">
        <f t="shared" si="16"/>
        <v>0.25</v>
      </c>
      <c r="J239" t="str">
        <f t="shared" si="17"/>
        <v/>
      </c>
      <c r="K239">
        <f t="shared" si="18"/>
        <v>0.15625</v>
      </c>
    </row>
    <row r="240" spans="1:11" x14ac:dyDescent="0.35">
      <c r="A240">
        <v>2021</v>
      </c>
      <c r="B240">
        <v>11</v>
      </c>
      <c r="C240">
        <v>0</v>
      </c>
      <c r="E240">
        <v>0</v>
      </c>
      <c r="H240" s="3">
        <f t="shared" si="15"/>
        <v>44501</v>
      </c>
      <c r="I240">
        <f t="shared" si="16"/>
        <v>0</v>
      </c>
      <c r="J240" t="str">
        <f t="shared" si="17"/>
        <v/>
      </c>
      <c r="K240">
        <f t="shared" si="18"/>
        <v>0</v>
      </c>
    </row>
    <row r="241" spans="1:11" x14ac:dyDescent="0.35">
      <c r="A241">
        <v>2021</v>
      </c>
      <c r="B241">
        <v>12</v>
      </c>
      <c r="C241">
        <v>0</v>
      </c>
      <c r="E241">
        <v>-3.7039999999999997E-2</v>
      </c>
      <c r="H241" s="3">
        <f t="shared" si="15"/>
        <v>44531</v>
      </c>
      <c r="I241">
        <f t="shared" si="16"/>
        <v>0</v>
      </c>
      <c r="J241" t="str">
        <f t="shared" si="17"/>
        <v/>
      </c>
      <c r="K241">
        <f t="shared" si="18"/>
        <v>-3.7039999999999997E-2</v>
      </c>
    </row>
    <row r="242" spans="1:11" x14ac:dyDescent="0.35">
      <c r="A242">
        <v>2022</v>
      </c>
      <c r="B242">
        <v>1</v>
      </c>
      <c r="C242">
        <v>0.25</v>
      </c>
      <c r="E242">
        <v>0.27</v>
      </c>
      <c r="H242" s="3">
        <f t="shared" si="15"/>
        <v>44562</v>
      </c>
      <c r="I242">
        <f t="shared" si="16"/>
        <v>0.25</v>
      </c>
      <c r="J242" t="str">
        <f t="shared" si="17"/>
        <v/>
      </c>
      <c r="K242">
        <f t="shared" si="18"/>
        <v>0.27</v>
      </c>
    </row>
    <row r="243" spans="1:11" x14ac:dyDescent="0.35">
      <c r="A243">
        <v>2022</v>
      </c>
      <c r="B243">
        <v>2</v>
      </c>
      <c r="C243">
        <v>0</v>
      </c>
      <c r="E243">
        <v>0</v>
      </c>
      <c r="H243" s="3">
        <f t="shared" si="15"/>
        <v>44593</v>
      </c>
      <c r="I243">
        <f t="shared" si="16"/>
        <v>0</v>
      </c>
      <c r="J243" t="str">
        <f t="shared" si="17"/>
        <v/>
      </c>
      <c r="K243">
        <f t="shared" si="18"/>
        <v>0</v>
      </c>
    </row>
    <row r="244" spans="1:11" x14ac:dyDescent="0.35">
      <c r="A244">
        <v>2022</v>
      </c>
      <c r="B244">
        <v>3</v>
      </c>
      <c r="C244">
        <v>-0.5</v>
      </c>
      <c r="E244">
        <v>-0.45833000000000002</v>
      </c>
      <c r="H244" s="3">
        <f t="shared" si="15"/>
        <v>44621</v>
      </c>
      <c r="I244">
        <f t="shared" si="16"/>
        <v>-0.5</v>
      </c>
      <c r="J244" t="str">
        <f t="shared" si="17"/>
        <v/>
      </c>
      <c r="K244">
        <f t="shared" si="18"/>
        <v>-0.45833000000000002</v>
      </c>
    </row>
    <row r="245" spans="1:11" x14ac:dyDescent="0.35">
      <c r="A245">
        <v>2022</v>
      </c>
      <c r="B245">
        <v>4</v>
      </c>
      <c r="C245">
        <v>0</v>
      </c>
      <c r="E245">
        <v>-0.04</v>
      </c>
      <c r="H245" s="3">
        <f t="shared" si="15"/>
        <v>44652</v>
      </c>
      <c r="I245">
        <f t="shared" si="16"/>
        <v>0</v>
      </c>
      <c r="J245" t="str">
        <f t="shared" si="17"/>
        <v/>
      </c>
      <c r="K245">
        <f t="shared" si="18"/>
        <v>-0.04</v>
      </c>
    </row>
    <row r="246" spans="1:11" x14ac:dyDescent="0.35">
      <c r="A246">
        <v>2022</v>
      </c>
      <c r="B246">
        <v>5</v>
      </c>
      <c r="C246">
        <v>0</v>
      </c>
      <c r="E246">
        <v>0</v>
      </c>
      <c r="H246" s="3">
        <f t="shared" si="15"/>
        <v>44682</v>
      </c>
      <c r="I246">
        <f t="shared" si="16"/>
        <v>0</v>
      </c>
      <c r="J246" t="str">
        <f t="shared" si="17"/>
        <v/>
      </c>
      <c r="K246">
        <f t="shared" si="18"/>
        <v>0</v>
      </c>
    </row>
    <row r="247" spans="1:11" x14ac:dyDescent="0.35">
      <c r="A247">
        <v>2022</v>
      </c>
      <c r="B247">
        <v>6</v>
      </c>
      <c r="C247">
        <v>0</v>
      </c>
      <c r="E247">
        <v>0.17707999999999999</v>
      </c>
      <c r="H247" s="3">
        <f t="shared" si="15"/>
        <v>44713</v>
      </c>
      <c r="I247">
        <f t="shared" si="16"/>
        <v>0</v>
      </c>
      <c r="J247" t="str">
        <f t="shared" si="17"/>
        <v/>
      </c>
      <c r="K247">
        <f t="shared" si="18"/>
        <v>0.17707999999999999</v>
      </c>
    </row>
    <row r="248" spans="1:11" x14ac:dyDescent="0.35">
      <c r="A248">
        <v>2022</v>
      </c>
      <c r="B248">
        <v>7</v>
      </c>
      <c r="C248">
        <v>0</v>
      </c>
      <c r="E248">
        <v>2.6790000000000001E-2</v>
      </c>
      <c r="H248" s="3">
        <f t="shared" si="15"/>
        <v>44743</v>
      </c>
      <c r="I248">
        <f t="shared" si="16"/>
        <v>0</v>
      </c>
      <c r="J248" t="str">
        <f t="shared" si="17"/>
        <v/>
      </c>
      <c r="K248">
        <f t="shared" si="18"/>
        <v>2.6790000000000001E-2</v>
      </c>
    </row>
    <row r="249" spans="1:11" x14ac:dyDescent="0.35">
      <c r="A249">
        <v>2022</v>
      </c>
      <c r="B249">
        <v>8</v>
      </c>
      <c r="C249">
        <v>0</v>
      </c>
      <c r="E249">
        <v>0</v>
      </c>
      <c r="H249" s="3">
        <f t="shared" si="15"/>
        <v>44774</v>
      </c>
      <c r="I249">
        <f t="shared" si="16"/>
        <v>0</v>
      </c>
      <c r="J249" t="str">
        <f t="shared" si="17"/>
        <v/>
      </c>
      <c r="K249">
        <f t="shared" si="18"/>
        <v>0</v>
      </c>
    </row>
    <row r="250" spans="1:11" x14ac:dyDescent="0.35">
      <c r="A250">
        <v>2022</v>
      </c>
      <c r="B250">
        <v>9</v>
      </c>
      <c r="C250">
        <v>-0.5</v>
      </c>
      <c r="E250">
        <v>-0.31900000000000001</v>
      </c>
      <c r="H250" s="3">
        <f t="shared" si="15"/>
        <v>44805</v>
      </c>
      <c r="I250">
        <f t="shared" si="16"/>
        <v>-0.5</v>
      </c>
      <c r="J250" t="str">
        <f t="shared" si="17"/>
        <v/>
      </c>
      <c r="K250">
        <f t="shared" si="18"/>
        <v>-0.31900000000000001</v>
      </c>
    </row>
    <row r="251" spans="1:11" x14ac:dyDescent="0.35">
      <c r="A251">
        <v>2022</v>
      </c>
      <c r="B251">
        <v>10</v>
      </c>
      <c r="C251">
        <v>0</v>
      </c>
      <c r="E251">
        <v>-2.6800000000000001E-2</v>
      </c>
      <c r="H251" s="3">
        <f t="shared" si="15"/>
        <v>44835</v>
      </c>
      <c r="I251">
        <f t="shared" si="16"/>
        <v>0</v>
      </c>
      <c r="J251" t="str">
        <f t="shared" si="17"/>
        <v/>
      </c>
      <c r="K251">
        <f t="shared" si="18"/>
        <v>-2.6800000000000001E-2</v>
      </c>
    </row>
    <row r="252" spans="1:11" x14ac:dyDescent="0.35">
      <c r="A252">
        <v>2022</v>
      </c>
      <c r="B252">
        <v>11</v>
      </c>
      <c r="C252">
        <v>0</v>
      </c>
      <c r="E252">
        <v>0</v>
      </c>
      <c r="H252" s="3">
        <f t="shared" si="15"/>
        <v>44866</v>
      </c>
      <c r="I252">
        <f t="shared" si="16"/>
        <v>0</v>
      </c>
      <c r="J252" t="str">
        <f t="shared" si="17"/>
        <v/>
      </c>
      <c r="K252">
        <f t="shared" si="18"/>
        <v>0</v>
      </c>
    </row>
    <row r="253" spans="1:11" x14ac:dyDescent="0.35">
      <c r="A253">
        <v>2022</v>
      </c>
      <c r="B253">
        <v>12</v>
      </c>
      <c r="C253">
        <v>0</v>
      </c>
      <c r="E253">
        <v>4.5499999999999999E-2</v>
      </c>
      <c r="H253" s="3">
        <f t="shared" si="15"/>
        <v>44896</v>
      </c>
      <c r="I253">
        <f t="shared" si="16"/>
        <v>0</v>
      </c>
      <c r="J253" t="str">
        <f t="shared" si="17"/>
        <v/>
      </c>
      <c r="K253">
        <f t="shared" si="18"/>
        <v>4.5499999999999999E-2</v>
      </c>
    </row>
    <row r="254" spans="1:11" x14ac:dyDescent="0.35">
      <c r="A254">
        <v>2023</v>
      </c>
      <c r="B254">
        <v>1</v>
      </c>
      <c r="C254">
        <v>-0.25</v>
      </c>
      <c r="E254">
        <v>-0.11609999999999999</v>
      </c>
      <c r="H254" s="3">
        <f t="shared" si="15"/>
        <v>44927</v>
      </c>
      <c r="I254">
        <f t="shared" si="16"/>
        <v>-0.25</v>
      </c>
      <c r="J254" t="str">
        <f t="shared" si="17"/>
        <v/>
      </c>
      <c r="K254">
        <f t="shared" si="18"/>
        <v>-0.11609999999999999</v>
      </c>
    </row>
    <row r="255" spans="1:11" x14ac:dyDescent="0.35">
      <c r="A255">
        <v>2023</v>
      </c>
      <c r="B255">
        <v>2</v>
      </c>
      <c r="C255">
        <v>0</v>
      </c>
      <c r="E255">
        <v>0</v>
      </c>
      <c r="H255" s="3">
        <f t="shared" si="15"/>
        <v>44958</v>
      </c>
      <c r="I255">
        <f t="shared" si="16"/>
        <v>0</v>
      </c>
      <c r="J255" t="str">
        <f t="shared" si="17"/>
        <v/>
      </c>
      <c r="K255">
        <f t="shared" si="18"/>
        <v>0</v>
      </c>
    </row>
    <row r="256" spans="1:11" x14ac:dyDescent="0.35">
      <c r="A256">
        <v>2023</v>
      </c>
      <c r="B256">
        <v>3</v>
      </c>
      <c r="C256">
        <v>0</v>
      </c>
      <c r="E256">
        <v>-6.9000000000000006E-2</v>
      </c>
      <c r="H256" s="3">
        <f t="shared" si="15"/>
        <v>44986</v>
      </c>
      <c r="I256">
        <f t="shared" si="16"/>
        <v>0</v>
      </c>
      <c r="J256" t="str">
        <f t="shared" si="17"/>
        <v/>
      </c>
      <c r="K256">
        <f t="shared" si="18"/>
        <v>-6.9000000000000006E-2</v>
      </c>
    </row>
    <row r="257" spans="1:11" x14ac:dyDescent="0.35">
      <c r="A257">
        <v>2023</v>
      </c>
      <c r="B257">
        <v>4</v>
      </c>
      <c r="C257">
        <v>0</v>
      </c>
      <c r="E257">
        <v>0.12039999999999999</v>
      </c>
      <c r="H257" s="3">
        <f t="shared" si="15"/>
        <v>45017</v>
      </c>
      <c r="I257">
        <f t="shared" si="16"/>
        <v>0</v>
      </c>
      <c r="J257" t="str">
        <f t="shared" si="17"/>
        <v/>
      </c>
      <c r="K257">
        <f t="shared" si="18"/>
        <v>0.12039999999999999</v>
      </c>
    </row>
    <row r="258" spans="1:11" x14ac:dyDescent="0.35">
      <c r="A258">
        <v>2023</v>
      </c>
      <c r="B258">
        <v>5</v>
      </c>
      <c r="C258">
        <v>0</v>
      </c>
      <c r="E258">
        <v>0</v>
      </c>
      <c r="H258" s="3">
        <f t="shared" si="15"/>
        <v>45047</v>
      </c>
      <c r="I258">
        <f t="shared" si="16"/>
        <v>0</v>
      </c>
      <c r="J258" t="str">
        <f t="shared" si="17"/>
        <v/>
      </c>
      <c r="K258">
        <f t="shared" si="18"/>
        <v>0</v>
      </c>
    </row>
    <row r="259" spans="1:11" x14ac:dyDescent="0.35">
      <c r="A259">
        <v>2023</v>
      </c>
      <c r="B259">
        <v>6</v>
      </c>
      <c r="C259">
        <v>0</v>
      </c>
      <c r="E259">
        <v>0</v>
      </c>
      <c r="H259" s="3">
        <f t="shared" si="15"/>
        <v>45078</v>
      </c>
      <c r="I259">
        <f t="shared" si="16"/>
        <v>0</v>
      </c>
      <c r="J259" t="str">
        <f t="shared" si="17"/>
        <v/>
      </c>
      <c r="K259">
        <f t="shared" si="18"/>
        <v>0</v>
      </c>
    </row>
    <row r="260" spans="1:11" x14ac:dyDescent="0.35">
      <c r="A260">
        <v>2023</v>
      </c>
      <c r="B260">
        <v>7</v>
      </c>
      <c r="C260">
        <v>0</v>
      </c>
      <c r="E260">
        <v>0</v>
      </c>
      <c r="H260" s="3">
        <f t="shared" si="15"/>
        <v>45108</v>
      </c>
      <c r="I260">
        <f t="shared" si="16"/>
        <v>0</v>
      </c>
      <c r="J260" t="str">
        <f t="shared" si="17"/>
        <v/>
      </c>
      <c r="K260">
        <f t="shared" si="18"/>
        <v>0</v>
      </c>
    </row>
    <row r="261" spans="1:11" x14ac:dyDescent="0.35">
      <c r="A261">
        <v>2023</v>
      </c>
      <c r="B261">
        <v>8</v>
      </c>
      <c r="C261">
        <v>0</v>
      </c>
      <c r="E261">
        <v>0</v>
      </c>
      <c r="H261" s="3">
        <f t="shared" ref="H261:H314" si="19">DATE(A261,B261,1)</f>
        <v>45139</v>
      </c>
      <c r="I261">
        <f t="shared" si="16"/>
        <v>0</v>
      </c>
      <c r="J261" t="str">
        <f t="shared" si="17"/>
        <v/>
      </c>
      <c r="K261">
        <f t="shared" si="18"/>
        <v>0</v>
      </c>
    </row>
    <row r="262" spans="1:11" x14ac:dyDescent="0.35">
      <c r="A262">
        <v>2023</v>
      </c>
      <c r="B262">
        <v>9</v>
      </c>
      <c r="C262">
        <v>0</v>
      </c>
      <c r="E262">
        <v>0</v>
      </c>
      <c r="H262" s="3">
        <f t="shared" si="19"/>
        <v>45170</v>
      </c>
      <c r="I262">
        <f t="shared" si="16"/>
        <v>0</v>
      </c>
      <c r="J262" t="str">
        <f t="shared" si="17"/>
        <v/>
      </c>
      <c r="K262">
        <f t="shared" si="18"/>
        <v>0</v>
      </c>
    </row>
    <row r="263" spans="1:11" x14ac:dyDescent="0.35">
      <c r="A263">
        <v>2023</v>
      </c>
      <c r="B263">
        <v>10</v>
      </c>
      <c r="C263">
        <v>0</v>
      </c>
      <c r="E263">
        <v>0.03</v>
      </c>
      <c r="H263" s="3">
        <f t="shared" si="19"/>
        <v>45200</v>
      </c>
      <c r="I263">
        <f t="shared" si="16"/>
        <v>0</v>
      </c>
      <c r="J263" t="str">
        <f t="shared" si="17"/>
        <v/>
      </c>
      <c r="K263">
        <f t="shared" si="18"/>
        <v>0.03</v>
      </c>
    </row>
    <row r="264" spans="1:11" x14ac:dyDescent="0.35">
      <c r="A264">
        <v>2023</v>
      </c>
      <c r="B264">
        <v>11</v>
      </c>
      <c r="C264">
        <v>0</v>
      </c>
      <c r="E264">
        <v>0</v>
      </c>
      <c r="H264" s="3">
        <f t="shared" si="19"/>
        <v>45231</v>
      </c>
      <c r="I264">
        <f t="shared" si="16"/>
        <v>0</v>
      </c>
      <c r="J264" t="str">
        <f t="shared" si="17"/>
        <v/>
      </c>
      <c r="K264">
        <f t="shared" si="18"/>
        <v>0</v>
      </c>
    </row>
    <row r="265" spans="1:11" x14ac:dyDescent="0.35">
      <c r="A265">
        <v>2023</v>
      </c>
      <c r="B265">
        <v>12</v>
      </c>
      <c r="C265">
        <v>0</v>
      </c>
      <c r="E265">
        <v>-0.11360000000000001</v>
      </c>
      <c r="H265" s="3">
        <f t="shared" si="19"/>
        <v>45261</v>
      </c>
      <c r="I265">
        <f t="shared" si="16"/>
        <v>0</v>
      </c>
      <c r="J265" t="str">
        <f t="shared" si="17"/>
        <v/>
      </c>
      <c r="K265">
        <f t="shared" si="18"/>
        <v>-0.11360000000000001</v>
      </c>
    </row>
    <row r="266" spans="1:11" x14ac:dyDescent="0.35">
      <c r="A266">
        <v>2024</v>
      </c>
      <c r="B266">
        <v>1</v>
      </c>
      <c r="C266">
        <v>0.25</v>
      </c>
      <c r="E266">
        <v>0.16350000000000001</v>
      </c>
      <c r="H266" s="3">
        <f t="shared" si="19"/>
        <v>45292</v>
      </c>
      <c r="I266">
        <f t="shared" si="16"/>
        <v>0.25</v>
      </c>
      <c r="J266" t="str">
        <f t="shared" si="17"/>
        <v/>
      </c>
      <c r="K266">
        <f t="shared" si="18"/>
        <v>0.16350000000000001</v>
      </c>
    </row>
    <row r="267" spans="1:11" x14ac:dyDescent="0.35">
      <c r="A267">
        <v>2024</v>
      </c>
      <c r="B267">
        <v>2</v>
      </c>
      <c r="C267">
        <v>0</v>
      </c>
      <c r="E267">
        <v>0</v>
      </c>
      <c r="H267" s="3">
        <f t="shared" si="19"/>
        <v>45323</v>
      </c>
      <c r="I267">
        <f t="shared" si="16"/>
        <v>0</v>
      </c>
      <c r="J267" t="str">
        <f t="shared" si="17"/>
        <v/>
      </c>
      <c r="K267">
        <f t="shared" si="18"/>
        <v>0</v>
      </c>
    </row>
    <row r="268" spans="1:11" x14ac:dyDescent="0.35">
      <c r="A268">
        <v>2024</v>
      </c>
      <c r="B268">
        <v>3</v>
      </c>
      <c r="C268">
        <v>0</v>
      </c>
      <c r="E268">
        <v>1.67E-2</v>
      </c>
      <c r="H268" s="3">
        <f t="shared" si="19"/>
        <v>45352</v>
      </c>
      <c r="I268">
        <f t="shared" si="16"/>
        <v>0</v>
      </c>
      <c r="J268" t="str">
        <f t="shared" si="17"/>
        <v/>
      </c>
      <c r="K268">
        <f t="shared" si="18"/>
        <v>1.67E-2</v>
      </c>
    </row>
    <row r="269" spans="1:11" x14ac:dyDescent="0.35">
      <c r="A269">
        <v>2024</v>
      </c>
      <c r="B269">
        <v>4</v>
      </c>
      <c r="C269">
        <v>0</v>
      </c>
      <c r="E269">
        <v>0</v>
      </c>
      <c r="H269" s="3">
        <f t="shared" si="19"/>
        <v>45383</v>
      </c>
      <c r="I269">
        <f t="shared" si="16"/>
        <v>0</v>
      </c>
      <c r="J269" t="str">
        <f t="shared" si="17"/>
        <v/>
      </c>
      <c r="K269">
        <f t="shared" si="18"/>
        <v>0</v>
      </c>
    </row>
    <row r="270" spans="1:11" x14ac:dyDescent="0.35">
      <c r="A270">
        <v>2024</v>
      </c>
      <c r="B270">
        <v>5</v>
      </c>
      <c r="C270">
        <v>0</v>
      </c>
      <c r="E270">
        <v>0</v>
      </c>
      <c r="H270" s="3">
        <f t="shared" si="19"/>
        <v>45413</v>
      </c>
      <c r="I270">
        <f t="shared" si="16"/>
        <v>0</v>
      </c>
      <c r="J270" t="str">
        <f t="shared" si="17"/>
        <v/>
      </c>
      <c r="K270">
        <f t="shared" si="18"/>
        <v>0</v>
      </c>
    </row>
    <row r="271" spans="1:11" x14ac:dyDescent="0.35">
      <c r="A271">
        <v>2024</v>
      </c>
      <c r="B271">
        <v>6</v>
      </c>
      <c r="C271">
        <v>0</v>
      </c>
      <c r="E271">
        <v>0</v>
      </c>
      <c r="H271" s="3">
        <f t="shared" si="19"/>
        <v>45444</v>
      </c>
      <c r="I271">
        <f t="shared" si="16"/>
        <v>0</v>
      </c>
      <c r="J271" t="str">
        <f t="shared" si="17"/>
        <v/>
      </c>
      <c r="K271">
        <f t="shared" si="18"/>
        <v>0</v>
      </c>
    </row>
    <row r="272" spans="1:11" x14ac:dyDescent="0.35">
      <c r="A272">
        <v>2024</v>
      </c>
      <c r="B272">
        <v>7</v>
      </c>
      <c r="C272">
        <v>0</v>
      </c>
      <c r="E272">
        <v>8.8999999999999999E-3</v>
      </c>
      <c r="H272" s="3">
        <f t="shared" si="19"/>
        <v>45474</v>
      </c>
      <c r="I272">
        <f t="shared" si="16"/>
        <v>0</v>
      </c>
      <c r="J272" t="str">
        <f t="shared" si="17"/>
        <v/>
      </c>
      <c r="K272">
        <f t="shared" si="18"/>
        <v>8.8999999999999999E-3</v>
      </c>
    </row>
    <row r="273" spans="1:11" x14ac:dyDescent="0.35">
      <c r="A273">
        <v>2024</v>
      </c>
      <c r="B273">
        <v>8</v>
      </c>
      <c r="C273">
        <v>0</v>
      </c>
      <c r="E273">
        <v>0</v>
      </c>
      <c r="H273" s="3">
        <f t="shared" si="19"/>
        <v>45505</v>
      </c>
      <c r="I273">
        <f t="shared" si="16"/>
        <v>0</v>
      </c>
      <c r="J273" t="str">
        <f t="shared" si="17"/>
        <v/>
      </c>
      <c r="K273">
        <f t="shared" si="18"/>
        <v>0</v>
      </c>
    </row>
    <row r="274" spans="1:11" x14ac:dyDescent="0.35">
      <c r="A274">
        <v>2024</v>
      </c>
      <c r="B274">
        <v>9</v>
      </c>
      <c r="C274">
        <v>0</v>
      </c>
      <c r="E274">
        <v>6.4799999999999996E-2</v>
      </c>
      <c r="H274" s="3">
        <f t="shared" si="19"/>
        <v>45536</v>
      </c>
      <c r="I274">
        <f t="shared" si="16"/>
        <v>0</v>
      </c>
      <c r="J274" t="str">
        <f t="shared" si="17"/>
        <v/>
      </c>
      <c r="K274">
        <f t="shared" si="18"/>
        <v>6.4799999999999996E-2</v>
      </c>
    </row>
    <row r="275" spans="1:11" x14ac:dyDescent="0.35">
      <c r="A275">
        <v>2024</v>
      </c>
      <c r="B275">
        <v>10</v>
      </c>
      <c r="C275">
        <v>0</v>
      </c>
      <c r="E275">
        <v>6.25E-2</v>
      </c>
      <c r="H275" s="3">
        <f t="shared" si="19"/>
        <v>45566</v>
      </c>
      <c r="I275">
        <f t="shared" si="16"/>
        <v>0</v>
      </c>
      <c r="J275" t="str">
        <f t="shared" si="17"/>
        <v/>
      </c>
      <c r="K275">
        <f t="shared" si="18"/>
        <v>6.25E-2</v>
      </c>
    </row>
    <row r="276" spans="1:11" x14ac:dyDescent="0.35">
      <c r="A276">
        <v>2024</v>
      </c>
      <c r="B276">
        <v>11</v>
      </c>
      <c r="C276">
        <v>0</v>
      </c>
      <c r="E276">
        <v>0</v>
      </c>
      <c r="H276" s="3">
        <f t="shared" si="19"/>
        <v>45597</v>
      </c>
      <c r="I276">
        <f t="shared" si="16"/>
        <v>0</v>
      </c>
      <c r="J276" t="str">
        <f t="shared" si="17"/>
        <v/>
      </c>
      <c r="K276">
        <f t="shared" si="18"/>
        <v>0</v>
      </c>
    </row>
    <row r="277" spans="1:11" x14ac:dyDescent="0.35">
      <c r="A277">
        <v>2024</v>
      </c>
      <c r="B277">
        <v>12</v>
      </c>
      <c r="C277">
        <v>0.25</v>
      </c>
      <c r="E277">
        <v>0.24167</v>
      </c>
      <c r="H277" s="3">
        <f t="shared" si="19"/>
        <v>45627</v>
      </c>
      <c r="I277">
        <f t="shared" si="16"/>
        <v>0.25</v>
      </c>
      <c r="J277" t="str">
        <f t="shared" si="17"/>
        <v/>
      </c>
      <c r="K277">
        <f t="shared" si="18"/>
        <v>0.24167</v>
      </c>
    </row>
    <row r="278" spans="1:11" x14ac:dyDescent="0.35">
      <c r="A278">
        <v>2025</v>
      </c>
      <c r="B278">
        <v>1</v>
      </c>
      <c r="C278">
        <v>0.25</v>
      </c>
      <c r="E278">
        <v>0.1875</v>
      </c>
      <c r="H278" s="3">
        <f t="shared" si="19"/>
        <v>45658</v>
      </c>
      <c r="I278">
        <f t="shared" si="16"/>
        <v>0.25</v>
      </c>
      <c r="J278" t="str">
        <f t="shared" si="17"/>
        <v/>
      </c>
      <c r="K278">
        <f t="shared" si="18"/>
        <v>0.1875</v>
      </c>
    </row>
    <row r="279" spans="1:11" x14ac:dyDescent="0.35">
      <c r="A279">
        <v>2025</v>
      </c>
      <c r="B279">
        <v>2</v>
      </c>
      <c r="C279">
        <v>0</v>
      </c>
      <c r="E279">
        <v>0</v>
      </c>
      <c r="H279" s="3">
        <f t="shared" si="19"/>
        <v>45689</v>
      </c>
      <c r="I279">
        <f t="shared" si="16"/>
        <v>0</v>
      </c>
      <c r="J279" t="str">
        <f t="shared" si="17"/>
        <v/>
      </c>
      <c r="K279">
        <f t="shared" si="18"/>
        <v>0</v>
      </c>
    </row>
    <row r="280" spans="1:11" x14ac:dyDescent="0.35">
      <c r="A280">
        <v>2025</v>
      </c>
      <c r="B280">
        <v>3</v>
      </c>
      <c r="C280">
        <v>0</v>
      </c>
      <c r="E280">
        <v>8.6540000000000006E-2</v>
      </c>
      <c r="H280" s="3">
        <f t="shared" si="19"/>
        <v>45717</v>
      </c>
      <c r="I280">
        <f t="shared" si="16"/>
        <v>0</v>
      </c>
      <c r="J280" t="str">
        <f t="shared" si="17"/>
        <v/>
      </c>
      <c r="K280">
        <f t="shared" si="18"/>
        <v>8.6540000000000006E-2</v>
      </c>
    </row>
    <row r="281" spans="1:11" x14ac:dyDescent="0.35">
      <c r="A281">
        <v>2025</v>
      </c>
      <c r="B281">
        <v>4</v>
      </c>
      <c r="C281">
        <v>-0.25</v>
      </c>
      <c r="E281">
        <v>-0.22414000000000001</v>
      </c>
      <c r="H281" s="3">
        <f t="shared" si="19"/>
        <v>45748</v>
      </c>
      <c r="I281">
        <f t="shared" si="16"/>
        <v>-0.25</v>
      </c>
      <c r="J281" t="str">
        <f t="shared" si="17"/>
        <v/>
      </c>
      <c r="K281">
        <f t="shared" si="18"/>
        <v>-0.22414000000000001</v>
      </c>
    </row>
    <row r="282" spans="1:11" x14ac:dyDescent="0.35">
      <c r="A282" t="s">
        <v>338</v>
      </c>
      <c r="C282">
        <v>-1.2589928057553957E-2</v>
      </c>
      <c r="E282">
        <v>-9.9841366906474795E-3</v>
      </c>
      <c r="H282" s="3" t="e">
        <f t="shared" si="19"/>
        <v>#VALUE!</v>
      </c>
      <c r="I282">
        <f t="shared" si="16"/>
        <v>-1.2589928057553957E-2</v>
      </c>
      <c r="J282" t="str">
        <f t="shared" si="17"/>
        <v/>
      </c>
      <c r="K282">
        <f t="shared" si="18"/>
        <v>-9.9841366906474795E-3</v>
      </c>
    </row>
    <row r="283" spans="1:11" x14ac:dyDescent="0.35">
      <c r="H283" s="3" t="e">
        <f t="shared" si="19"/>
        <v>#NUM!</v>
      </c>
      <c r="I283" t="str">
        <f t="shared" si="16"/>
        <v/>
      </c>
      <c r="J283" t="str">
        <f t="shared" si="17"/>
        <v/>
      </c>
      <c r="K283" t="str">
        <f t="shared" si="18"/>
        <v/>
      </c>
    </row>
    <row r="284" spans="1:11" x14ac:dyDescent="0.35">
      <c r="H284" s="3" t="e">
        <f t="shared" si="19"/>
        <v>#NUM!</v>
      </c>
      <c r="I284" t="str">
        <f t="shared" si="16"/>
        <v/>
      </c>
      <c r="J284" t="str">
        <f t="shared" si="17"/>
        <v/>
      </c>
      <c r="K284" t="str">
        <f t="shared" si="18"/>
        <v/>
      </c>
    </row>
    <row r="285" spans="1:11" x14ac:dyDescent="0.35">
      <c r="H285" s="3" t="e">
        <f t="shared" si="19"/>
        <v>#NUM!</v>
      </c>
      <c r="I285" t="str">
        <f t="shared" si="16"/>
        <v/>
      </c>
      <c r="J285" t="str">
        <f t="shared" si="17"/>
        <v/>
      </c>
      <c r="K285" t="str">
        <f t="shared" si="18"/>
        <v/>
      </c>
    </row>
    <row r="286" spans="1:11" x14ac:dyDescent="0.35">
      <c r="H286" s="3" t="e">
        <f t="shared" si="19"/>
        <v>#NUM!</v>
      </c>
      <c r="I286" t="str">
        <f t="shared" si="16"/>
        <v/>
      </c>
      <c r="J286" t="str">
        <f t="shared" si="17"/>
        <v/>
      </c>
      <c r="K286" t="str">
        <f t="shared" si="18"/>
        <v/>
      </c>
    </row>
    <row r="287" spans="1:11" x14ac:dyDescent="0.35">
      <c r="H287" s="3" t="e">
        <f t="shared" si="19"/>
        <v>#NUM!</v>
      </c>
      <c r="I287" t="str">
        <f t="shared" si="16"/>
        <v/>
      </c>
      <c r="J287" t="str">
        <f t="shared" si="17"/>
        <v/>
      </c>
      <c r="K287" t="str">
        <f t="shared" si="18"/>
        <v/>
      </c>
    </row>
    <row r="288" spans="1:11" x14ac:dyDescent="0.35">
      <c r="H288" s="3" t="e">
        <f t="shared" si="19"/>
        <v>#NUM!</v>
      </c>
      <c r="I288" t="str">
        <f t="shared" si="16"/>
        <v/>
      </c>
      <c r="J288" t="str">
        <f t="shared" si="17"/>
        <v/>
      </c>
      <c r="K288" t="str">
        <f t="shared" si="18"/>
        <v/>
      </c>
    </row>
    <row r="289" spans="8:11" x14ac:dyDescent="0.35">
      <c r="H289" s="3" t="e">
        <f t="shared" si="19"/>
        <v>#NUM!</v>
      </c>
      <c r="I289" t="str">
        <f t="shared" si="16"/>
        <v/>
      </c>
      <c r="J289" t="str">
        <f t="shared" si="17"/>
        <v/>
      </c>
      <c r="K289" t="str">
        <f t="shared" si="18"/>
        <v/>
      </c>
    </row>
    <row r="290" spans="8:11" x14ac:dyDescent="0.35">
      <c r="H290" s="3" t="e">
        <f t="shared" si="19"/>
        <v>#NUM!</v>
      </c>
      <c r="I290" t="str">
        <f t="shared" si="16"/>
        <v/>
      </c>
      <c r="J290" t="str">
        <f t="shared" si="17"/>
        <v/>
      </c>
      <c r="K290" t="str">
        <f t="shared" si="18"/>
        <v/>
      </c>
    </row>
    <row r="291" spans="8:11" x14ac:dyDescent="0.35">
      <c r="H291" s="3" t="e">
        <f t="shared" si="19"/>
        <v>#NUM!</v>
      </c>
      <c r="I291" t="str">
        <f t="shared" si="16"/>
        <v/>
      </c>
      <c r="J291" t="str">
        <f t="shared" si="17"/>
        <v/>
      </c>
      <c r="K291" t="str">
        <f t="shared" si="18"/>
        <v/>
      </c>
    </row>
    <row r="292" spans="8:11" x14ac:dyDescent="0.35">
      <c r="H292" s="3" t="e">
        <f t="shared" si="19"/>
        <v>#NUM!</v>
      </c>
      <c r="I292" t="str">
        <f t="shared" si="16"/>
        <v/>
      </c>
      <c r="J292" t="str">
        <f t="shared" si="17"/>
        <v/>
      </c>
      <c r="K292" t="str">
        <f t="shared" si="18"/>
        <v/>
      </c>
    </row>
    <row r="293" spans="8:11" x14ac:dyDescent="0.35">
      <c r="H293" s="3" t="e">
        <f t="shared" si="19"/>
        <v>#NUM!</v>
      </c>
      <c r="I293" t="str">
        <f t="shared" si="16"/>
        <v/>
      </c>
      <c r="J293" t="str">
        <f t="shared" si="17"/>
        <v/>
      </c>
      <c r="K293" t="str">
        <f t="shared" si="18"/>
        <v/>
      </c>
    </row>
    <row r="294" spans="8:11" x14ac:dyDescent="0.35">
      <c r="H294" s="3" t="e">
        <f t="shared" si="19"/>
        <v>#NUM!</v>
      </c>
      <c r="I294" t="str">
        <f t="shared" si="16"/>
        <v/>
      </c>
      <c r="J294" t="str">
        <f t="shared" si="17"/>
        <v/>
      </c>
      <c r="K294" t="str">
        <f t="shared" si="18"/>
        <v/>
      </c>
    </row>
    <row r="295" spans="8:11" x14ac:dyDescent="0.35">
      <c r="H295" s="3" t="e">
        <f t="shared" si="19"/>
        <v>#NUM!</v>
      </c>
      <c r="I295" t="str">
        <f t="shared" si="16"/>
        <v/>
      </c>
      <c r="J295" t="str">
        <f t="shared" si="17"/>
        <v/>
      </c>
      <c r="K295" t="str">
        <f t="shared" si="18"/>
        <v/>
      </c>
    </row>
    <row r="296" spans="8:11" x14ac:dyDescent="0.35">
      <c r="H296" s="3" t="e">
        <f t="shared" si="19"/>
        <v>#NUM!</v>
      </c>
      <c r="I296" t="str">
        <f t="shared" si="16"/>
        <v/>
      </c>
      <c r="J296" t="str">
        <f t="shared" si="17"/>
        <v/>
      </c>
      <c r="K296" t="str">
        <f t="shared" si="18"/>
        <v/>
      </c>
    </row>
    <row r="297" spans="8:11" x14ac:dyDescent="0.35">
      <c r="H297" s="3" t="e">
        <f t="shared" si="19"/>
        <v>#NUM!</v>
      </c>
      <c r="I297" t="str">
        <f t="shared" si="16"/>
        <v/>
      </c>
      <c r="J297" t="str">
        <f t="shared" si="17"/>
        <v/>
      </c>
      <c r="K297" t="str">
        <f t="shared" si="18"/>
        <v/>
      </c>
    </row>
    <row r="298" spans="8:11" x14ac:dyDescent="0.35">
      <c r="H298" s="3" t="e">
        <f t="shared" si="19"/>
        <v>#NUM!</v>
      </c>
      <c r="I298" t="str">
        <f t="shared" si="16"/>
        <v/>
      </c>
      <c r="J298" t="str">
        <f t="shared" si="17"/>
        <v/>
      </c>
      <c r="K298" t="str">
        <f t="shared" si="18"/>
        <v/>
      </c>
    </row>
    <row r="299" spans="8:11" x14ac:dyDescent="0.35">
      <c r="H299" s="3" t="e">
        <f t="shared" si="19"/>
        <v>#NUM!</v>
      </c>
      <c r="I299" t="str">
        <f t="shared" si="16"/>
        <v/>
      </c>
      <c r="J299" t="str">
        <f t="shared" si="17"/>
        <v/>
      </c>
      <c r="K299" t="str">
        <f t="shared" si="18"/>
        <v/>
      </c>
    </row>
    <row r="300" spans="8:11" x14ac:dyDescent="0.35">
      <c r="H300" s="3" t="e">
        <f t="shared" si="19"/>
        <v>#NUM!</v>
      </c>
      <c r="I300" t="str">
        <f t="shared" ref="I300:I314" si="20">IF(C300="","",C300)</f>
        <v/>
      </c>
      <c r="J300" t="str">
        <f t="shared" ref="J300:J314" si="21">IF(D300="","",D300)</f>
        <v/>
      </c>
      <c r="K300" t="str">
        <f t="shared" ref="K300:K314" si="22">IF(E300="","",E300)</f>
        <v/>
      </c>
    </row>
    <row r="301" spans="8:11" x14ac:dyDescent="0.35">
      <c r="H301" s="3" t="e">
        <f t="shared" si="19"/>
        <v>#NUM!</v>
      </c>
      <c r="I301" t="str">
        <f t="shared" si="20"/>
        <v/>
      </c>
      <c r="J301" t="str">
        <f t="shared" si="21"/>
        <v/>
      </c>
      <c r="K301" t="str">
        <f t="shared" si="22"/>
        <v/>
      </c>
    </row>
    <row r="302" spans="8:11" x14ac:dyDescent="0.35">
      <c r="H302" s="3" t="e">
        <f t="shared" si="19"/>
        <v>#NUM!</v>
      </c>
      <c r="I302" t="str">
        <f t="shared" si="20"/>
        <v/>
      </c>
      <c r="J302" t="str">
        <f t="shared" si="21"/>
        <v/>
      </c>
      <c r="K302" t="str">
        <f t="shared" si="22"/>
        <v/>
      </c>
    </row>
    <row r="303" spans="8:11" x14ac:dyDescent="0.35">
      <c r="H303" s="3" t="e">
        <f t="shared" si="19"/>
        <v>#NUM!</v>
      </c>
      <c r="I303" t="str">
        <f t="shared" si="20"/>
        <v/>
      </c>
      <c r="J303" t="str">
        <f t="shared" si="21"/>
        <v/>
      </c>
      <c r="K303" t="str">
        <f t="shared" si="22"/>
        <v/>
      </c>
    </row>
    <row r="304" spans="8:11" x14ac:dyDescent="0.35">
      <c r="H304" s="3" t="e">
        <f t="shared" si="19"/>
        <v>#NUM!</v>
      </c>
      <c r="I304" t="str">
        <f t="shared" si="20"/>
        <v/>
      </c>
      <c r="J304" t="str">
        <f t="shared" si="21"/>
        <v/>
      </c>
      <c r="K304" t="str">
        <f t="shared" si="22"/>
        <v/>
      </c>
    </row>
    <row r="305" spans="8:11" x14ac:dyDescent="0.35">
      <c r="H305" s="3" t="e">
        <f t="shared" si="19"/>
        <v>#NUM!</v>
      </c>
      <c r="I305" t="str">
        <f t="shared" si="20"/>
        <v/>
      </c>
      <c r="J305" t="str">
        <f t="shared" si="21"/>
        <v/>
      </c>
      <c r="K305" t="str">
        <f t="shared" si="22"/>
        <v/>
      </c>
    </row>
    <row r="306" spans="8:11" x14ac:dyDescent="0.35">
      <c r="H306" s="3" t="e">
        <f t="shared" si="19"/>
        <v>#NUM!</v>
      </c>
      <c r="I306" t="str">
        <f t="shared" si="20"/>
        <v/>
      </c>
      <c r="J306" t="str">
        <f t="shared" si="21"/>
        <v/>
      </c>
      <c r="K306" t="str">
        <f t="shared" si="22"/>
        <v/>
      </c>
    </row>
    <row r="307" spans="8:11" x14ac:dyDescent="0.35">
      <c r="H307" s="3" t="e">
        <f t="shared" si="19"/>
        <v>#NUM!</v>
      </c>
      <c r="I307" t="str">
        <f t="shared" si="20"/>
        <v/>
      </c>
      <c r="J307" t="str">
        <f t="shared" si="21"/>
        <v/>
      </c>
      <c r="K307" t="str">
        <f t="shared" si="22"/>
        <v/>
      </c>
    </row>
    <row r="308" spans="8:11" x14ac:dyDescent="0.35">
      <c r="H308" s="3" t="e">
        <f t="shared" si="19"/>
        <v>#NUM!</v>
      </c>
      <c r="I308" t="str">
        <f t="shared" si="20"/>
        <v/>
      </c>
      <c r="J308" t="str">
        <f t="shared" si="21"/>
        <v/>
      </c>
      <c r="K308" t="str">
        <f t="shared" si="22"/>
        <v/>
      </c>
    </row>
    <row r="309" spans="8:11" x14ac:dyDescent="0.35">
      <c r="H309" s="3" t="e">
        <f t="shared" si="19"/>
        <v>#NUM!</v>
      </c>
      <c r="I309" t="str">
        <f t="shared" si="20"/>
        <v/>
      </c>
      <c r="J309" t="str">
        <f t="shared" si="21"/>
        <v/>
      </c>
      <c r="K309" t="str">
        <f t="shared" si="22"/>
        <v/>
      </c>
    </row>
    <row r="310" spans="8:11" x14ac:dyDescent="0.35">
      <c r="H310" s="3" t="e">
        <f t="shared" si="19"/>
        <v>#NUM!</v>
      </c>
      <c r="I310" t="str">
        <f t="shared" si="20"/>
        <v/>
      </c>
      <c r="J310" t="str">
        <f t="shared" si="21"/>
        <v/>
      </c>
      <c r="K310" t="str">
        <f t="shared" si="22"/>
        <v/>
      </c>
    </row>
    <row r="311" spans="8:11" x14ac:dyDescent="0.35">
      <c r="H311" s="3" t="e">
        <f t="shared" si="19"/>
        <v>#NUM!</v>
      </c>
      <c r="I311" t="str">
        <f t="shared" si="20"/>
        <v/>
      </c>
      <c r="J311" t="str">
        <f t="shared" si="21"/>
        <v/>
      </c>
      <c r="K311" t="str">
        <f t="shared" si="22"/>
        <v/>
      </c>
    </row>
    <row r="312" spans="8:11" x14ac:dyDescent="0.35">
      <c r="H312" s="3" t="e">
        <f t="shared" si="19"/>
        <v>#NUM!</v>
      </c>
      <c r="I312" t="str">
        <f t="shared" si="20"/>
        <v/>
      </c>
      <c r="J312" t="str">
        <f t="shared" si="21"/>
        <v/>
      </c>
      <c r="K312" t="str">
        <f t="shared" si="22"/>
        <v/>
      </c>
    </row>
    <row r="313" spans="8:11" x14ac:dyDescent="0.35">
      <c r="H313" s="3" t="e">
        <f t="shared" si="19"/>
        <v>#NUM!</v>
      </c>
      <c r="I313" t="str">
        <f t="shared" si="20"/>
        <v/>
      </c>
      <c r="J313" t="str">
        <f t="shared" si="21"/>
        <v/>
      </c>
      <c r="K313" t="str">
        <f t="shared" si="22"/>
        <v/>
      </c>
    </row>
    <row r="314" spans="8:11" x14ac:dyDescent="0.35">
      <c r="H314" s="3" t="e">
        <f t="shared" si="19"/>
        <v>#NUM!</v>
      </c>
      <c r="I314" t="str">
        <f t="shared" si="20"/>
        <v/>
      </c>
      <c r="J314" t="str">
        <f t="shared" si="21"/>
        <v/>
      </c>
      <c r="K314" t="str">
        <f t="shared" si="22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FD4A-D312-4F72-878D-2C5D9C0DA15D}">
  <sheetPr filterMode="1"/>
  <dimension ref="A1:M1338"/>
  <sheetViews>
    <sheetView workbookViewId="0">
      <pane ySplit="1" topLeftCell="A598" activePane="bottomLeft" state="frozen"/>
      <selection pane="bottomLeft" activeCell="F601" sqref="F601"/>
    </sheetView>
  </sheetViews>
  <sheetFormatPr baseColWidth="10" defaultRowHeight="14.5" x14ac:dyDescent="0.35"/>
  <cols>
    <col min="7" max="7" width="15.81640625" bestFit="1" customWidth="1"/>
    <col min="8" max="8" width="10.81640625" bestFit="1" customWidth="1"/>
    <col min="9" max="9" width="10.26953125" bestFit="1" customWidth="1"/>
    <col min="10" max="10" width="14.1796875" bestFit="1" customWidth="1"/>
    <col min="11" max="11" width="8.7265625" bestFit="1" customWidth="1"/>
    <col min="12" max="12" width="11.7265625" bestFit="1" customWidth="1"/>
    <col min="13" max="13" width="16.54296875" bestFit="1" customWidth="1"/>
  </cols>
  <sheetData>
    <row r="1" spans="1:13" x14ac:dyDescent="0.35">
      <c r="A1" t="s">
        <v>0</v>
      </c>
      <c r="B1" t="s">
        <v>335</v>
      </c>
      <c r="C1" t="s">
        <v>336</v>
      </c>
      <c r="D1" t="s">
        <v>337</v>
      </c>
      <c r="E1" t="s">
        <v>312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319</v>
      </c>
      <c r="L1" t="s">
        <v>324</v>
      </c>
      <c r="M1" t="s">
        <v>325</v>
      </c>
    </row>
    <row r="2" spans="1:13" hidden="1" x14ac:dyDescent="0.35">
      <c r="A2" t="s">
        <v>1</v>
      </c>
      <c r="B2">
        <f>LEFT(A2,4)*1</f>
        <v>1999</v>
      </c>
      <c r="C2">
        <f>MID(A2,6,2)*1</f>
        <v>7</v>
      </c>
      <c r="D2">
        <f>ROUNDUP(C2/3,0)</f>
        <v>3</v>
      </c>
      <c r="E2" t="s">
        <v>313</v>
      </c>
      <c r="F2">
        <v>-100</v>
      </c>
      <c r="G2">
        <v>20.5</v>
      </c>
      <c r="H2">
        <v>19.5</v>
      </c>
      <c r="J2">
        <v>20.291699999999999</v>
      </c>
      <c r="K2">
        <v>-0.79169999999999996</v>
      </c>
    </row>
    <row r="3" spans="1:13" hidden="1" x14ac:dyDescent="0.35">
      <c r="A3" t="s">
        <v>2</v>
      </c>
      <c r="B3">
        <f t="shared" ref="B3:B66" si="0">LEFT(A3,4)*1</f>
        <v>1999</v>
      </c>
      <c r="C3">
        <f t="shared" ref="C3:C66" si="1">MID(A3,6,2)*1</f>
        <v>8</v>
      </c>
      <c r="D3">
        <f t="shared" ref="D3:D66" si="2">ROUNDUP(C3/3,0)</f>
        <v>3</v>
      </c>
      <c r="E3" t="s">
        <v>313</v>
      </c>
      <c r="F3">
        <v>0</v>
      </c>
      <c r="G3">
        <v>19.5</v>
      </c>
      <c r="H3">
        <v>19.5</v>
      </c>
      <c r="J3">
        <v>19.333300000000001</v>
      </c>
      <c r="K3">
        <v>0.16669999999999999</v>
      </c>
    </row>
    <row r="4" spans="1:13" hidden="1" x14ac:dyDescent="0.35">
      <c r="A4" t="s">
        <v>3</v>
      </c>
      <c r="B4">
        <f t="shared" si="0"/>
        <v>1999</v>
      </c>
      <c r="C4">
        <f t="shared" si="1"/>
        <v>9</v>
      </c>
      <c r="D4">
        <f t="shared" si="2"/>
        <v>3</v>
      </c>
      <c r="E4" t="s">
        <v>313</v>
      </c>
      <c r="F4">
        <v>0</v>
      </c>
      <c r="G4">
        <v>19</v>
      </c>
      <c r="H4">
        <v>19</v>
      </c>
      <c r="J4">
        <v>19.095199999999998</v>
      </c>
      <c r="K4">
        <v>-9.5200000000000007E-2</v>
      </c>
    </row>
    <row r="5" spans="1:13" hidden="1" x14ac:dyDescent="0.35">
      <c r="A5" t="s">
        <v>4</v>
      </c>
      <c r="B5">
        <f t="shared" si="0"/>
        <v>1999</v>
      </c>
      <c r="C5">
        <f t="shared" si="1"/>
        <v>10</v>
      </c>
      <c r="D5">
        <f t="shared" si="2"/>
        <v>4</v>
      </c>
      <c r="E5" t="s">
        <v>313</v>
      </c>
      <c r="F5">
        <v>0</v>
      </c>
      <c r="G5">
        <v>19</v>
      </c>
      <c r="H5">
        <v>19</v>
      </c>
      <c r="J5">
        <v>18.95</v>
      </c>
      <c r="K5">
        <v>0.05</v>
      </c>
    </row>
    <row r="6" spans="1:13" hidden="1" x14ac:dyDescent="0.35">
      <c r="A6" t="s">
        <v>5</v>
      </c>
      <c r="B6">
        <f t="shared" si="0"/>
        <v>1999</v>
      </c>
      <c r="C6">
        <f t="shared" si="1"/>
        <v>11</v>
      </c>
      <c r="D6">
        <f t="shared" si="2"/>
        <v>4</v>
      </c>
      <c r="E6" t="s">
        <v>313</v>
      </c>
      <c r="F6">
        <v>25</v>
      </c>
      <c r="G6">
        <v>18.75</v>
      </c>
      <c r="H6">
        <v>19</v>
      </c>
      <c r="J6">
        <v>18.765599999999999</v>
      </c>
      <c r="K6">
        <v>0.2344</v>
      </c>
    </row>
    <row r="7" spans="1:13" hidden="1" x14ac:dyDescent="0.35">
      <c r="A7" t="s">
        <v>6</v>
      </c>
      <c r="B7">
        <f t="shared" si="0"/>
        <v>1999</v>
      </c>
      <c r="C7">
        <f t="shared" si="1"/>
        <v>12</v>
      </c>
      <c r="D7">
        <f t="shared" si="2"/>
        <v>4</v>
      </c>
      <c r="E7" t="s">
        <v>313</v>
      </c>
      <c r="F7">
        <v>0</v>
      </c>
      <c r="G7">
        <v>19</v>
      </c>
      <c r="H7">
        <v>19</v>
      </c>
      <c r="J7">
        <v>19</v>
      </c>
      <c r="K7">
        <v>0</v>
      </c>
    </row>
    <row r="8" spans="1:13" hidden="1" x14ac:dyDescent="0.35">
      <c r="A8" t="s">
        <v>7</v>
      </c>
      <c r="B8">
        <f t="shared" si="0"/>
        <v>2000</v>
      </c>
      <c r="C8">
        <f t="shared" si="1"/>
        <v>1</v>
      </c>
      <c r="D8">
        <f t="shared" si="2"/>
        <v>1</v>
      </c>
      <c r="E8" t="s">
        <v>313</v>
      </c>
      <c r="F8">
        <v>0</v>
      </c>
      <c r="G8">
        <v>19</v>
      </c>
      <c r="H8">
        <v>19</v>
      </c>
      <c r="J8">
        <v>18.916699999999999</v>
      </c>
      <c r="K8">
        <v>8.3299999999999999E-2</v>
      </c>
    </row>
    <row r="9" spans="1:13" hidden="1" x14ac:dyDescent="0.35">
      <c r="A9" t="s">
        <v>8</v>
      </c>
      <c r="B9">
        <f t="shared" si="0"/>
        <v>2000</v>
      </c>
      <c r="C9">
        <f t="shared" si="1"/>
        <v>2</v>
      </c>
      <c r="D9">
        <f t="shared" si="2"/>
        <v>1</v>
      </c>
      <c r="E9" t="s">
        <v>313</v>
      </c>
      <c r="F9">
        <v>0</v>
      </c>
      <c r="G9">
        <v>19</v>
      </c>
      <c r="H9">
        <v>19</v>
      </c>
      <c r="J9">
        <v>18.911799999999999</v>
      </c>
      <c r="K9">
        <v>8.8200000000000001E-2</v>
      </c>
    </row>
    <row r="10" spans="1:13" hidden="1" x14ac:dyDescent="0.35">
      <c r="A10" t="s">
        <v>9</v>
      </c>
      <c r="B10">
        <f t="shared" si="0"/>
        <v>2000</v>
      </c>
      <c r="C10">
        <f t="shared" si="1"/>
        <v>3</v>
      </c>
      <c r="D10">
        <f t="shared" si="2"/>
        <v>1</v>
      </c>
      <c r="E10" t="s">
        <v>313</v>
      </c>
      <c r="F10">
        <v>-50</v>
      </c>
      <c r="G10">
        <v>19</v>
      </c>
      <c r="H10">
        <v>18.5</v>
      </c>
      <c r="J10">
        <v>18.944400000000002</v>
      </c>
      <c r="K10">
        <v>-0.44440000000000002</v>
      </c>
    </row>
    <row r="11" spans="1:13" hidden="1" x14ac:dyDescent="0.35">
      <c r="A11" t="s">
        <v>10</v>
      </c>
      <c r="B11">
        <f t="shared" si="0"/>
        <v>2000</v>
      </c>
      <c r="C11">
        <f t="shared" si="1"/>
        <v>4</v>
      </c>
      <c r="D11">
        <f t="shared" si="2"/>
        <v>2</v>
      </c>
      <c r="E11" t="s">
        <v>313</v>
      </c>
      <c r="F11">
        <v>0</v>
      </c>
      <c r="G11">
        <v>18.5</v>
      </c>
      <c r="H11">
        <v>18.5</v>
      </c>
      <c r="J11" t="s">
        <v>321</v>
      </c>
      <c r="K11">
        <v>0</v>
      </c>
    </row>
    <row r="12" spans="1:13" hidden="1" x14ac:dyDescent="0.35">
      <c r="A12" t="s">
        <v>11</v>
      </c>
      <c r="B12">
        <f t="shared" si="0"/>
        <v>2000</v>
      </c>
      <c r="C12">
        <f t="shared" si="1"/>
        <v>5</v>
      </c>
      <c r="D12">
        <f t="shared" si="2"/>
        <v>2</v>
      </c>
      <c r="E12" t="s">
        <v>313</v>
      </c>
      <c r="F12">
        <v>0</v>
      </c>
      <c r="G12">
        <v>18.5</v>
      </c>
      <c r="H12">
        <v>18.5</v>
      </c>
      <c r="J12">
        <v>18.5</v>
      </c>
      <c r="K12">
        <v>0</v>
      </c>
    </row>
    <row r="13" spans="1:13" hidden="1" x14ac:dyDescent="0.35">
      <c r="A13" t="s">
        <v>12</v>
      </c>
      <c r="B13">
        <f t="shared" si="0"/>
        <v>2000</v>
      </c>
      <c r="C13">
        <f t="shared" si="1"/>
        <v>6</v>
      </c>
      <c r="D13">
        <f t="shared" si="2"/>
        <v>2</v>
      </c>
      <c r="E13" t="s">
        <v>313</v>
      </c>
      <c r="F13">
        <v>-100</v>
      </c>
      <c r="G13">
        <v>18.5</v>
      </c>
      <c r="H13">
        <v>17.5</v>
      </c>
      <c r="J13">
        <v>18.43</v>
      </c>
      <c r="K13">
        <v>-0.93</v>
      </c>
    </row>
    <row r="14" spans="1:13" hidden="1" x14ac:dyDescent="0.35">
      <c r="A14" t="s">
        <v>13</v>
      </c>
      <c r="B14">
        <f t="shared" si="0"/>
        <v>2000</v>
      </c>
      <c r="C14">
        <f t="shared" si="1"/>
        <v>7</v>
      </c>
      <c r="D14">
        <f t="shared" si="2"/>
        <v>3</v>
      </c>
      <c r="E14" t="s">
        <v>313</v>
      </c>
      <c r="F14">
        <v>-100</v>
      </c>
      <c r="G14">
        <v>17.5</v>
      </c>
      <c r="H14">
        <v>16.5</v>
      </c>
      <c r="J14">
        <v>16.934799999999999</v>
      </c>
      <c r="K14">
        <v>-0.43480000000000002</v>
      </c>
    </row>
    <row r="15" spans="1:13" hidden="1" x14ac:dyDescent="0.35">
      <c r="A15" t="s">
        <v>14</v>
      </c>
      <c r="B15">
        <f t="shared" si="0"/>
        <v>2000</v>
      </c>
      <c r="C15">
        <f t="shared" si="1"/>
        <v>8</v>
      </c>
      <c r="D15">
        <f t="shared" si="2"/>
        <v>3</v>
      </c>
      <c r="E15" t="s">
        <v>313</v>
      </c>
      <c r="F15">
        <v>25</v>
      </c>
      <c r="G15">
        <v>16.25</v>
      </c>
      <c r="H15">
        <v>16.5</v>
      </c>
      <c r="J15">
        <v>16.258299999999998</v>
      </c>
      <c r="K15">
        <v>0.2417</v>
      </c>
    </row>
    <row r="16" spans="1:13" hidden="1" x14ac:dyDescent="0.35">
      <c r="A16" t="s">
        <v>15</v>
      </c>
      <c r="B16">
        <f t="shared" si="0"/>
        <v>2000</v>
      </c>
      <c r="C16">
        <f t="shared" si="1"/>
        <v>9</v>
      </c>
      <c r="D16">
        <f t="shared" si="2"/>
        <v>3</v>
      </c>
      <c r="E16" t="s">
        <v>313</v>
      </c>
      <c r="F16">
        <v>0</v>
      </c>
      <c r="G16">
        <v>16.5</v>
      </c>
      <c r="H16">
        <v>16.5</v>
      </c>
      <c r="J16">
        <v>16.5</v>
      </c>
      <c r="K16">
        <v>0</v>
      </c>
    </row>
    <row r="17" spans="1:11" hidden="1" x14ac:dyDescent="0.35">
      <c r="A17" t="s">
        <v>16</v>
      </c>
      <c r="B17">
        <f t="shared" si="0"/>
        <v>2000</v>
      </c>
      <c r="C17">
        <f t="shared" si="1"/>
        <v>10</v>
      </c>
      <c r="D17">
        <f t="shared" si="2"/>
        <v>4</v>
      </c>
      <c r="E17" t="s">
        <v>313</v>
      </c>
      <c r="F17">
        <v>0</v>
      </c>
      <c r="G17">
        <v>16.5</v>
      </c>
      <c r="H17">
        <v>16.5</v>
      </c>
      <c r="J17">
        <v>16.5</v>
      </c>
      <c r="K17">
        <v>0</v>
      </c>
    </row>
    <row r="18" spans="1:11" hidden="1" x14ac:dyDescent="0.35">
      <c r="A18" t="s">
        <v>17</v>
      </c>
      <c r="B18">
        <f t="shared" si="0"/>
        <v>2000</v>
      </c>
      <c r="C18">
        <f t="shared" si="1"/>
        <v>11</v>
      </c>
      <c r="D18">
        <f t="shared" si="2"/>
        <v>4</v>
      </c>
      <c r="E18" t="s">
        <v>313</v>
      </c>
      <c r="F18">
        <v>0</v>
      </c>
      <c r="G18">
        <v>16.5</v>
      </c>
      <c r="H18">
        <v>16.5</v>
      </c>
      <c r="J18">
        <v>16.489100000000001</v>
      </c>
      <c r="K18">
        <v>1.09E-2</v>
      </c>
    </row>
    <row r="19" spans="1:11" hidden="1" x14ac:dyDescent="0.35">
      <c r="A19" t="s">
        <v>18</v>
      </c>
      <c r="B19">
        <f t="shared" si="0"/>
        <v>2000</v>
      </c>
      <c r="C19">
        <f t="shared" si="1"/>
        <v>12</v>
      </c>
      <c r="D19">
        <f t="shared" si="2"/>
        <v>4</v>
      </c>
      <c r="E19" t="s">
        <v>313</v>
      </c>
      <c r="F19">
        <v>-25</v>
      </c>
      <c r="G19">
        <v>16</v>
      </c>
      <c r="H19">
        <v>15.75</v>
      </c>
      <c r="J19">
        <v>16.090900000000001</v>
      </c>
      <c r="K19">
        <v>-0.34089999999999998</v>
      </c>
    </row>
    <row r="20" spans="1:11" hidden="1" x14ac:dyDescent="0.35">
      <c r="A20" t="s">
        <v>19</v>
      </c>
      <c r="B20">
        <f t="shared" si="0"/>
        <v>2001</v>
      </c>
      <c r="C20">
        <f t="shared" si="1"/>
        <v>1</v>
      </c>
      <c r="D20">
        <f t="shared" si="2"/>
        <v>1</v>
      </c>
      <c r="E20" t="s">
        <v>313</v>
      </c>
      <c r="F20">
        <v>0</v>
      </c>
      <c r="G20">
        <v>15.25</v>
      </c>
      <c r="H20">
        <v>15.25</v>
      </c>
      <c r="J20">
        <v>15.375</v>
      </c>
      <c r="K20">
        <v>-0.125</v>
      </c>
    </row>
    <row r="21" spans="1:11" hidden="1" x14ac:dyDescent="0.35">
      <c r="A21" t="s">
        <v>20</v>
      </c>
      <c r="B21">
        <f t="shared" si="0"/>
        <v>2001</v>
      </c>
      <c r="C21">
        <f t="shared" si="1"/>
        <v>2</v>
      </c>
      <c r="D21">
        <f t="shared" si="2"/>
        <v>1</v>
      </c>
      <c r="E21" t="s">
        <v>313</v>
      </c>
      <c r="F21">
        <v>25</v>
      </c>
      <c r="G21">
        <v>15</v>
      </c>
      <c r="H21">
        <v>15.25</v>
      </c>
      <c r="J21">
        <v>15.023400000000001</v>
      </c>
      <c r="K21">
        <v>0.2266</v>
      </c>
    </row>
    <row r="22" spans="1:11" hidden="1" x14ac:dyDescent="0.35">
      <c r="A22" t="s">
        <v>21</v>
      </c>
      <c r="B22">
        <f t="shared" si="0"/>
        <v>2001</v>
      </c>
      <c r="C22">
        <f t="shared" si="1"/>
        <v>3</v>
      </c>
      <c r="D22">
        <f t="shared" si="2"/>
        <v>1</v>
      </c>
      <c r="E22" t="s">
        <v>313</v>
      </c>
      <c r="F22">
        <v>50</v>
      </c>
      <c r="G22">
        <v>15.25</v>
      </c>
      <c r="H22">
        <v>15.75</v>
      </c>
      <c r="J22">
        <v>15.25</v>
      </c>
      <c r="K22">
        <v>0.5</v>
      </c>
    </row>
    <row r="23" spans="1:11" hidden="1" x14ac:dyDescent="0.35">
      <c r="A23" t="s">
        <v>22</v>
      </c>
      <c r="B23">
        <f t="shared" si="0"/>
        <v>2001</v>
      </c>
      <c r="C23">
        <f t="shared" si="1"/>
        <v>4</v>
      </c>
      <c r="D23">
        <f t="shared" si="2"/>
        <v>2</v>
      </c>
      <c r="E23" t="s">
        <v>313</v>
      </c>
      <c r="F23">
        <v>50</v>
      </c>
      <c r="G23">
        <v>15.75</v>
      </c>
      <c r="H23">
        <v>16.25</v>
      </c>
      <c r="J23">
        <v>15.96</v>
      </c>
      <c r="K23">
        <v>0.28999999999999998</v>
      </c>
    </row>
    <row r="24" spans="1:11" hidden="1" x14ac:dyDescent="0.35">
      <c r="A24" t="s">
        <v>23</v>
      </c>
      <c r="B24">
        <f t="shared" si="0"/>
        <v>2001</v>
      </c>
      <c r="C24">
        <f t="shared" si="1"/>
        <v>5</v>
      </c>
      <c r="D24">
        <f t="shared" si="2"/>
        <v>2</v>
      </c>
      <c r="E24" t="s">
        <v>313</v>
      </c>
      <c r="F24">
        <v>0</v>
      </c>
      <c r="G24">
        <v>16.75</v>
      </c>
      <c r="H24">
        <v>16.75</v>
      </c>
      <c r="J24">
        <v>16.671099999999999</v>
      </c>
      <c r="K24">
        <v>7.8899999999999998E-2</v>
      </c>
    </row>
    <row r="25" spans="1:11" hidden="1" x14ac:dyDescent="0.35">
      <c r="A25" t="s">
        <v>24</v>
      </c>
      <c r="B25">
        <f t="shared" si="0"/>
        <v>2001</v>
      </c>
      <c r="C25">
        <f t="shared" si="1"/>
        <v>6</v>
      </c>
      <c r="D25">
        <f t="shared" si="2"/>
        <v>2</v>
      </c>
      <c r="E25" t="s">
        <v>313</v>
      </c>
      <c r="F25">
        <v>100</v>
      </c>
      <c r="G25">
        <v>17.25</v>
      </c>
      <c r="H25">
        <v>18.25</v>
      </c>
      <c r="J25">
        <v>17.092600000000001</v>
      </c>
      <c r="K25">
        <v>1.1574</v>
      </c>
    </row>
    <row r="26" spans="1:11" hidden="1" x14ac:dyDescent="0.35">
      <c r="A26" t="s">
        <v>25</v>
      </c>
      <c r="B26">
        <f t="shared" si="0"/>
        <v>2001</v>
      </c>
      <c r="C26">
        <f t="shared" si="1"/>
        <v>7</v>
      </c>
      <c r="D26">
        <f t="shared" si="2"/>
        <v>3</v>
      </c>
      <c r="E26" t="s">
        <v>313</v>
      </c>
      <c r="F26">
        <v>-25</v>
      </c>
      <c r="G26">
        <v>19.25</v>
      </c>
      <c r="H26">
        <v>19</v>
      </c>
      <c r="J26">
        <v>19.39</v>
      </c>
      <c r="K26">
        <v>-0.39</v>
      </c>
    </row>
    <row r="27" spans="1:11" hidden="1" x14ac:dyDescent="0.35">
      <c r="A27" t="s">
        <v>26</v>
      </c>
      <c r="B27">
        <f t="shared" si="0"/>
        <v>2001</v>
      </c>
      <c r="C27">
        <f t="shared" si="1"/>
        <v>8</v>
      </c>
      <c r="D27">
        <f t="shared" si="2"/>
        <v>3</v>
      </c>
      <c r="E27" t="s">
        <v>313</v>
      </c>
      <c r="F27">
        <v>0</v>
      </c>
      <c r="G27">
        <v>19</v>
      </c>
      <c r="H27">
        <v>19</v>
      </c>
      <c r="J27">
        <v>19.107099999999999</v>
      </c>
      <c r="K27">
        <v>-0.1071</v>
      </c>
    </row>
    <row r="28" spans="1:11" hidden="1" x14ac:dyDescent="0.35">
      <c r="A28" t="s">
        <v>27</v>
      </c>
      <c r="B28">
        <f t="shared" si="0"/>
        <v>2001</v>
      </c>
      <c r="C28">
        <f t="shared" si="1"/>
        <v>9</v>
      </c>
      <c r="D28">
        <f t="shared" si="2"/>
        <v>3</v>
      </c>
      <c r="E28" t="s">
        <v>313</v>
      </c>
      <c r="F28">
        <v>0</v>
      </c>
      <c r="G28">
        <v>19</v>
      </c>
      <c r="H28">
        <v>19</v>
      </c>
      <c r="J28">
        <v>19</v>
      </c>
      <c r="K28">
        <v>0</v>
      </c>
    </row>
    <row r="29" spans="1:11" hidden="1" x14ac:dyDescent="0.35">
      <c r="A29" t="s">
        <v>28</v>
      </c>
      <c r="B29">
        <f t="shared" si="0"/>
        <v>2001</v>
      </c>
      <c r="C29">
        <f t="shared" si="1"/>
        <v>10</v>
      </c>
      <c r="D29">
        <f t="shared" si="2"/>
        <v>4</v>
      </c>
      <c r="E29" t="s">
        <v>313</v>
      </c>
      <c r="F29">
        <v>0</v>
      </c>
      <c r="G29">
        <v>19</v>
      </c>
      <c r="H29">
        <v>19</v>
      </c>
      <c r="J29">
        <v>19.021699999999999</v>
      </c>
      <c r="K29">
        <v>-2.1700000000000001E-2</v>
      </c>
    </row>
    <row r="30" spans="1:11" hidden="1" x14ac:dyDescent="0.35">
      <c r="A30" t="s">
        <v>29</v>
      </c>
      <c r="B30">
        <f t="shared" si="0"/>
        <v>2001</v>
      </c>
      <c r="C30">
        <f t="shared" si="1"/>
        <v>11</v>
      </c>
      <c r="D30">
        <f t="shared" si="2"/>
        <v>4</v>
      </c>
      <c r="E30" t="s">
        <v>313</v>
      </c>
      <c r="F30">
        <v>0</v>
      </c>
      <c r="G30">
        <v>19</v>
      </c>
      <c r="H30">
        <v>19</v>
      </c>
      <c r="J30">
        <v>18.979199999999999</v>
      </c>
      <c r="K30">
        <v>2.0799999999999999E-2</v>
      </c>
    </row>
    <row r="31" spans="1:11" hidden="1" x14ac:dyDescent="0.35">
      <c r="A31" t="s">
        <v>30</v>
      </c>
      <c r="B31">
        <f t="shared" si="0"/>
        <v>2001</v>
      </c>
      <c r="C31">
        <f t="shared" si="1"/>
        <v>12</v>
      </c>
      <c r="D31">
        <f t="shared" si="2"/>
        <v>4</v>
      </c>
      <c r="E31" t="s">
        <v>313</v>
      </c>
      <c r="F31">
        <v>0</v>
      </c>
      <c r="G31">
        <v>19</v>
      </c>
      <c r="H31">
        <v>19</v>
      </c>
      <c r="J31">
        <v>19</v>
      </c>
      <c r="K31">
        <v>0</v>
      </c>
    </row>
    <row r="32" spans="1:11" hidden="1" x14ac:dyDescent="0.35">
      <c r="A32" t="s">
        <v>31</v>
      </c>
      <c r="B32">
        <f t="shared" si="0"/>
        <v>2002</v>
      </c>
      <c r="C32">
        <f t="shared" si="1"/>
        <v>1</v>
      </c>
      <c r="D32">
        <f t="shared" si="2"/>
        <v>1</v>
      </c>
      <c r="E32" t="s">
        <v>313</v>
      </c>
      <c r="F32">
        <v>0</v>
      </c>
      <c r="G32">
        <v>19</v>
      </c>
      <c r="H32">
        <v>19</v>
      </c>
      <c r="J32">
        <v>19</v>
      </c>
      <c r="K32">
        <v>0</v>
      </c>
    </row>
    <row r="33" spans="1:11" hidden="1" x14ac:dyDescent="0.35">
      <c r="A33" t="s">
        <v>32</v>
      </c>
      <c r="B33">
        <f t="shared" si="0"/>
        <v>2002</v>
      </c>
      <c r="C33">
        <f t="shared" si="1"/>
        <v>2</v>
      </c>
      <c r="D33">
        <f t="shared" si="2"/>
        <v>1</v>
      </c>
      <c r="E33" t="s">
        <v>313</v>
      </c>
      <c r="F33">
        <v>-25</v>
      </c>
      <c r="G33">
        <v>19</v>
      </c>
      <c r="H33">
        <v>18.75</v>
      </c>
      <c r="J33">
        <v>19</v>
      </c>
      <c r="K33">
        <v>-0.25</v>
      </c>
    </row>
    <row r="34" spans="1:11" hidden="1" x14ac:dyDescent="0.35">
      <c r="A34" t="s">
        <v>33</v>
      </c>
      <c r="B34">
        <f t="shared" si="0"/>
        <v>2002</v>
      </c>
      <c r="C34">
        <f t="shared" si="1"/>
        <v>3</v>
      </c>
      <c r="D34">
        <f t="shared" si="2"/>
        <v>1</v>
      </c>
      <c r="E34" t="s">
        <v>313</v>
      </c>
      <c r="F34">
        <v>25</v>
      </c>
      <c r="G34">
        <v>18.25</v>
      </c>
      <c r="H34">
        <v>18.5</v>
      </c>
      <c r="J34">
        <v>18.343800000000002</v>
      </c>
      <c r="K34">
        <v>0.15620000000000001</v>
      </c>
    </row>
    <row r="35" spans="1:11" hidden="1" x14ac:dyDescent="0.35">
      <c r="A35" t="s">
        <v>34</v>
      </c>
      <c r="B35">
        <f t="shared" si="0"/>
        <v>2002</v>
      </c>
      <c r="C35">
        <f t="shared" si="1"/>
        <v>4</v>
      </c>
      <c r="D35">
        <f t="shared" si="2"/>
        <v>2</v>
      </c>
      <c r="E35" t="s">
        <v>313</v>
      </c>
      <c r="F35">
        <v>25</v>
      </c>
      <c r="G35">
        <v>18.25</v>
      </c>
      <c r="H35">
        <v>18.5</v>
      </c>
      <c r="J35">
        <v>18.324100000000001</v>
      </c>
      <c r="K35">
        <v>0.1759</v>
      </c>
    </row>
    <row r="36" spans="1:11" hidden="1" x14ac:dyDescent="0.35">
      <c r="A36" t="s">
        <v>35</v>
      </c>
      <c r="B36">
        <f t="shared" si="0"/>
        <v>2002</v>
      </c>
      <c r="C36">
        <f t="shared" si="1"/>
        <v>5</v>
      </c>
      <c r="D36">
        <f t="shared" si="2"/>
        <v>2</v>
      </c>
      <c r="E36" t="s">
        <v>313</v>
      </c>
      <c r="F36">
        <v>0</v>
      </c>
      <c r="G36">
        <v>18.5</v>
      </c>
      <c r="H36">
        <v>18.5</v>
      </c>
      <c r="J36">
        <v>18.464300000000001</v>
      </c>
      <c r="K36">
        <v>3.5700000000000003E-2</v>
      </c>
    </row>
    <row r="37" spans="1:11" hidden="1" x14ac:dyDescent="0.35">
      <c r="A37" t="s">
        <v>36</v>
      </c>
      <c r="B37">
        <f t="shared" si="0"/>
        <v>2002</v>
      </c>
      <c r="C37">
        <f t="shared" si="1"/>
        <v>6</v>
      </c>
      <c r="D37">
        <f t="shared" si="2"/>
        <v>2</v>
      </c>
      <c r="E37" t="s">
        <v>313</v>
      </c>
      <c r="F37">
        <v>0</v>
      </c>
      <c r="G37">
        <v>18.5</v>
      </c>
      <c r="H37">
        <v>18.5</v>
      </c>
      <c r="J37">
        <v>18.468800000000002</v>
      </c>
      <c r="K37">
        <v>3.1199999999999999E-2</v>
      </c>
    </row>
    <row r="38" spans="1:11" hidden="1" x14ac:dyDescent="0.35">
      <c r="A38" t="s">
        <v>37</v>
      </c>
      <c r="B38">
        <f t="shared" si="0"/>
        <v>2002</v>
      </c>
      <c r="C38">
        <f t="shared" si="1"/>
        <v>7</v>
      </c>
      <c r="D38">
        <f t="shared" si="2"/>
        <v>3</v>
      </c>
      <c r="E38" t="s">
        <v>313</v>
      </c>
      <c r="F38">
        <v>-50</v>
      </c>
      <c r="G38">
        <v>18.5</v>
      </c>
      <c r="H38">
        <v>18</v>
      </c>
      <c r="J38">
        <v>18.36</v>
      </c>
      <c r="K38">
        <v>-0.36</v>
      </c>
    </row>
    <row r="39" spans="1:11" hidden="1" x14ac:dyDescent="0.35">
      <c r="A39" t="s">
        <v>38</v>
      </c>
      <c r="B39">
        <f t="shared" si="0"/>
        <v>2002</v>
      </c>
      <c r="C39">
        <f t="shared" si="1"/>
        <v>8</v>
      </c>
      <c r="D39">
        <f t="shared" si="2"/>
        <v>3</v>
      </c>
      <c r="E39" t="s">
        <v>313</v>
      </c>
      <c r="F39">
        <v>0</v>
      </c>
      <c r="G39">
        <v>18</v>
      </c>
      <c r="H39">
        <v>18</v>
      </c>
      <c r="J39">
        <v>17.8977</v>
      </c>
      <c r="K39">
        <v>0.1023</v>
      </c>
    </row>
    <row r="40" spans="1:11" hidden="1" x14ac:dyDescent="0.35">
      <c r="A40" t="s">
        <v>39</v>
      </c>
      <c r="B40">
        <f t="shared" si="0"/>
        <v>2002</v>
      </c>
      <c r="C40">
        <f t="shared" si="1"/>
        <v>9</v>
      </c>
      <c r="D40">
        <f t="shared" si="2"/>
        <v>3</v>
      </c>
      <c r="E40" t="s">
        <v>313</v>
      </c>
      <c r="F40">
        <v>0</v>
      </c>
      <c r="G40">
        <v>18</v>
      </c>
      <c r="H40">
        <v>18</v>
      </c>
      <c r="J40">
        <v>17.95</v>
      </c>
      <c r="K40">
        <v>0.05</v>
      </c>
    </row>
    <row r="41" spans="1:11" hidden="1" x14ac:dyDescent="0.35">
      <c r="A41" t="s">
        <v>40</v>
      </c>
      <c r="B41">
        <f t="shared" si="0"/>
        <v>2002</v>
      </c>
      <c r="C41">
        <f t="shared" si="1"/>
        <v>10</v>
      </c>
      <c r="D41">
        <f t="shared" si="2"/>
        <v>4</v>
      </c>
      <c r="E41" t="s">
        <v>313</v>
      </c>
      <c r="F41">
        <v>0</v>
      </c>
      <c r="G41">
        <v>21</v>
      </c>
      <c r="H41">
        <v>21</v>
      </c>
      <c r="J41">
        <v>21</v>
      </c>
      <c r="K41">
        <v>0</v>
      </c>
    </row>
    <row r="42" spans="1:11" hidden="1" x14ac:dyDescent="0.35">
      <c r="A42" t="s">
        <v>41</v>
      </c>
      <c r="B42">
        <f t="shared" si="0"/>
        <v>2002</v>
      </c>
      <c r="C42">
        <f t="shared" si="1"/>
        <v>11</v>
      </c>
      <c r="D42">
        <f t="shared" si="2"/>
        <v>4</v>
      </c>
      <c r="E42" t="s">
        <v>313</v>
      </c>
      <c r="F42">
        <v>0</v>
      </c>
      <c r="G42">
        <v>22</v>
      </c>
      <c r="H42">
        <v>22</v>
      </c>
      <c r="J42">
        <v>21.885400000000001</v>
      </c>
      <c r="K42">
        <v>0.11459999999999999</v>
      </c>
    </row>
    <row r="43" spans="1:11" hidden="1" x14ac:dyDescent="0.35">
      <c r="A43" t="s">
        <v>42</v>
      </c>
      <c r="B43">
        <f t="shared" si="0"/>
        <v>2002</v>
      </c>
      <c r="C43">
        <f t="shared" si="1"/>
        <v>12</v>
      </c>
      <c r="D43">
        <f t="shared" si="2"/>
        <v>4</v>
      </c>
      <c r="E43" t="s">
        <v>313</v>
      </c>
      <c r="F43">
        <v>100</v>
      </c>
      <c r="G43">
        <v>24</v>
      </c>
      <c r="H43">
        <v>25</v>
      </c>
      <c r="J43">
        <v>24.2</v>
      </c>
      <c r="K43">
        <v>0.8</v>
      </c>
    </row>
    <row r="44" spans="1:11" hidden="1" x14ac:dyDescent="0.35">
      <c r="A44" t="s">
        <v>43</v>
      </c>
      <c r="B44">
        <f t="shared" si="0"/>
        <v>2003</v>
      </c>
      <c r="C44">
        <f t="shared" si="1"/>
        <v>1</v>
      </c>
      <c r="D44">
        <f t="shared" si="2"/>
        <v>1</v>
      </c>
      <c r="E44" t="s">
        <v>313</v>
      </c>
      <c r="F44">
        <v>50</v>
      </c>
      <c r="G44">
        <v>25</v>
      </c>
      <c r="H44">
        <v>25.5</v>
      </c>
      <c r="J44">
        <v>25.363600000000002</v>
      </c>
      <c r="K44">
        <v>0.13639999999999999</v>
      </c>
    </row>
    <row r="45" spans="1:11" hidden="1" x14ac:dyDescent="0.35">
      <c r="A45" t="s">
        <v>44</v>
      </c>
      <c r="B45">
        <f t="shared" si="0"/>
        <v>2003</v>
      </c>
      <c r="C45">
        <f t="shared" si="1"/>
        <v>2</v>
      </c>
      <c r="D45">
        <f t="shared" si="2"/>
        <v>1</v>
      </c>
      <c r="E45" t="s">
        <v>313</v>
      </c>
      <c r="F45">
        <v>0</v>
      </c>
      <c r="G45">
        <v>26.5</v>
      </c>
      <c r="H45">
        <v>26.5</v>
      </c>
      <c r="J45">
        <v>26.5</v>
      </c>
      <c r="K45">
        <v>0</v>
      </c>
    </row>
    <row r="46" spans="1:11" hidden="1" x14ac:dyDescent="0.35">
      <c r="A46" t="s">
        <v>45</v>
      </c>
      <c r="B46">
        <f t="shared" si="0"/>
        <v>2003</v>
      </c>
      <c r="C46">
        <f t="shared" si="1"/>
        <v>3</v>
      </c>
      <c r="D46">
        <f t="shared" si="2"/>
        <v>1</v>
      </c>
      <c r="E46" t="s">
        <v>313</v>
      </c>
      <c r="F46">
        <v>0</v>
      </c>
      <c r="G46">
        <v>26.5</v>
      </c>
      <c r="H46">
        <v>26.5</v>
      </c>
      <c r="J46">
        <v>26.761900000000001</v>
      </c>
      <c r="K46">
        <v>-0.26190000000000002</v>
      </c>
    </row>
    <row r="47" spans="1:11" hidden="1" x14ac:dyDescent="0.35">
      <c r="A47" t="s">
        <v>46</v>
      </c>
      <c r="B47">
        <f t="shared" si="0"/>
        <v>2003</v>
      </c>
      <c r="C47">
        <f t="shared" si="1"/>
        <v>4</v>
      </c>
      <c r="D47">
        <f t="shared" si="2"/>
        <v>2</v>
      </c>
      <c r="E47" t="s">
        <v>313</v>
      </c>
      <c r="F47">
        <v>0</v>
      </c>
      <c r="G47">
        <v>26.5</v>
      </c>
      <c r="H47">
        <v>26.5</v>
      </c>
      <c r="J47">
        <v>26.657900000000001</v>
      </c>
      <c r="K47">
        <v>-0.15790000000000001</v>
      </c>
    </row>
    <row r="48" spans="1:11" hidden="1" x14ac:dyDescent="0.35">
      <c r="A48" t="s">
        <v>47</v>
      </c>
      <c r="B48">
        <f t="shared" si="0"/>
        <v>2003</v>
      </c>
      <c r="C48">
        <f t="shared" si="1"/>
        <v>5</v>
      </c>
      <c r="D48">
        <f t="shared" si="2"/>
        <v>2</v>
      </c>
      <c r="E48" t="s">
        <v>313</v>
      </c>
      <c r="F48">
        <v>0</v>
      </c>
      <c r="G48">
        <v>26.5</v>
      </c>
      <c r="H48">
        <v>26.5</v>
      </c>
      <c r="J48">
        <v>26.452400000000001</v>
      </c>
      <c r="K48">
        <v>4.7600000000000003E-2</v>
      </c>
    </row>
    <row r="49" spans="1:11" hidden="1" x14ac:dyDescent="0.35">
      <c r="A49" t="s">
        <v>48</v>
      </c>
      <c r="B49">
        <f t="shared" si="0"/>
        <v>2003</v>
      </c>
      <c r="C49">
        <f t="shared" si="1"/>
        <v>6</v>
      </c>
      <c r="D49">
        <f t="shared" si="2"/>
        <v>2</v>
      </c>
      <c r="E49" t="s">
        <v>313</v>
      </c>
      <c r="F49">
        <v>-50</v>
      </c>
      <c r="G49">
        <v>26.5</v>
      </c>
      <c r="H49">
        <v>26</v>
      </c>
      <c r="J49">
        <v>26.220600000000001</v>
      </c>
      <c r="K49">
        <v>-0.22059999999999999</v>
      </c>
    </row>
    <row r="50" spans="1:11" hidden="1" x14ac:dyDescent="0.35">
      <c r="A50" t="s">
        <v>49</v>
      </c>
      <c r="B50">
        <f t="shared" si="0"/>
        <v>2003</v>
      </c>
      <c r="C50">
        <f t="shared" si="1"/>
        <v>7</v>
      </c>
      <c r="D50">
        <f t="shared" si="2"/>
        <v>3</v>
      </c>
      <c r="E50" t="s">
        <v>313</v>
      </c>
      <c r="F50">
        <v>0</v>
      </c>
      <c r="G50">
        <v>24.5</v>
      </c>
      <c r="H50">
        <v>24.5</v>
      </c>
      <c r="J50">
        <v>24.375</v>
      </c>
      <c r="K50">
        <v>0.125</v>
      </c>
    </row>
    <row r="51" spans="1:11" hidden="1" x14ac:dyDescent="0.35">
      <c r="A51" t="s">
        <v>50</v>
      </c>
      <c r="B51">
        <f t="shared" si="0"/>
        <v>2003</v>
      </c>
      <c r="C51">
        <f t="shared" si="1"/>
        <v>8</v>
      </c>
      <c r="D51">
        <f t="shared" si="2"/>
        <v>3</v>
      </c>
      <c r="E51" t="s">
        <v>313</v>
      </c>
      <c r="F51">
        <v>-100</v>
      </c>
      <c r="G51">
        <v>23</v>
      </c>
      <c r="H51">
        <v>22</v>
      </c>
      <c r="J51">
        <v>22.777799999999999</v>
      </c>
      <c r="K51">
        <v>-0.77780000000000005</v>
      </c>
    </row>
    <row r="52" spans="1:11" hidden="1" x14ac:dyDescent="0.35">
      <c r="A52" t="s">
        <v>51</v>
      </c>
      <c r="B52">
        <f t="shared" si="0"/>
        <v>2003</v>
      </c>
      <c r="C52">
        <f t="shared" si="1"/>
        <v>9</v>
      </c>
      <c r="D52">
        <f t="shared" si="2"/>
        <v>3</v>
      </c>
      <c r="E52" t="s">
        <v>313</v>
      </c>
      <c r="F52">
        <v>0</v>
      </c>
      <c r="G52">
        <v>20</v>
      </c>
      <c r="H52">
        <v>20</v>
      </c>
      <c r="J52">
        <v>20</v>
      </c>
      <c r="K52">
        <v>0</v>
      </c>
    </row>
    <row r="53" spans="1:11" hidden="1" x14ac:dyDescent="0.35">
      <c r="A53" t="s">
        <v>52</v>
      </c>
      <c r="B53">
        <f t="shared" si="0"/>
        <v>2003</v>
      </c>
      <c r="C53">
        <f t="shared" si="1"/>
        <v>10</v>
      </c>
      <c r="D53">
        <f t="shared" si="2"/>
        <v>4</v>
      </c>
      <c r="E53" t="s">
        <v>313</v>
      </c>
      <c r="F53">
        <v>0</v>
      </c>
      <c r="G53">
        <v>19</v>
      </c>
      <c r="H53">
        <v>19</v>
      </c>
      <c r="J53">
        <v>18.842099999999999</v>
      </c>
      <c r="K53">
        <v>0.15790000000000001</v>
      </c>
    </row>
    <row r="54" spans="1:11" hidden="1" x14ac:dyDescent="0.35">
      <c r="A54" t="s">
        <v>53</v>
      </c>
      <c r="B54">
        <f t="shared" si="0"/>
        <v>2003</v>
      </c>
      <c r="C54">
        <f t="shared" si="1"/>
        <v>11</v>
      </c>
      <c r="D54">
        <f t="shared" si="2"/>
        <v>4</v>
      </c>
      <c r="E54" t="s">
        <v>313</v>
      </c>
      <c r="F54">
        <v>-50</v>
      </c>
      <c r="G54">
        <v>18</v>
      </c>
      <c r="H54">
        <v>17.5</v>
      </c>
      <c r="J54">
        <v>18.059999999999999</v>
      </c>
      <c r="K54">
        <v>-0.56000000000000005</v>
      </c>
    </row>
    <row r="55" spans="1:11" hidden="1" x14ac:dyDescent="0.35">
      <c r="A55" t="s">
        <v>54</v>
      </c>
      <c r="B55">
        <f t="shared" si="0"/>
        <v>2003</v>
      </c>
      <c r="C55">
        <f t="shared" si="1"/>
        <v>12</v>
      </c>
      <c r="D55">
        <f t="shared" si="2"/>
        <v>4</v>
      </c>
      <c r="E55" t="s">
        <v>313</v>
      </c>
      <c r="F55">
        <v>0</v>
      </c>
      <c r="G55">
        <v>16.5</v>
      </c>
      <c r="H55">
        <v>16.5</v>
      </c>
      <c r="J55">
        <v>16.440000000000001</v>
      </c>
      <c r="K55">
        <v>0.06</v>
      </c>
    </row>
    <row r="56" spans="1:11" hidden="1" x14ac:dyDescent="0.35">
      <c r="A56" t="s">
        <v>55</v>
      </c>
      <c r="B56">
        <f t="shared" si="0"/>
        <v>2004</v>
      </c>
      <c r="C56">
        <f t="shared" si="1"/>
        <v>1</v>
      </c>
      <c r="D56">
        <f t="shared" si="2"/>
        <v>1</v>
      </c>
      <c r="E56" t="s">
        <v>313</v>
      </c>
      <c r="F56">
        <v>50</v>
      </c>
      <c r="G56">
        <v>16</v>
      </c>
      <c r="H56">
        <v>16.5</v>
      </c>
      <c r="J56">
        <v>15.946999999999999</v>
      </c>
      <c r="K56">
        <v>0.55300000000000005</v>
      </c>
    </row>
    <row r="57" spans="1:11" hidden="1" x14ac:dyDescent="0.35">
      <c r="A57" t="s">
        <v>56</v>
      </c>
      <c r="B57">
        <f t="shared" si="0"/>
        <v>2004</v>
      </c>
      <c r="C57">
        <f t="shared" si="1"/>
        <v>2</v>
      </c>
      <c r="D57">
        <f t="shared" si="2"/>
        <v>1</v>
      </c>
      <c r="E57" t="s">
        <v>313</v>
      </c>
      <c r="F57">
        <v>0</v>
      </c>
      <c r="G57">
        <v>16.5</v>
      </c>
      <c r="H57">
        <v>16.5</v>
      </c>
      <c r="J57">
        <v>16.489999999999998</v>
      </c>
      <c r="K57">
        <v>0.01</v>
      </c>
    </row>
    <row r="58" spans="1:11" hidden="1" x14ac:dyDescent="0.35">
      <c r="A58" t="s">
        <v>57</v>
      </c>
      <c r="B58">
        <f t="shared" si="0"/>
        <v>2004</v>
      </c>
      <c r="C58">
        <f t="shared" si="1"/>
        <v>3</v>
      </c>
      <c r="D58">
        <f t="shared" si="2"/>
        <v>1</v>
      </c>
      <c r="E58" t="s">
        <v>313</v>
      </c>
      <c r="F58">
        <v>-25</v>
      </c>
      <c r="G58">
        <v>16.5</v>
      </c>
      <c r="H58">
        <v>16.25</v>
      </c>
      <c r="J58">
        <v>16.490400000000001</v>
      </c>
      <c r="K58">
        <v>-0.2404</v>
      </c>
    </row>
    <row r="59" spans="1:11" hidden="1" x14ac:dyDescent="0.35">
      <c r="A59" t="s">
        <v>58</v>
      </c>
      <c r="B59">
        <f t="shared" si="0"/>
        <v>2004</v>
      </c>
      <c r="C59">
        <f t="shared" si="1"/>
        <v>4</v>
      </c>
      <c r="D59">
        <f t="shared" si="2"/>
        <v>2</v>
      </c>
      <c r="E59" t="s">
        <v>313</v>
      </c>
      <c r="F59">
        <v>0</v>
      </c>
      <c r="G59">
        <v>16</v>
      </c>
      <c r="H59">
        <v>16</v>
      </c>
      <c r="J59">
        <v>16</v>
      </c>
      <c r="K59">
        <v>0</v>
      </c>
    </row>
    <row r="60" spans="1:11" hidden="1" x14ac:dyDescent="0.35">
      <c r="A60" t="s">
        <v>59</v>
      </c>
      <c r="B60">
        <f t="shared" si="0"/>
        <v>2004</v>
      </c>
      <c r="C60">
        <f t="shared" si="1"/>
        <v>5</v>
      </c>
      <c r="D60">
        <f t="shared" si="2"/>
        <v>2</v>
      </c>
      <c r="E60" t="s">
        <v>313</v>
      </c>
      <c r="F60">
        <v>0</v>
      </c>
      <c r="G60">
        <v>16</v>
      </c>
      <c r="H60">
        <v>16</v>
      </c>
      <c r="J60">
        <v>15.875</v>
      </c>
      <c r="K60">
        <v>0.125</v>
      </c>
    </row>
    <row r="61" spans="1:11" hidden="1" x14ac:dyDescent="0.35">
      <c r="A61" t="s">
        <v>60</v>
      </c>
      <c r="B61">
        <f t="shared" si="0"/>
        <v>2004</v>
      </c>
      <c r="C61">
        <f t="shared" si="1"/>
        <v>6</v>
      </c>
      <c r="D61">
        <f t="shared" si="2"/>
        <v>2</v>
      </c>
      <c r="E61" t="s">
        <v>313</v>
      </c>
      <c r="F61">
        <v>0</v>
      </c>
      <c r="G61">
        <v>16</v>
      </c>
      <c r="H61">
        <v>16</v>
      </c>
      <c r="J61">
        <v>16</v>
      </c>
      <c r="K61">
        <v>0</v>
      </c>
    </row>
    <row r="62" spans="1:11" hidden="1" x14ac:dyDescent="0.35">
      <c r="A62" t="s">
        <v>61</v>
      </c>
      <c r="B62">
        <f t="shared" si="0"/>
        <v>2004</v>
      </c>
      <c r="C62">
        <f t="shared" si="1"/>
        <v>7</v>
      </c>
      <c r="D62">
        <f t="shared" si="2"/>
        <v>3</v>
      </c>
      <c r="E62" t="s">
        <v>313</v>
      </c>
      <c r="F62">
        <v>0</v>
      </c>
      <c r="G62">
        <v>16</v>
      </c>
      <c r="H62">
        <v>16</v>
      </c>
      <c r="J62">
        <v>16</v>
      </c>
      <c r="K62">
        <v>0</v>
      </c>
    </row>
    <row r="63" spans="1:11" hidden="1" x14ac:dyDescent="0.35">
      <c r="A63" t="s">
        <v>62</v>
      </c>
      <c r="B63">
        <f t="shared" si="0"/>
        <v>2004</v>
      </c>
      <c r="C63">
        <f t="shared" si="1"/>
        <v>8</v>
      </c>
      <c r="D63">
        <f t="shared" si="2"/>
        <v>3</v>
      </c>
      <c r="E63" t="s">
        <v>313</v>
      </c>
      <c r="F63">
        <v>0</v>
      </c>
      <c r="G63">
        <v>16</v>
      </c>
      <c r="H63">
        <v>16</v>
      </c>
      <c r="J63">
        <v>16</v>
      </c>
      <c r="K63">
        <v>0</v>
      </c>
    </row>
    <row r="64" spans="1:11" hidden="1" x14ac:dyDescent="0.35">
      <c r="A64" t="s">
        <v>63</v>
      </c>
      <c r="B64">
        <f t="shared" si="0"/>
        <v>2004</v>
      </c>
      <c r="C64">
        <f t="shared" si="1"/>
        <v>9</v>
      </c>
      <c r="D64">
        <f t="shared" si="2"/>
        <v>3</v>
      </c>
      <c r="E64" t="s">
        <v>313</v>
      </c>
      <c r="F64">
        <v>0</v>
      </c>
      <c r="G64">
        <v>16.25</v>
      </c>
      <c r="H64">
        <v>16.25</v>
      </c>
      <c r="J64">
        <v>16.2788</v>
      </c>
      <c r="K64">
        <v>-2.8799999999999999E-2</v>
      </c>
    </row>
    <row r="65" spans="1:11" hidden="1" x14ac:dyDescent="0.35">
      <c r="A65" t="s">
        <v>64</v>
      </c>
      <c r="B65">
        <f t="shared" si="0"/>
        <v>2004</v>
      </c>
      <c r="C65">
        <f t="shared" si="1"/>
        <v>10</v>
      </c>
      <c r="D65">
        <f t="shared" si="2"/>
        <v>4</v>
      </c>
      <c r="E65" t="s">
        <v>313</v>
      </c>
      <c r="F65">
        <v>25</v>
      </c>
      <c r="G65">
        <v>16.5</v>
      </c>
      <c r="H65">
        <v>16.75</v>
      </c>
      <c r="J65">
        <v>16.536999999999999</v>
      </c>
      <c r="K65">
        <v>0.21299999999999999</v>
      </c>
    </row>
    <row r="66" spans="1:11" hidden="1" x14ac:dyDescent="0.35">
      <c r="A66" t="s">
        <v>65</v>
      </c>
      <c r="B66">
        <f t="shared" si="0"/>
        <v>2004</v>
      </c>
      <c r="C66">
        <f t="shared" si="1"/>
        <v>11</v>
      </c>
      <c r="D66">
        <f t="shared" si="2"/>
        <v>4</v>
      </c>
      <c r="E66" t="s">
        <v>313</v>
      </c>
      <c r="F66">
        <v>0</v>
      </c>
      <c r="G66">
        <v>17.25</v>
      </c>
      <c r="H66">
        <v>17.25</v>
      </c>
      <c r="J66">
        <v>17.238600000000002</v>
      </c>
      <c r="K66">
        <v>1.14E-2</v>
      </c>
    </row>
    <row r="67" spans="1:11" hidden="1" x14ac:dyDescent="0.35">
      <c r="A67" t="s">
        <v>66</v>
      </c>
      <c r="B67">
        <f t="shared" ref="B67:B130" si="3">LEFT(A67,4)*1</f>
        <v>2004</v>
      </c>
      <c r="C67">
        <f t="shared" ref="C67:C130" si="4">MID(A67,6,2)*1</f>
        <v>12</v>
      </c>
      <c r="D67">
        <f t="shared" ref="D67:D130" si="5">ROUNDUP(C67/3,0)</f>
        <v>4</v>
      </c>
      <c r="E67" t="s">
        <v>313</v>
      </c>
      <c r="F67">
        <v>0</v>
      </c>
      <c r="G67">
        <v>17.75</v>
      </c>
      <c r="H67">
        <v>17.75</v>
      </c>
      <c r="J67">
        <v>17.708300000000001</v>
      </c>
      <c r="K67">
        <v>4.1700000000000001E-2</v>
      </c>
    </row>
    <row r="68" spans="1:11" hidden="1" x14ac:dyDescent="0.35">
      <c r="A68" t="s">
        <v>67</v>
      </c>
      <c r="B68">
        <f t="shared" si="3"/>
        <v>2005</v>
      </c>
      <c r="C68">
        <f t="shared" si="4"/>
        <v>1</v>
      </c>
      <c r="D68">
        <f t="shared" si="5"/>
        <v>1</v>
      </c>
      <c r="E68" t="s">
        <v>313</v>
      </c>
      <c r="F68">
        <v>0</v>
      </c>
      <c r="G68">
        <v>18.25</v>
      </c>
      <c r="H68">
        <v>18.25</v>
      </c>
      <c r="J68">
        <v>18.177099999999999</v>
      </c>
      <c r="K68">
        <v>7.2900000000000006E-2</v>
      </c>
    </row>
    <row r="69" spans="1:11" hidden="1" x14ac:dyDescent="0.35">
      <c r="A69" t="s">
        <v>68</v>
      </c>
      <c r="B69">
        <f t="shared" si="3"/>
        <v>2005</v>
      </c>
      <c r="C69">
        <f t="shared" si="4"/>
        <v>2</v>
      </c>
      <c r="D69">
        <f t="shared" si="5"/>
        <v>1</v>
      </c>
      <c r="E69" t="s">
        <v>313</v>
      </c>
      <c r="F69">
        <v>0</v>
      </c>
      <c r="G69">
        <v>18.75</v>
      </c>
      <c r="H69">
        <v>18.75</v>
      </c>
      <c r="J69">
        <v>18.75</v>
      </c>
      <c r="K69">
        <v>0</v>
      </c>
    </row>
    <row r="70" spans="1:11" hidden="1" x14ac:dyDescent="0.35">
      <c r="A70" t="s">
        <v>69</v>
      </c>
      <c r="B70">
        <f t="shared" si="3"/>
        <v>2005</v>
      </c>
      <c r="C70">
        <f t="shared" si="4"/>
        <v>3</v>
      </c>
      <c r="D70">
        <f t="shared" si="5"/>
        <v>1</v>
      </c>
      <c r="E70" t="s">
        <v>313</v>
      </c>
      <c r="F70">
        <v>0</v>
      </c>
      <c r="G70">
        <v>19.25</v>
      </c>
      <c r="H70">
        <v>19.25</v>
      </c>
      <c r="J70">
        <v>19.1417</v>
      </c>
      <c r="K70">
        <v>0.10829999999999999</v>
      </c>
    </row>
    <row r="71" spans="1:11" hidden="1" x14ac:dyDescent="0.35">
      <c r="A71" t="s">
        <v>70</v>
      </c>
      <c r="B71">
        <f t="shared" si="3"/>
        <v>2005</v>
      </c>
      <c r="C71">
        <f t="shared" si="4"/>
        <v>4</v>
      </c>
      <c r="D71">
        <f t="shared" si="5"/>
        <v>2</v>
      </c>
      <c r="E71" t="s">
        <v>313</v>
      </c>
      <c r="F71">
        <v>25</v>
      </c>
      <c r="G71">
        <v>19.25</v>
      </c>
      <c r="H71">
        <v>19.5</v>
      </c>
      <c r="J71">
        <v>19.3583</v>
      </c>
      <c r="K71">
        <v>0.14169999999999999</v>
      </c>
    </row>
    <row r="72" spans="1:11" hidden="1" x14ac:dyDescent="0.35">
      <c r="A72" t="s">
        <v>71</v>
      </c>
      <c r="B72">
        <f t="shared" si="3"/>
        <v>2005</v>
      </c>
      <c r="C72">
        <f t="shared" si="4"/>
        <v>5</v>
      </c>
      <c r="D72">
        <f t="shared" si="5"/>
        <v>2</v>
      </c>
      <c r="E72" t="s">
        <v>313</v>
      </c>
      <c r="F72">
        <v>25</v>
      </c>
      <c r="G72">
        <v>19.5</v>
      </c>
      <c r="H72">
        <v>19.75</v>
      </c>
      <c r="J72">
        <v>19.621600000000001</v>
      </c>
      <c r="K72">
        <v>0.12839999999999999</v>
      </c>
    </row>
    <row r="73" spans="1:11" hidden="1" x14ac:dyDescent="0.35">
      <c r="A73" t="s">
        <v>72</v>
      </c>
      <c r="B73">
        <f t="shared" si="3"/>
        <v>2005</v>
      </c>
      <c r="C73">
        <f t="shared" si="4"/>
        <v>6</v>
      </c>
      <c r="D73">
        <f t="shared" si="5"/>
        <v>2</v>
      </c>
      <c r="E73" t="s">
        <v>313</v>
      </c>
      <c r="F73">
        <v>0</v>
      </c>
      <c r="G73">
        <v>19.75</v>
      </c>
      <c r="H73">
        <v>19.75</v>
      </c>
      <c r="J73">
        <v>19.760000000000002</v>
      </c>
      <c r="K73">
        <v>-0.01</v>
      </c>
    </row>
    <row r="74" spans="1:11" hidden="1" x14ac:dyDescent="0.35">
      <c r="A74" t="s">
        <v>73</v>
      </c>
      <c r="B74">
        <f t="shared" si="3"/>
        <v>2005</v>
      </c>
      <c r="C74">
        <f t="shared" si="4"/>
        <v>7</v>
      </c>
      <c r="D74">
        <f t="shared" si="5"/>
        <v>3</v>
      </c>
      <c r="E74" t="s">
        <v>313</v>
      </c>
      <c r="F74">
        <v>0</v>
      </c>
      <c r="G74">
        <v>19.75</v>
      </c>
      <c r="H74">
        <v>19.75</v>
      </c>
      <c r="J74">
        <v>19.75</v>
      </c>
      <c r="K74">
        <v>0</v>
      </c>
    </row>
    <row r="75" spans="1:11" hidden="1" x14ac:dyDescent="0.35">
      <c r="A75" t="s">
        <v>74</v>
      </c>
      <c r="B75">
        <f t="shared" si="3"/>
        <v>2005</v>
      </c>
      <c r="C75">
        <f t="shared" si="4"/>
        <v>8</v>
      </c>
      <c r="D75">
        <f t="shared" si="5"/>
        <v>3</v>
      </c>
      <c r="E75" t="s">
        <v>313</v>
      </c>
      <c r="F75">
        <v>0</v>
      </c>
      <c r="G75">
        <v>19.75</v>
      </c>
      <c r="H75">
        <v>19.75</v>
      </c>
      <c r="J75">
        <v>19.703700000000001</v>
      </c>
      <c r="K75">
        <v>4.6300000000000001E-2</v>
      </c>
    </row>
    <row r="76" spans="1:11" hidden="1" x14ac:dyDescent="0.35">
      <c r="A76" t="s">
        <v>75</v>
      </c>
      <c r="B76">
        <f t="shared" si="3"/>
        <v>2005</v>
      </c>
      <c r="C76">
        <f t="shared" si="4"/>
        <v>9</v>
      </c>
      <c r="D76">
        <f t="shared" si="5"/>
        <v>3</v>
      </c>
      <c r="E76" t="s">
        <v>313</v>
      </c>
      <c r="F76">
        <v>0</v>
      </c>
      <c r="G76">
        <v>19.5</v>
      </c>
      <c r="H76">
        <v>19.5</v>
      </c>
      <c r="J76">
        <v>19.451899999999998</v>
      </c>
      <c r="K76">
        <v>4.8099999999999997E-2</v>
      </c>
    </row>
    <row r="77" spans="1:11" hidden="1" x14ac:dyDescent="0.35">
      <c r="A77" t="s">
        <v>76</v>
      </c>
      <c r="B77">
        <f t="shared" si="3"/>
        <v>2005</v>
      </c>
      <c r="C77">
        <f t="shared" si="4"/>
        <v>10</v>
      </c>
      <c r="D77">
        <f t="shared" si="5"/>
        <v>4</v>
      </c>
      <c r="E77" t="s">
        <v>313</v>
      </c>
      <c r="F77">
        <v>0</v>
      </c>
      <c r="G77">
        <v>19</v>
      </c>
      <c r="H77">
        <v>19</v>
      </c>
      <c r="J77">
        <v>19.098199999999999</v>
      </c>
      <c r="K77">
        <v>-9.8199999999999996E-2</v>
      </c>
    </row>
    <row r="78" spans="1:11" hidden="1" x14ac:dyDescent="0.35">
      <c r="A78" t="s">
        <v>77</v>
      </c>
      <c r="B78">
        <f t="shared" si="3"/>
        <v>2005</v>
      </c>
      <c r="C78">
        <f t="shared" si="4"/>
        <v>11</v>
      </c>
      <c r="D78">
        <f t="shared" si="5"/>
        <v>4</v>
      </c>
      <c r="E78" t="s">
        <v>313</v>
      </c>
      <c r="F78">
        <v>0</v>
      </c>
      <c r="G78">
        <v>18.5</v>
      </c>
      <c r="H78">
        <v>18.5</v>
      </c>
      <c r="J78">
        <v>18.4741</v>
      </c>
      <c r="K78">
        <v>2.5899999999999999E-2</v>
      </c>
    </row>
    <row r="79" spans="1:11" hidden="1" x14ac:dyDescent="0.35">
      <c r="A79" t="s">
        <v>78</v>
      </c>
      <c r="B79">
        <f t="shared" si="3"/>
        <v>2005</v>
      </c>
      <c r="C79">
        <f t="shared" si="4"/>
        <v>12</v>
      </c>
      <c r="D79">
        <f t="shared" si="5"/>
        <v>4</v>
      </c>
      <c r="E79" t="s">
        <v>313</v>
      </c>
      <c r="F79">
        <v>0</v>
      </c>
      <c r="G79">
        <v>18</v>
      </c>
      <c r="H79">
        <v>18</v>
      </c>
      <c r="J79">
        <v>17.948499999999999</v>
      </c>
      <c r="K79">
        <v>5.1499999999999997E-2</v>
      </c>
    </row>
    <row r="80" spans="1:11" hidden="1" x14ac:dyDescent="0.35">
      <c r="A80" t="s">
        <v>79</v>
      </c>
      <c r="B80">
        <f t="shared" si="3"/>
        <v>2006</v>
      </c>
      <c r="C80">
        <f t="shared" si="4"/>
        <v>1</v>
      </c>
      <c r="D80">
        <f t="shared" si="5"/>
        <v>1</v>
      </c>
      <c r="E80" t="s">
        <v>313</v>
      </c>
      <c r="F80">
        <v>0</v>
      </c>
      <c r="G80">
        <v>17.25</v>
      </c>
      <c r="H80">
        <v>17.25</v>
      </c>
      <c r="J80">
        <v>17.333300000000001</v>
      </c>
      <c r="K80">
        <v>-8.3299999999999999E-2</v>
      </c>
    </row>
    <row r="81" spans="1:11" hidden="1" x14ac:dyDescent="0.35">
      <c r="A81" t="s">
        <v>80</v>
      </c>
      <c r="B81">
        <f t="shared" si="3"/>
        <v>2006</v>
      </c>
      <c r="C81">
        <f t="shared" si="4"/>
        <v>2</v>
      </c>
      <c r="D81">
        <f t="shared" si="5"/>
        <v>1</v>
      </c>
      <c r="E81" t="s">
        <v>313</v>
      </c>
      <c r="F81">
        <v>0</v>
      </c>
      <c r="G81">
        <v>17.25</v>
      </c>
      <c r="H81">
        <v>17.25</v>
      </c>
      <c r="J81">
        <v>17.25</v>
      </c>
      <c r="K81">
        <v>0</v>
      </c>
    </row>
    <row r="82" spans="1:11" hidden="1" x14ac:dyDescent="0.35">
      <c r="A82" t="s">
        <v>81</v>
      </c>
      <c r="B82">
        <f t="shared" si="3"/>
        <v>2006</v>
      </c>
      <c r="C82">
        <f t="shared" si="4"/>
        <v>3</v>
      </c>
      <c r="D82">
        <f t="shared" si="5"/>
        <v>1</v>
      </c>
      <c r="E82" t="s">
        <v>313</v>
      </c>
      <c r="F82">
        <v>0</v>
      </c>
      <c r="G82">
        <v>16.5</v>
      </c>
      <c r="H82">
        <v>16.5</v>
      </c>
      <c r="J82">
        <v>16.460899999999999</v>
      </c>
      <c r="K82">
        <v>3.9100000000000003E-2</v>
      </c>
    </row>
    <row r="83" spans="1:11" hidden="1" x14ac:dyDescent="0.35">
      <c r="A83" t="s">
        <v>82</v>
      </c>
      <c r="B83">
        <f t="shared" si="3"/>
        <v>2006</v>
      </c>
      <c r="C83">
        <f t="shared" si="4"/>
        <v>4</v>
      </c>
      <c r="D83">
        <f t="shared" si="5"/>
        <v>2</v>
      </c>
      <c r="E83" t="s">
        <v>313</v>
      </c>
      <c r="F83">
        <v>0</v>
      </c>
      <c r="G83">
        <v>15.75</v>
      </c>
      <c r="H83">
        <v>15.75</v>
      </c>
      <c r="J83">
        <v>15.758900000000001</v>
      </c>
      <c r="K83">
        <v>-8.8999999999999999E-3</v>
      </c>
    </row>
    <row r="84" spans="1:11" hidden="1" x14ac:dyDescent="0.35">
      <c r="A84" t="s">
        <v>83</v>
      </c>
      <c r="B84">
        <f t="shared" si="3"/>
        <v>2006</v>
      </c>
      <c r="C84">
        <f t="shared" si="4"/>
        <v>5</v>
      </c>
      <c r="D84">
        <f t="shared" si="5"/>
        <v>2</v>
      </c>
      <c r="E84" t="s">
        <v>313</v>
      </c>
      <c r="F84">
        <v>0</v>
      </c>
      <c r="G84">
        <v>15.25</v>
      </c>
      <c r="H84">
        <v>15.25</v>
      </c>
      <c r="J84">
        <v>15.2333</v>
      </c>
      <c r="K84">
        <v>1.67E-2</v>
      </c>
    </row>
    <row r="85" spans="1:11" hidden="1" x14ac:dyDescent="0.35">
      <c r="A85" t="s">
        <v>84</v>
      </c>
      <c r="B85">
        <f t="shared" si="3"/>
        <v>2006</v>
      </c>
      <c r="C85">
        <f t="shared" si="4"/>
        <v>6</v>
      </c>
      <c r="D85">
        <f t="shared" si="5"/>
        <v>2</v>
      </c>
      <c r="E85" t="s">
        <v>313</v>
      </c>
      <c r="F85">
        <v>0</v>
      </c>
      <c r="G85">
        <v>15.25</v>
      </c>
      <c r="H85">
        <v>15.25</v>
      </c>
      <c r="J85">
        <v>15.25</v>
      </c>
      <c r="K85">
        <v>0</v>
      </c>
    </row>
    <row r="86" spans="1:11" hidden="1" x14ac:dyDescent="0.35">
      <c r="A86" t="s">
        <v>85</v>
      </c>
      <c r="B86">
        <f t="shared" si="3"/>
        <v>2006</v>
      </c>
      <c r="C86">
        <f t="shared" si="4"/>
        <v>7</v>
      </c>
      <c r="D86">
        <f t="shared" si="5"/>
        <v>3</v>
      </c>
      <c r="E86" t="s">
        <v>313</v>
      </c>
      <c r="F86">
        <v>0</v>
      </c>
      <c r="G86">
        <v>14.75</v>
      </c>
      <c r="H86">
        <v>14.75</v>
      </c>
      <c r="J86">
        <v>14.758900000000001</v>
      </c>
      <c r="K86">
        <v>-8.8999999999999999E-3</v>
      </c>
    </row>
    <row r="87" spans="1:11" hidden="1" x14ac:dyDescent="0.35">
      <c r="A87" t="s">
        <v>86</v>
      </c>
      <c r="B87">
        <f t="shared" si="3"/>
        <v>2006</v>
      </c>
      <c r="C87">
        <f t="shared" si="4"/>
        <v>8</v>
      </c>
      <c r="D87">
        <f t="shared" si="5"/>
        <v>3</v>
      </c>
      <c r="E87" t="s">
        <v>313</v>
      </c>
      <c r="F87">
        <v>-25</v>
      </c>
      <c r="G87">
        <v>14.5</v>
      </c>
      <c r="H87">
        <v>14.25</v>
      </c>
      <c r="J87">
        <v>14.4597</v>
      </c>
      <c r="K87">
        <v>-0.2097</v>
      </c>
    </row>
    <row r="88" spans="1:11" hidden="1" x14ac:dyDescent="0.35">
      <c r="A88" t="s">
        <v>87</v>
      </c>
      <c r="B88">
        <f t="shared" si="3"/>
        <v>2006</v>
      </c>
      <c r="C88">
        <f t="shared" si="4"/>
        <v>9</v>
      </c>
      <c r="D88">
        <f t="shared" si="5"/>
        <v>3</v>
      </c>
      <c r="E88" t="s">
        <v>313</v>
      </c>
      <c r="F88">
        <v>0</v>
      </c>
      <c r="G88">
        <v>14.25</v>
      </c>
      <c r="H88">
        <v>14.25</v>
      </c>
      <c r="J88">
        <v>14.25</v>
      </c>
      <c r="K88">
        <v>0</v>
      </c>
    </row>
    <row r="89" spans="1:11" hidden="1" x14ac:dyDescent="0.35">
      <c r="A89" t="s">
        <v>88</v>
      </c>
      <c r="B89">
        <f t="shared" si="3"/>
        <v>2006</v>
      </c>
      <c r="C89">
        <f t="shared" si="4"/>
        <v>10</v>
      </c>
      <c r="D89">
        <f t="shared" si="5"/>
        <v>4</v>
      </c>
      <c r="E89" t="s">
        <v>313</v>
      </c>
      <c r="F89">
        <v>0</v>
      </c>
      <c r="G89">
        <v>13.75</v>
      </c>
      <c r="H89">
        <v>13.75</v>
      </c>
      <c r="J89">
        <v>13.77</v>
      </c>
      <c r="K89">
        <v>-0.02</v>
      </c>
    </row>
    <row r="90" spans="1:11" hidden="1" x14ac:dyDescent="0.35">
      <c r="A90" t="s">
        <v>89</v>
      </c>
      <c r="B90">
        <f t="shared" si="3"/>
        <v>2006</v>
      </c>
      <c r="C90">
        <f t="shared" si="4"/>
        <v>11</v>
      </c>
      <c r="D90">
        <f t="shared" si="5"/>
        <v>4</v>
      </c>
      <c r="E90" t="s">
        <v>313</v>
      </c>
      <c r="F90">
        <v>0</v>
      </c>
      <c r="G90">
        <v>13.25</v>
      </c>
      <c r="H90">
        <v>13.25</v>
      </c>
      <c r="J90">
        <v>13.25</v>
      </c>
      <c r="K90">
        <v>0</v>
      </c>
    </row>
    <row r="91" spans="1:11" hidden="1" x14ac:dyDescent="0.35">
      <c r="A91" t="s">
        <v>90</v>
      </c>
      <c r="B91">
        <f t="shared" si="3"/>
        <v>2006</v>
      </c>
      <c r="C91">
        <f t="shared" si="4"/>
        <v>12</v>
      </c>
      <c r="D91">
        <f t="shared" si="5"/>
        <v>4</v>
      </c>
      <c r="E91" t="s">
        <v>313</v>
      </c>
      <c r="F91">
        <v>0</v>
      </c>
      <c r="G91">
        <v>13.25</v>
      </c>
      <c r="H91">
        <v>13.25</v>
      </c>
      <c r="J91">
        <v>13.294600000000001</v>
      </c>
      <c r="K91">
        <v>-4.4600000000000001E-2</v>
      </c>
    </row>
    <row r="92" spans="1:11" hidden="1" x14ac:dyDescent="0.35">
      <c r="A92" t="s">
        <v>91</v>
      </c>
      <c r="B92">
        <f t="shared" si="3"/>
        <v>2007</v>
      </c>
      <c r="C92">
        <f t="shared" si="4"/>
        <v>1</v>
      </c>
      <c r="D92">
        <f t="shared" si="5"/>
        <v>1</v>
      </c>
      <c r="E92" t="s">
        <v>313</v>
      </c>
      <c r="F92">
        <v>0</v>
      </c>
      <c r="G92">
        <v>13</v>
      </c>
      <c r="H92">
        <v>13</v>
      </c>
      <c r="J92">
        <v>12.942299999999999</v>
      </c>
      <c r="K92">
        <v>5.7700000000000001E-2</v>
      </c>
    </row>
    <row r="93" spans="1:11" hidden="1" x14ac:dyDescent="0.35">
      <c r="A93" t="s">
        <v>92</v>
      </c>
      <c r="B93">
        <f t="shared" si="3"/>
        <v>2007</v>
      </c>
      <c r="C93">
        <f t="shared" si="4"/>
        <v>2</v>
      </c>
      <c r="D93">
        <f t="shared" si="5"/>
        <v>1</v>
      </c>
      <c r="E93" t="s">
        <v>313</v>
      </c>
      <c r="F93">
        <v>0</v>
      </c>
      <c r="G93">
        <v>13</v>
      </c>
      <c r="H93">
        <v>13</v>
      </c>
      <c r="J93">
        <v>13</v>
      </c>
      <c r="K93">
        <v>0</v>
      </c>
    </row>
    <row r="94" spans="1:11" hidden="1" x14ac:dyDescent="0.35">
      <c r="A94" t="s">
        <v>93</v>
      </c>
      <c r="B94">
        <f t="shared" si="3"/>
        <v>2007</v>
      </c>
      <c r="C94">
        <f t="shared" si="4"/>
        <v>3</v>
      </c>
      <c r="D94">
        <f t="shared" si="5"/>
        <v>1</v>
      </c>
      <c r="E94" t="s">
        <v>313</v>
      </c>
      <c r="F94">
        <v>0</v>
      </c>
      <c r="G94">
        <v>12.75</v>
      </c>
      <c r="H94">
        <v>12.75</v>
      </c>
      <c r="J94">
        <v>12.75</v>
      </c>
      <c r="K94">
        <v>0</v>
      </c>
    </row>
    <row r="95" spans="1:11" hidden="1" x14ac:dyDescent="0.35">
      <c r="A95" t="s">
        <v>94</v>
      </c>
      <c r="B95">
        <f t="shared" si="3"/>
        <v>2007</v>
      </c>
      <c r="C95">
        <f t="shared" si="4"/>
        <v>4</v>
      </c>
      <c r="D95">
        <f t="shared" si="5"/>
        <v>2</v>
      </c>
      <c r="E95" t="s">
        <v>313</v>
      </c>
      <c r="F95">
        <v>0</v>
      </c>
      <c r="G95">
        <v>12.5</v>
      </c>
      <c r="H95">
        <v>12.5</v>
      </c>
      <c r="J95">
        <v>12.5</v>
      </c>
      <c r="K95">
        <v>0</v>
      </c>
    </row>
    <row r="96" spans="1:11" hidden="1" x14ac:dyDescent="0.35">
      <c r="A96" t="s">
        <v>95</v>
      </c>
      <c r="B96">
        <f t="shared" si="3"/>
        <v>2007</v>
      </c>
      <c r="C96">
        <f t="shared" si="4"/>
        <v>5</v>
      </c>
      <c r="D96">
        <f t="shared" si="5"/>
        <v>2</v>
      </c>
      <c r="E96" t="s">
        <v>313</v>
      </c>
      <c r="F96">
        <v>0</v>
      </c>
      <c r="G96">
        <v>12.5</v>
      </c>
      <c r="H96">
        <v>12.5</v>
      </c>
      <c r="J96">
        <v>12.5</v>
      </c>
      <c r="K96">
        <v>0</v>
      </c>
    </row>
    <row r="97" spans="1:11" hidden="1" x14ac:dyDescent="0.35">
      <c r="A97" t="s">
        <v>96</v>
      </c>
      <c r="B97">
        <f t="shared" si="3"/>
        <v>2007</v>
      </c>
      <c r="C97">
        <f t="shared" si="4"/>
        <v>6</v>
      </c>
      <c r="D97">
        <f t="shared" si="5"/>
        <v>2</v>
      </c>
      <c r="E97" t="s">
        <v>313</v>
      </c>
      <c r="F97">
        <v>0</v>
      </c>
      <c r="G97">
        <v>12</v>
      </c>
      <c r="H97">
        <v>12</v>
      </c>
      <c r="J97">
        <v>12.067299999999999</v>
      </c>
      <c r="K97">
        <v>-6.7299999999999999E-2</v>
      </c>
    </row>
    <row r="98" spans="1:11" hidden="1" x14ac:dyDescent="0.35">
      <c r="A98" t="s">
        <v>97</v>
      </c>
      <c r="B98">
        <f t="shared" si="3"/>
        <v>2007</v>
      </c>
      <c r="C98">
        <f t="shared" si="4"/>
        <v>7</v>
      </c>
      <c r="D98">
        <f t="shared" si="5"/>
        <v>3</v>
      </c>
      <c r="E98" t="s">
        <v>313</v>
      </c>
      <c r="F98">
        <v>0</v>
      </c>
      <c r="G98">
        <v>11.5</v>
      </c>
      <c r="H98">
        <v>11.5</v>
      </c>
      <c r="J98">
        <v>11.5</v>
      </c>
      <c r="K98">
        <v>0</v>
      </c>
    </row>
    <row r="99" spans="1:11" hidden="1" x14ac:dyDescent="0.35">
      <c r="A99" t="s">
        <v>98</v>
      </c>
      <c r="B99">
        <f t="shared" si="3"/>
        <v>2007</v>
      </c>
      <c r="C99">
        <f t="shared" si="4"/>
        <v>8</v>
      </c>
      <c r="D99">
        <f t="shared" si="5"/>
        <v>3</v>
      </c>
      <c r="E99" t="s">
        <v>313</v>
      </c>
      <c r="F99">
        <v>0</v>
      </c>
      <c r="G99">
        <v>11.5</v>
      </c>
      <c r="H99">
        <v>11.5</v>
      </c>
      <c r="J99">
        <v>11.5</v>
      </c>
      <c r="K99">
        <v>0</v>
      </c>
    </row>
    <row r="100" spans="1:11" hidden="1" x14ac:dyDescent="0.35">
      <c r="A100" t="s">
        <v>99</v>
      </c>
      <c r="B100">
        <f t="shared" si="3"/>
        <v>2007</v>
      </c>
      <c r="C100">
        <f t="shared" si="4"/>
        <v>9</v>
      </c>
      <c r="D100">
        <f t="shared" si="5"/>
        <v>3</v>
      </c>
      <c r="E100" t="s">
        <v>313</v>
      </c>
      <c r="F100">
        <v>0</v>
      </c>
      <c r="G100">
        <v>11.25</v>
      </c>
      <c r="H100">
        <v>11.25</v>
      </c>
      <c r="J100">
        <v>11.25</v>
      </c>
      <c r="K100">
        <v>0</v>
      </c>
    </row>
    <row r="101" spans="1:11" hidden="1" x14ac:dyDescent="0.35">
      <c r="A101" t="s">
        <v>100</v>
      </c>
      <c r="B101">
        <f t="shared" si="3"/>
        <v>2007</v>
      </c>
      <c r="C101">
        <f t="shared" si="4"/>
        <v>10</v>
      </c>
      <c r="D101">
        <f t="shared" si="5"/>
        <v>4</v>
      </c>
      <c r="E101" t="s">
        <v>313</v>
      </c>
      <c r="F101">
        <v>0</v>
      </c>
      <c r="G101">
        <v>11.25</v>
      </c>
      <c r="H101">
        <v>11.25</v>
      </c>
      <c r="J101">
        <v>11.1556</v>
      </c>
      <c r="K101">
        <v>9.4399999999999998E-2</v>
      </c>
    </row>
    <row r="102" spans="1:11" hidden="1" x14ac:dyDescent="0.35">
      <c r="A102" t="s">
        <v>101</v>
      </c>
      <c r="B102">
        <f t="shared" si="3"/>
        <v>2007</v>
      </c>
      <c r="C102">
        <f t="shared" si="4"/>
        <v>11</v>
      </c>
      <c r="D102">
        <f t="shared" si="5"/>
        <v>4</v>
      </c>
      <c r="E102" t="s">
        <v>313</v>
      </c>
      <c r="F102">
        <v>0</v>
      </c>
      <c r="G102">
        <v>11.25</v>
      </c>
      <c r="H102">
        <v>11.25</v>
      </c>
      <c r="J102">
        <v>11.25</v>
      </c>
      <c r="K102">
        <v>0</v>
      </c>
    </row>
    <row r="103" spans="1:11" hidden="1" x14ac:dyDescent="0.35">
      <c r="A103" t="s">
        <v>102</v>
      </c>
      <c r="B103">
        <f t="shared" si="3"/>
        <v>2007</v>
      </c>
      <c r="C103">
        <f t="shared" si="4"/>
        <v>12</v>
      </c>
      <c r="D103">
        <f t="shared" si="5"/>
        <v>4</v>
      </c>
      <c r="E103" t="s">
        <v>313</v>
      </c>
      <c r="F103">
        <v>0</v>
      </c>
      <c r="G103">
        <v>11.25</v>
      </c>
      <c r="H103">
        <v>11.25</v>
      </c>
      <c r="J103">
        <v>11.25</v>
      </c>
      <c r="K103">
        <v>0</v>
      </c>
    </row>
    <row r="104" spans="1:11" hidden="1" x14ac:dyDescent="0.35">
      <c r="A104" t="s">
        <v>103</v>
      </c>
      <c r="B104">
        <f t="shared" si="3"/>
        <v>2008</v>
      </c>
      <c r="C104">
        <f t="shared" si="4"/>
        <v>1</v>
      </c>
      <c r="D104">
        <f t="shared" si="5"/>
        <v>1</v>
      </c>
      <c r="E104" t="s">
        <v>313</v>
      </c>
      <c r="F104">
        <v>0</v>
      </c>
      <c r="G104">
        <v>11.25</v>
      </c>
      <c r="H104">
        <v>11.25</v>
      </c>
      <c r="J104">
        <v>11.25</v>
      </c>
      <c r="K104">
        <v>0</v>
      </c>
    </row>
    <row r="105" spans="1:11" hidden="1" x14ac:dyDescent="0.35">
      <c r="A105" t="s">
        <v>104</v>
      </c>
      <c r="B105">
        <f t="shared" si="3"/>
        <v>2008</v>
      </c>
      <c r="C105">
        <f t="shared" si="4"/>
        <v>2</v>
      </c>
      <c r="D105">
        <f t="shared" si="5"/>
        <v>1</v>
      </c>
      <c r="E105" t="s">
        <v>313</v>
      </c>
      <c r="F105">
        <v>0</v>
      </c>
      <c r="G105">
        <v>11.25</v>
      </c>
      <c r="H105">
        <v>11.25</v>
      </c>
      <c r="J105">
        <v>11.25</v>
      </c>
      <c r="K105">
        <v>0</v>
      </c>
    </row>
    <row r="106" spans="1:11" hidden="1" x14ac:dyDescent="0.35">
      <c r="A106" t="s">
        <v>105</v>
      </c>
      <c r="B106">
        <f t="shared" si="3"/>
        <v>2008</v>
      </c>
      <c r="C106">
        <f t="shared" si="4"/>
        <v>3</v>
      </c>
      <c r="D106">
        <f t="shared" si="5"/>
        <v>1</v>
      </c>
      <c r="E106" t="s">
        <v>313</v>
      </c>
      <c r="F106">
        <v>0</v>
      </c>
      <c r="G106">
        <v>11.25</v>
      </c>
      <c r="H106">
        <v>11.25</v>
      </c>
      <c r="J106">
        <v>11.25</v>
      </c>
      <c r="K106">
        <v>0</v>
      </c>
    </row>
    <row r="107" spans="1:11" hidden="1" x14ac:dyDescent="0.35">
      <c r="A107" t="s">
        <v>106</v>
      </c>
      <c r="B107">
        <f t="shared" si="3"/>
        <v>2008</v>
      </c>
      <c r="C107">
        <f t="shared" si="4"/>
        <v>4</v>
      </c>
      <c r="D107">
        <f t="shared" si="5"/>
        <v>2</v>
      </c>
      <c r="E107" t="s">
        <v>313</v>
      </c>
      <c r="F107">
        <v>25</v>
      </c>
      <c r="G107">
        <v>11.5</v>
      </c>
      <c r="H107">
        <v>11.75</v>
      </c>
      <c r="J107">
        <v>11.5426</v>
      </c>
      <c r="K107">
        <v>0.2074</v>
      </c>
    </row>
    <row r="108" spans="1:11" hidden="1" x14ac:dyDescent="0.35">
      <c r="A108" t="s">
        <v>107</v>
      </c>
      <c r="B108">
        <f t="shared" si="3"/>
        <v>2008</v>
      </c>
      <c r="C108">
        <f t="shared" si="4"/>
        <v>5</v>
      </c>
      <c r="D108">
        <f t="shared" si="5"/>
        <v>2</v>
      </c>
      <c r="E108" t="s">
        <v>313</v>
      </c>
      <c r="F108">
        <v>0</v>
      </c>
      <c r="G108">
        <v>11.75</v>
      </c>
      <c r="H108">
        <v>11.75</v>
      </c>
      <c r="J108">
        <v>11.75</v>
      </c>
      <c r="K108">
        <v>0</v>
      </c>
    </row>
    <row r="109" spans="1:11" hidden="1" x14ac:dyDescent="0.35">
      <c r="A109" t="s">
        <v>108</v>
      </c>
      <c r="B109">
        <f t="shared" si="3"/>
        <v>2008</v>
      </c>
      <c r="C109">
        <f t="shared" si="4"/>
        <v>6</v>
      </c>
      <c r="D109">
        <f t="shared" si="5"/>
        <v>2</v>
      </c>
      <c r="E109" t="s">
        <v>313</v>
      </c>
      <c r="F109">
        <v>0</v>
      </c>
      <c r="G109">
        <v>12.25</v>
      </c>
      <c r="H109">
        <v>12.25</v>
      </c>
      <c r="J109">
        <v>12.3063</v>
      </c>
      <c r="K109">
        <v>-5.6300000000000003E-2</v>
      </c>
    </row>
    <row r="110" spans="1:11" hidden="1" x14ac:dyDescent="0.35">
      <c r="A110" t="s">
        <v>109</v>
      </c>
      <c r="B110">
        <f t="shared" si="3"/>
        <v>2008</v>
      </c>
      <c r="C110">
        <f t="shared" si="4"/>
        <v>7</v>
      </c>
      <c r="D110">
        <f t="shared" si="5"/>
        <v>3</v>
      </c>
      <c r="E110" t="s">
        <v>313</v>
      </c>
      <c r="F110">
        <v>25</v>
      </c>
      <c r="G110">
        <v>12.75</v>
      </c>
      <c r="H110">
        <v>13</v>
      </c>
      <c r="J110">
        <v>12.8278</v>
      </c>
      <c r="K110">
        <v>0.17219999999999999</v>
      </c>
    </row>
    <row r="111" spans="1:11" hidden="1" x14ac:dyDescent="0.35">
      <c r="A111" t="s">
        <v>110</v>
      </c>
      <c r="B111">
        <f t="shared" si="3"/>
        <v>2008</v>
      </c>
      <c r="C111">
        <f t="shared" si="4"/>
        <v>8</v>
      </c>
      <c r="D111">
        <f t="shared" si="5"/>
        <v>3</v>
      </c>
      <c r="E111" t="s">
        <v>313</v>
      </c>
      <c r="F111">
        <v>0</v>
      </c>
      <c r="G111">
        <v>13</v>
      </c>
      <c r="H111">
        <v>13</v>
      </c>
      <c r="J111">
        <v>13</v>
      </c>
      <c r="K111">
        <v>0</v>
      </c>
    </row>
    <row r="112" spans="1:11" hidden="1" x14ac:dyDescent="0.35">
      <c r="A112" t="s">
        <v>111</v>
      </c>
      <c r="B112">
        <f t="shared" si="3"/>
        <v>2008</v>
      </c>
      <c r="C112">
        <f t="shared" si="4"/>
        <v>9</v>
      </c>
      <c r="D112">
        <f t="shared" si="5"/>
        <v>3</v>
      </c>
      <c r="E112" t="s">
        <v>313</v>
      </c>
      <c r="F112">
        <v>0</v>
      </c>
      <c r="G112">
        <v>13.75</v>
      </c>
      <c r="H112">
        <v>13.75</v>
      </c>
      <c r="J112">
        <v>13.7439</v>
      </c>
      <c r="K112">
        <v>6.1000000000000004E-3</v>
      </c>
    </row>
    <row r="113" spans="1:11" hidden="1" x14ac:dyDescent="0.35">
      <c r="A113" t="s">
        <v>112</v>
      </c>
      <c r="B113">
        <f t="shared" si="3"/>
        <v>2008</v>
      </c>
      <c r="C113">
        <f t="shared" si="4"/>
        <v>10</v>
      </c>
      <c r="D113">
        <f t="shared" si="5"/>
        <v>4</v>
      </c>
      <c r="E113" t="s">
        <v>313</v>
      </c>
      <c r="F113">
        <v>0</v>
      </c>
      <c r="G113">
        <v>13.75</v>
      </c>
      <c r="H113">
        <v>13.75</v>
      </c>
      <c r="J113">
        <v>13.913</v>
      </c>
      <c r="K113">
        <v>-0.16300000000000001</v>
      </c>
    </row>
    <row r="114" spans="1:11" hidden="1" x14ac:dyDescent="0.35">
      <c r="A114" t="s">
        <v>113</v>
      </c>
      <c r="B114">
        <f t="shared" si="3"/>
        <v>2008</v>
      </c>
      <c r="C114">
        <f t="shared" si="4"/>
        <v>11</v>
      </c>
      <c r="D114">
        <f t="shared" si="5"/>
        <v>4</v>
      </c>
      <c r="E114" t="s">
        <v>313</v>
      </c>
      <c r="F114">
        <v>0</v>
      </c>
      <c r="G114">
        <v>13.75</v>
      </c>
      <c r="H114">
        <v>13.75</v>
      </c>
      <c r="J114">
        <v>13.75</v>
      </c>
      <c r="K114">
        <v>0</v>
      </c>
    </row>
    <row r="115" spans="1:11" hidden="1" x14ac:dyDescent="0.35">
      <c r="A115" t="s">
        <v>114</v>
      </c>
      <c r="B115">
        <f t="shared" si="3"/>
        <v>2008</v>
      </c>
      <c r="C115">
        <f t="shared" si="4"/>
        <v>12</v>
      </c>
      <c r="D115">
        <f t="shared" si="5"/>
        <v>4</v>
      </c>
      <c r="E115" t="s">
        <v>313</v>
      </c>
      <c r="F115">
        <v>0</v>
      </c>
      <c r="G115">
        <v>13.75</v>
      </c>
      <c r="H115">
        <v>13.75</v>
      </c>
      <c r="J115">
        <v>13.7287</v>
      </c>
      <c r="K115">
        <v>2.1299999999999999E-2</v>
      </c>
    </row>
    <row r="116" spans="1:11" hidden="1" x14ac:dyDescent="0.35">
      <c r="A116" t="s">
        <v>115</v>
      </c>
      <c r="B116">
        <f t="shared" si="3"/>
        <v>2009</v>
      </c>
      <c r="C116">
        <f t="shared" si="4"/>
        <v>1</v>
      </c>
      <c r="D116">
        <f t="shared" si="5"/>
        <v>1</v>
      </c>
      <c r="E116" t="s">
        <v>313</v>
      </c>
      <c r="F116">
        <v>-25</v>
      </c>
      <c r="G116">
        <v>13</v>
      </c>
      <c r="H116">
        <v>12.75</v>
      </c>
      <c r="J116">
        <v>13.040800000000001</v>
      </c>
      <c r="K116">
        <v>-0.2908</v>
      </c>
    </row>
    <row r="117" spans="1:11" hidden="1" x14ac:dyDescent="0.35">
      <c r="A117" t="s">
        <v>116</v>
      </c>
      <c r="B117">
        <f t="shared" si="3"/>
        <v>2009</v>
      </c>
      <c r="C117">
        <f t="shared" si="4"/>
        <v>2</v>
      </c>
      <c r="D117">
        <f t="shared" si="5"/>
        <v>1</v>
      </c>
      <c r="E117" t="s">
        <v>313</v>
      </c>
      <c r="F117">
        <v>0</v>
      </c>
      <c r="G117">
        <v>12.75</v>
      </c>
      <c r="H117">
        <v>12.75</v>
      </c>
      <c r="J117">
        <v>12.75</v>
      </c>
      <c r="K117">
        <v>0</v>
      </c>
    </row>
    <row r="118" spans="1:11" hidden="1" x14ac:dyDescent="0.35">
      <c r="A118" t="s">
        <v>117</v>
      </c>
      <c r="B118">
        <f t="shared" si="3"/>
        <v>2009</v>
      </c>
      <c r="C118">
        <f t="shared" si="4"/>
        <v>3</v>
      </c>
      <c r="D118">
        <f t="shared" si="5"/>
        <v>1</v>
      </c>
      <c r="E118" t="s">
        <v>313</v>
      </c>
      <c r="F118">
        <v>0</v>
      </c>
      <c r="G118">
        <v>11.25</v>
      </c>
      <c r="H118">
        <v>11.25</v>
      </c>
      <c r="J118">
        <v>11.425000000000001</v>
      </c>
      <c r="K118">
        <v>-0.17499999999999999</v>
      </c>
    </row>
    <row r="119" spans="1:11" hidden="1" x14ac:dyDescent="0.35">
      <c r="A119" t="s">
        <v>118</v>
      </c>
      <c r="B119">
        <f t="shared" si="3"/>
        <v>2009</v>
      </c>
      <c r="C119">
        <f t="shared" si="4"/>
        <v>4</v>
      </c>
      <c r="D119">
        <f t="shared" si="5"/>
        <v>2</v>
      </c>
      <c r="E119" t="s">
        <v>313</v>
      </c>
      <c r="F119">
        <v>0</v>
      </c>
      <c r="G119">
        <v>10.25</v>
      </c>
      <c r="H119">
        <v>10.25</v>
      </c>
      <c r="I119">
        <v>-5</v>
      </c>
      <c r="J119">
        <v>10.1404</v>
      </c>
      <c r="K119">
        <v>0.1096</v>
      </c>
    </row>
    <row r="120" spans="1:11" hidden="1" x14ac:dyDescent="0.35">
      <c r="A120" t="s">
        <v>119</v>
      </c>
      <c r="B120">
        <f t="shared" si="3"/>
        <v>2009</v>
      </c>
      <c r="C120">
        <f t="shared" si="4"/>
        <v>5</v>
      </c>
      <c r="D120">
        <f t="shared" si="5"/>
        <v>2</v>
      </c>
      <c r="E120" t="s">
        <v>313</v>
      </c>
      <c r="F120">
        <v>0</v>
      </c>
      <c r="G120">
        <v>10.25</v>
      </c>
      <c r="H120">
        <v>10.25</v>
      </c>
      <c r="I120">
        <v>0</v>
      </c>
      <c r="J120">
        <v>10.25</v>
      </c>
      <c r="K120">
        <v>0</v>
      </c>
    </row>
    <row r="121" spans="1:11" hidden="1" x14ac:dyDescent="0.35">
      <c r="A121" t="s">
        <v>120</v>
      </c>
      <c r="B121">
        <f t="shared" si="3"/>
        <v>2009</v>
      </c>
      <c r="C121">
        <f t="shared" si="4"/>
        <v>6</v>
      </c>
      <c r="D121">
        <f t="shared" si="5"/>
        <v>2</v>
      </c>
      <c r="E121" t="s">
        <v>313</v>
      </c>
      <c r="F121">
        <v>-25</v>
      </c>
      <c r="G121">
        <v>9.5</v>
      </c>
      <c r="H121">
        <v>9.25</v>
      </c>
      <c r="I121">
        <v>0</v>
      </c>
      <c r="J121">
        <v>9.4270800000000001</v>
      </c>
      <c r="K121">
        <v>-0.17707999999999999</v>
      </c>
    </row>
    <row r="122" spans="1:11" hidden="1" x14ac:dyDescent="0.35">
      <c r="A122" t="s">
        <v>121</v>
      </c>
      <c r="B122">
        <f t="shared" si="3"/>
        <v>2009</v>
      </c>
      <c r="C122">
        <f t="shared" si="4"/>
        <v>7</v>
      </c>
      <c r="D122">
        <f t="shared" si="5"/>
        <v>3</v>
      </c>
      <c r="E122" t="s">
        <v>313</v>
      </c>
      <c r="F122">
        <v>0</v>
      </c>
      <c r="G122">
        <v>8.75</v>
      </c>
      <c r="H122">
        <v>8.75</v>
      </c>
      <c r="I122">
        <v>0</v>
      </c>
      <c r="J122">
        <v>8.7550000000000008</v>
      </c>
      <c r="K122">
        <v>-5.0000000000000001E-3</v>
      </c>
    </row>
    <row r="123" spans="1:11" hidden="1" x14ac:dyDescent="0.35">
      <c r="A123" t="s">
        <v>122</v>
      </c>
      <c r="B123">
        <f t="shared" si="3"/>
        <v>2009</v>
      </c>
      <c r="C123">
        <f t="shared" si="4"/>
        <v>8</v>
      </c>
      <c r="D123">
        <f t="shared" si="5"/>
        <v>3</v>
      </c>
      <c r="E123" t="s">
        <v>313</v>
      </c>
      <c r="F123">
        <v>0</v>
      </c>
      <c r="G123">
        <v>8.75</v>
      </c>
      <c r="H123">
        <v>8.75</v>
      </c>
      <c r="I123">
        <v>0</v>
      </c>
      <c r="J123">
        <v>8.75</v>
      </c>
      <c r="K123">
        <v>0</v>
      </c>
    </row>
    <row r="124" spans="1:11" hidden="1" x14ac:dyDescent="0.35">
      <c r="A124" t="s">
        <v>123</v>
      </c>
      <c r="B124">
        <f t="shared" si="3"/>
        <v>2009</v>
      </c>
      <c r="C124">
        <f t="shared" si="4"/>
        <v>9</v>
      </c>
      <c r="D124">
        <f t="shared" si="5"/>
        <v>3</v>
      </c>
      <c r="E124" t="s">
        <v>313</v>
      </c>
      <c r="F124">
        <v>0</v>
      </c>
      <c r="G124">
        <v>8.75</v>
      </c>
      <c r="H124">
        <v>8.75</v>
      </c>
      <c r="I124">
        <v>0</v>
      </c>
      <c r="J124">
        <v>8.7449999999999903</v>
      </c>
      <c r="K124">
        <v>5.0000000000000001E-3</v>
      </c>
    </row>
    <row r="125" spans="1:11" hidden="1" x14ac:dyDescent="0.35">
      <c r="A125" t="s">
        <v>124</v>
      </c>
      <c r="B125">
        <f t="shared" si="3"/>
        <v>2009</v>
      </c>
      <c r="C125">
        <f t="shared" si="4"/>
        <v>10</v>
      </c>
      <c r="D125">
        <f t="shared" si="5"/>
        <v>4</v>
      </c>
      <c r="E125" t="s">
        <v>313</v>
      </c>
      <c r="F125">
        <v>0</v>
      </c>
      <c r="G125">
        <v>8.75</v>
      </c>
      <c r="H125">
        <v>8.75</v>
      </c>
      <c r="I125">
        <v>0</v>
      </c>
      <c r="J125">
        <v>8.75</v>
      </c>
      <c r="K125">
        <v>0</v>
      </c>
    </row>
    <row r="126" spans="1:11" hidden="1" x14ac:dyDescent="0.35">
      <c r="A126" t="s">
        <v>125</v>
      </c>
      <c r="B126">
        <f t="shared" si="3"/>
        <v>2009</v>
      </c>
      <c r="C126">
        <f t="shared" si="4"/>
        <v>11</v>
      </c>
      <c r="D126">
        <f t="shared" si="5"/>
        <v>4</v>
      </c>
      <c r="E126" t="s">
        <v>313</v>
      </c>
      <c r="F126">
        <v>0</v>
      </c>
      <c r="G126">
        <v>8.75</v>
      </c>
      <c r="H126">
        <v>8.75</v>
      </c>
      <c r="I126">
        <v>0</v>
      </c>
      <c r="J126">
        <v>8.75</v>
      </c>
      <c r="K126">
        <v>0</v>
      </c>
    </row>
    <row r="127" spans="1:11" hidden="1" x14ac:dyDescent="0.35">
      <c r="A127" t="s">
        <v>126</v>
      </c>
      <c r="B127">
        <f t="shared" si="3"/>
        <v>2009</v>
      </c>
      <c r="C127">
        <f t="shared" si="4"/>
        <v>12</v>
      </c>
      <c r="D127">
        <f t="shared" si="5"/>
        <v>4</v>
      </c>
      <c r="E127" t="s">
        <v>313</v>
      </c>
      <c r="F127">
        <v>0</v>
      </c>
      <c r="G127">
        <v>8.75</v>
      </c>
      <c r="H127">
        <v>8.75</v>
      </c>
      <c r="I127">
        <v>-11</v>
      </c>
      <c r="J127">
        <v>8.75</v>
      </c>
      <c r="K127">
        <v>0</v>
      </c>
    </row>
    <row r="128" spans="1:11" hidden="1" x14ac:dyDescent="0.35">
      <c r="A128" t="s">
        <v>127</v>
      </c>
      <c r="B128">
        <f t="shared" si="3"/>
        <v>2010</v>
      </c>
      <c r="C128">
        <f t="shared" si="4"/>
        <v>1</v>
      </c>
      <c r="D128">
        <f t="shared" si="5"/>
        <v>1</v>
      </c>
      <c r="E128" t="s">
        <v>313</v>
      </c>
      <c r="F128">
        <v>0</v>
      </c>
      <c r="G128">
        <v>8.75</v>
      </c>
      <c r="H128">
        <v>8.75</v>
      </c>
      <c r="I128">
        <v>0</v>
      </c>
      <c r="J128">
        <v>8.75</v>
      </c>
      <c r="K128">
        <v>0</v>
      </c>
    </row>
    <row r="129" spans="1:11" hidden="1" x14ac:dyDescent="0.35">
      <c r="A129" t="s">
        <v>128</v>
      </c>
      <c r="B129">
        <f t="shared" si="3"/>
        <v>2010</v>
      </c>
      <c r="C129">
        <f t="shared" si="4"/>
        <v>2</v>
      </c>
      <c r="D129">
        <f t="shared" si="5"/>
        <v>1</v>
      </c>
      <c r="E129" t="s">
        <v>313</v>
      </c>
      <c r="F129">
        <v>0</v>
      </c>
      <c r="G129">
        <v>8.75</v>
      </c>
      <c r="H129">
        <v>8.75</v>
      </c>
      <c r="I129">
        <v>0</v>
      </c>
      <c r="J129">
        <v>8.75</v>
      </c>
      <c r="K129">
        <v>0</v>
      </c>
    </row>
    <row r="130" spans="1:11" hidden="1" x14ac:dyDescent="0.35">
      <c r="A130" t="s">
        <v>129</v>
      </c>
      <c r="B130">
        <f t="shared" si="3"/>
        <v>2010</v>
      </c>
      <c r="C130">
        <f t="shared" si="4"/>
        <v>3</v>
      </c>
      <c r="D130">
        <f t="shared" si="5"/>
        <v>1</v>
      </c>
      <c r="E130" t="s">
        <v>313</v>
      </c>
      <c r="F130">
        <v>-50</v>
      </c>
      <c r="G130">
        <v>9.25</v>
      </c>
      <c r="H130">
        <v>8.75</v>
      </c>
      <c r="I130">
        <v>-12</v>
      </c>
      <c r="J130">
        <v>9.0131599999999903</v>
      </c>
      <c r="K130">
        <v>-0.26316000000000001</v>
      </c>
    </row>
    <row r="131" spans="1:11" hidden="1" x14ac:dyDescent="0.35">
      <c r="A131" t="s">
        <v>130</v>
      </c>
      <c r="B131">
        <f t="shared" ref="B131:B194" si="6">LEFT(A131,4)*1</f>
        <v>2010</v>
      </c>
      <c r="C131">
        <f t="shared" ref="C131:C194" si="7">MID(A131,6,2)*1</f>
        <v>4</v>
      </c>
      <c r="D131">
        <f t="shared" ref="D131:D194" si="8">ROUNDUP(C131/3,0)</f>
        <v>2</v>
      </c>
      <c r="E131" t="s">
        <v>313</v>
      </c>
      <c r="F131">
        <v>25</v>
      </c>
      <c r="G131">
        <v>9.25</v>
      </c>
      <c r="H131">
        <v>9.5</v>
      </c>
      <c r="I131">
        <v>0</v>
      </c>
      <c r="J131">
        <v>9.3657400000000006</v>
      </c>
      <c r="K131">
        <v>0.13425999999999999</v>
      </c>
    </row>
    <row r="132" spans="1:11" hidden="1" x14ac:dyDescent="0.35">
      <c r="A132" t="s">
        <v>131</v>
      </c>
      <c r="B132">
        <f t="shared" si="6"/>
        <v>2010</v>
      </c>
      <c r="C132">
        <f t="shared" si="7"/>
        <v>5</v>
      </c>
      <c r="D132">
        <f t="shared" si="8"/>
        <v>2</v>
      </c>
      <c r="E132" t="s">
        <v>313</v>
      </c>
      <c r="F132">
        <v>0</v>
      </c>
      <c r="G132">
        <v>9.5</v>
      </c>
      <c r="H132">
        <v>9.5</v>
      </c>
      <c r="I132">
        <v>0</v>
      </c>
      <c r="J132">
        <v>9.5</v>
      </c>
      <c r="K132">
        <v>0</v>
      </c>
    </row>
    <row r="133" spans="1:11" hidden="1" x14ac:dyDescent="0.35">
      <c r="A133" t="s">
        <v>132</v>
      </c>
      <c r="B133">
        <f t="shared" si="6"/>
        <v>2010</v>
      </c>
      <c r="C133">
        <f t="shared" si="7"/>
        <v>6</v>
      </c>
      <c r="D133">
        <f t="shared" si="8"/>
        <v>2</v>
      </c>
      <c r="E133" t="s">
        <v>313</v>
      </c>
      <c r="F133">
        <v>0</v>
      </c>
      <c r="G133">
        <v>10.25</v>
      </c>
      <c r="H133">
        <v>10.25</v>
      </c>
      <c r="I133">
        <v>19</v>
      </c>
      <c r="J133">
        <v>10.259600000000001</v>
      </c>
      <c r="K133">
        <v>-9.5999999999999992E-3</v>
      </c>
    </row>
    <row r="134" spans="1:11" hidden="1" x14ac:dyDescent="0.35">
      <c r="A134" t="s">
        <v>133</v>
      </c>
      <c r="B134">
        <f t="shared" si="6"/>
        <v>2010</v>
      </c>
      <c r="C134">
        <f t="shared" si="7"/>
        <v>7</v>
      </c>
      <c r="D134">
        <f t="shared" si="8"/>
        <v>3</v>
      </c>
      <c r="E134" t="s">
        <v>313</v>
      </c>
      <c r="F134">
        <v>-25</v>
      </c>
      <c r="G134">
        <v>11</v>
      </c>
      <c r="H134">
        <v>10.75</v>
      </c>
      <c r="I134">
        <v>0</v>
      </c>
      <c r="J134">
        <v>10.985300000000001</v>
      </c>
      <c r="K134">
        <v>-0.23530000000000001</v>
      </c>
    </row>
    <row r="135" spans="1:11" hidden="1" x14ac:dyDescent="0.35">
      <c r="A135" t="s">
        <v>134</v>
      </c>
      <c r="B135">
        <f t="shared" si="6"/>
        <v>2010</v>
      </c>
      <c r="C135">
        <f t="shared" si="7"/>
        <v>8</v>
      </c>
      <c r="D135">
        <f t="shared" si="8"/>
        <v>3</v>
      </c>
      <c r="E135" t="s">
        <v>313</v>
      </c>
      <c r="F135">
        <v>0</v>
      </c>
      <c r="G135">
        <v>10.75</v>
      </c>
      <c r="H135">
        <v>10.75</v>
      </c>
      <c r="I135">
        <v>0</v>
      </c>
      <c r="J135">
        <v>10.75</v>
      </c>
      <c r="K135">
        <v>0</v>
      </c>
    </row>
    <row r="136" spans="1:11" hidden="1" x14ac:dyDescent="0.35">
      <c r="A136" t="s">
        <v>135</v>
      </c>
      <c r="B136">
        <f t="shared" si="6"/>
        <v>2010</v>
      </c>
      <c r="C136">
        <f t="shared" si="7"/>
        <v>9</v>
      </c>
      <c r="D136">
        <f t="shared" si="8"/>
        <v>3</v>
      </c>
      <c r="E136" t="s">
        <v>313</v>
      </c>
      <c r="F136">
        <v>0</v>
      </c>
      <c r="G136">
        <v>10.75</v>
      </c>
      <c r="H136">
        <v>10.75</v>
      </c>
      <c r="I136">
        <v>-6</v>
      </c>
      <c r="J136">
        <v>10.815799999999999</v>
      </c>
      <c r="K136">
        <v>-6.5799999999999997E-2</v>
      </c>
    </row>
    <row r="137" spans="1:11" hidden="1" x14ac:dyDescent="0.35">
      <c r="A137" t="s">
        <v>136</v>
      </c>
      <c r="B137">
        <f t="shared" si="6"/>
        <v>2010</v>
      </c>
      <c r="C137">
        <f t="shared" si="7"/>
        <v>10</v>
      </c>
      <c r="D137">
        <f t="shared" si="8"/>
        <v>4</v>
      </c>
      <c r="E137" t="s">
        <v>313</v>
      </c>
      <c r="F137">
        <v>0</v>
      </c>
      <c r="G137">
        <v>10.75</v>
      </c>
      <c r="H137">
        <v>10.75</v>
      </c>
      <c r="I137">
        <v>11</v>
      </c>
      <c r="J137">
        <v>10.75</v>
      </c>
      <c r="K137">
        <v>0</v>
      </c>
    </row>
    <row r="138" spans="1:11" hidden="1" x14ac:dyDescent="0.35">
      <c r="A138" t="s">
        <v>137</v>
      </c>
      <c r="B138">
        <f t="shared" si="6"/>
        <v>2010</v>
      </c>
      <c r="C138">
        <f t="shared" si="7"/>
        <v>11</v>
      </c>
      <c r="D138">
        <f t="shared" si="8"/>
        <v>4</v>
      </c>
      <c r="E138" t="s">
        <v>313</v>
      </c>
      <c r="F138">
        <v>0</v>
      </c>
      <c r="G138">
        <v>10.75</v>
      </c>
      <c r="H138">
        <v>10.75</v>
      </c>
      <c r="I138">
        <v>0</v>
      </c>
      <c r="J138">
        <v>10.75</v>
      </c>
      <c r="K138">
        <v>0</v>
      </c>
    </row>
    <row r="139" spans="1:11" hidden="1" x14ac:dyDescent="0.35">
      <c r="A139" t="s">
        <v>138</v>
      </c>
      <c r="B139">
        <f t="shared" si="6"/>
        <v>2010</v>
      </c>
      <c r="C139">
        <f t="shared" si="7"/>
        <v>12</v>
      </c>
      <c r="D139">
        <f t="shared" si="8"/>
        <v>4</v>
      </c>
      <c r="E139" t="s">
        <v>313</v>
      </c>
      <c r="F139">
        <v>0</v>
      </c>
      <c r="G139">
        <v>10.75</v>
      </c>
      <c r="H139">
        <v>10.75</v>
      </c>
      <c r="I139">
        <v>-15</v>
      </c>
      <c r="J139">
        <v>10.7745</v>
      </c>
      <c r="K139">
        <v>-2.4500000000000001E-2</v>
      </c>
    </row>
    <row r="140" spans="1:11" hidden="1" x14ac:dyDescent="0.35">
      <c r="A140" t="s">
        <v>139</v>
      </c>
      <c r="B140">
        <f t="shared" si="6"/>
        <v>2011</v>
      </c>
      <c r="C140">
        <f t="shared" si="7"/>
        <v>1</v>
      </c>
      <c r="D140">
        <f t="shared" si="8"/>
        <v>1</v>
      </c>
      <c r="E140" t="s">
        <v>313</v>
      </c>
      <c r="F140">
        <v>0</v>
      </c>
      <c r="G140">
        <v>11.25</v>
      </c>
      <c r="H140">
        <v>11.25</v>
      </c>
      <c r="I140">
        <v>-1</v>
      </c>
      <c r="J140">
        <v>11.230399999999999</v>
      </c>
      <c r="K140">
        <v>1.9599999999999999E-2</v>
      </c>
    </row>
    <row r="141" spans="1:11" hidden="1" x14ac:dyDescent="0.35">
      <c r="A141" t="s">
        <v>140</v>
      </c>
      <c r="B141">
        <f t="shared" si="6"/>
        <v>2011</v>
      </c>
      <c r="C141">
        <f t="shared" si="7"/>
        <v>2</v>
      </c>
      <c r="D141">
        <f t="shared" si="8"/>
        <v>1</v>
      </c>
      <c r="E141" t="s">
        <v>313</v>
      </c>
      <c r="F141">
        <v>0</v>
      </c>
      <c r="G141">
        <v>11.25</v>
      </c>
      <c r="H141">
        <v>11.25</v>
      </c>
      <c r="I141">
        <v>0</v>
      </c>
      <c r="J141">
        <v>11.25</v>
      </c>
      <c r="K141">
        <v>0</v>
      </c>
    </row>
    <row r="142" spans="1:11" hidden="1" x14ac:dyDescent="0.35">
      <c r="A142" t="s">
        <v>141</v>
      </c>
      <c r="B142">
        <f t="shared" si="6"/>
        <v>2011</v>
      </c>
      <c r="C142">
        <f t="shared" si="7"/>
        <v>3</v>
      </c>
      <c r="D142">
        <f t="shared" si="8"/>
        <v>1</v>
      </c>
      <c r="E142" t="s">
        <v>313</v>
      </c>
      <c r="F142">
        <v>0</v>
      </c>
      <c r="G142">
        <v>11.75</v>
      </c>
      <c r="H142">
        <v>11.75</v>
      </c>
      <c r="I142">
        <v>-20</v>
      </c>
      <c r="J142">
        <v>11.789199999999999</v>
      </c>
      <c r="K142">
        <v>-3.9199999999999999E-2</v>
      </c>
    </row>
    <row r="143" spans="1:11" hidden="1" x14ac:dyDescent="0.35">
      <c r="A143" t="s">
        <v>142</v>
      </c>
      <c r="B143">
        <f t="shared" si="6"/>
        <v>2011</v>
      </c>
      <c r="C143">
        <f t="shared" si="7"/>
        <v>4</v>
      </c>
      <c r="D143">
        <f t="shared" si="8"/>
        <v>2</v>
      </c>
      <c r="E143" t="s">
        <v>313</v>
      </c>
      <c r="F143">
        <v>-25</v>
      </c>
      <c r="G143">
        <v>12.25</v>
      </c>
      <c r="H143">
        <v>12</v>
      </c>
      <c r="I143">
        <v>0</v>
      </c>
      <c r="J143">
        <v>12.168100000000001</v>
      </c>
      <c r="K143">
        <v>-0.1681</v>
      </c>
    </row>
    <row r="144" spans="1:11" hidden="1" x14ac:dyDescent="0.35">
      <c r="A144" t="s">
        <v>143</v>
      </c>
      <c r="B144">
        <f t="shared" si="6"/>
        <v>2011</v>
      </c>
      <c r="C144">
        <f t="shared" si="7"/>
        <v>5</v>
      </c>
      <c r="D144">
        <f t="shared" si="8"/>
        <v>2</v>
      </c>
      <c r="E144" t="s">
        <v>313</v>
      </c>
      <c r="F144">
        <v>0</v>
      </c>
      <c r="G144">
        <v>12</v>
      </c>
      <c r="H144">
        <v>12</v>
      </c>
      <c r="I144">
        <v>0</v>
      </c>
      <c r="J144">
        <v>12</v>
      </c>
      <c r="K144">
        <v>0</v>
      </c>
    </row>
    <row r="145" spans="1:11" hidden="1" x14ac:dyDescent="0.35">
      <c r="A145" t="s">
        <v>144</v>
      </c>
      <c r="B145">
        <f t="shared" si="6"/>
        <v>2011</v>
      </c>
      <c r="C145">
        <f t="shared" si="7"/>
        <v>6</v>
      </c>
      <c r="D145">
        <f t="shared" si="8"/>
        <v>2</v>
      </c>
      <c r="E145" t="s">
        <v>313</v>
      </c>
      <c r="F145">
        <v>0</v>
      </c>
      <c r="G145">
        <v>12.25</v>
      </c>
      <c r="H145">
        <v>12.25</v>
      </c>
      <c r="I145">
        <v>0</v>
      </c>
      <c r="J145">
        <v>12.245200000000001</v>
      </c>
      <c r="K145">
        <v>4.7999999999999996E-3</v>
      </c>
    </row>
    <row r="146" spans="1:11" hidden="1" x14ac:dyDescent="0.35">
      <c r="A146" t="s">
        <v>145</v>
      </c>
      <c r="B146">
        <f t="shared" si="6"/>
        <v>2011</v>
      </c>
      <c r="C146">
        <f t="shared" si="7"/>
        <v>7</v>
      </c>
      <c r="D146">
        <f t="shared" si="8"/>
        <v>3</v>
      </c>
      <c r="E146" t="s">
        <v>313</v>
      </c>
      <c r="F146">
        <v>0</v>
      </c>
      <c r="G146">
        <v>12.5</v>
      </c>
      <c r="H146">
        <v>12.5</v>
      </c>
      <c r="I146">
        <v>-1</v>
      </c>
      <c r="J146">
        <v>12.5</v>
      </c>
      <c r="K146">
        <v>0</v>
      </c>
    </row>
    <row r="147" spans="1:11" hidden="1" x14ac:dyDescent="0.35">
      <c r="A147" t="s">
        <v>146</v>
      </c>
      <c r="B147">
        <f t="shared" si="6"/>
        <v>2011</v>
      </c>
      <c r="C147">
        <f t="shared" si="7"/>
        <v>8</v>
      </c>
      <c r="D147">
        <f t="shared" si="8"/>
        <v>3</v>
      </c>
      <c r="E147" t="s">
        <v>313</v>
      </c>
      <c r="F147">
        <v>-50</v>
      </c>
      <c r="G147">
        <v>12.5</v>
      </c>
      <c r="H147">
        <v>12</v>
      </c>
      <c r="I147">
        <v>-45</v>
      </c>
      <c r="J147">
        <v>12.5</v>
      </c>
      <c r="K147">
        <v>-0.5</v>
      </c>
    </row>
    <row r="148" spans="1:11" hidden="1" x14ac:dyDescent="0.35">
      <c r="A148" t="s">
        <v>147</v>
      </c>
      <c r="B148">
        <f t="shared" si="6"/>
        <v>2011</v>
      </c>
      <c r="C148">
        <f t="shared" si="7"/>
        <v>9</v>
      </c>
      <c r="D148">
        <f t="shared" si="8"/>
        <v>3</v>
      </c>
      <c r="E148" t="s">
        <v>313</v>
      </c>
      <c r="F148">
        <v>0</v>
      </c>
      <c r="G148">
        <v>12</v>
      </c>
      <c r="H148">
        <v>12</v>
      </c>
      <c r="I148">
        <v>0</v>
      </c>
      <c r="J148">
        <v>12</v>
      </c>
      <c r="K148">
        <v>0</v>
      </c>
    </row>
    <row r="149" spans="1:11" hidden="1" x14ac:dyDescent="0.35">
      <c r="A149" t="s">
        <v>148</v>
      </c>
      <c r="B149">
        <f t="shared" si="6"/>
        <v>2011</v>
      </c>
      <c r="C149">
        <f t="shared" si="7"/>
        <v>10</v>
      </c>
      <c r="D149">
        <f t="shared" si="8"/>
        <v>4</v>
      </c>
      <c r="E149" t="s">
        <v>313</v>
      </c>
      <c r="F149">
        <v>0</v>
      </c>
      <c r="G149">
        <v>11.5</v>
      </c>
      <c r="H149">
        <v>11.5</v>
      </c>
      <c r="I149">
        <v>0</v>
      </c>
      <c r="J149">
        <v>11.466900000000001</v>
      </c>
      <c r="K149">
        <v>3.3099999999999997E-2</v>
      </c>
    </row>
    <row r="150" spans="1:11" hidden="1" x14ac:dyDescent="0.35">
      <c r="A150" t="s">
        <v>149</v>
      </c>
      <c r="B150">
        <f t="shared" si="6"/>
        <v>2011</v>
      </c>
      <c r="C150">
        <f t="shared" si="7"/>
        <v>11</v>
      </c>
      <c r="D150">
        <f t="shared" si="8"/>
        <v>4</v>
      </c>
      <c r="E150" t="s">
        <v>313</v>
      </c>
      <c r="F150">
        <v>0</v>
      </c>
      <c r="G150">
        <v>11</v>
      </c>
      <c r="H150">
        <v>11</v>
      </c>
      <c r="I150">
        <v>11</v>
      </c>
      <c r="J150">
        <v>10.9923</v>
      </c>
      <c r="K150">
        <v>7.7000000000000002E-3</v>
      </c>
    </row>
    <row r="151" spans="1:11" hidden="1" x14ac:dyDescent="0.35">
      <c r="A151" t="s">
        <v>150</v>
      </c>
      <c r="B151">
        <f t="shared" si="6"/>
        <v>2011</v>
      </c>
      <c r="C151">
        <f t="shared" si="7"/>
        <v>12</v>
      </c>
      <c r="D151">
        <f t="shared" si="8"/>
        <v>4</v>
      </c>
      <c r="E151" t="s">
        <v>313</v>
      </c>
      <c r="F151">
        <v>0</v>
      </c>
      <c r="G151">
        <v>11</v>
      </c>
      <c r="H151">
        <v>11</v>
      </c>
      <c r="I151">
        <v>0</v>
      </c>
      <c r="J151">
        <v>11</v>
      </c>
      <c r="K151">
        <v>0</v>
      </c>
    </row>
    <row r="152" spans="1:11" hidden="1" x14ac:dyDescent="0.35">
      <c r="A152" t="s">
        <v>151</v>
      </c>
      <c r="B152">
        <f t="shared" si="6"/>
        <v>2012</v>
      </c>
      <c r="C152">
        <f t="shared" si="7"/>
        <v>1</v>
      </c>
      <c r="D152">
        <f t="shared" si="8"/>
        <v>1</v>
      </c>
      <c r="E152" t="s">
        <v>313</v>
      </c>
      <c r="F152">
        <v>0</v>
      </c>
      <c r="G152">
        <v>10.5</v>
      </c>
      <c r="H152">
        <v>10.5</v>
      </c>
      <c r="I152">
        <v>0</v>
      </c>
      <c r="J152">
        <v>10.5</v>
      </c>
      <c r="K152">
        <v>0</v>
      </c>
    </row>
    <row r="153" spans="1:11" hidden="1" x14ac:dyDescent="0.35">
      <c r="A153" t="s">
        <v>152</v>
      </c>
      <c r="B153">
        <f t="shared" si="6"/>
        <v>2012</v>
      </c>
      <c r="C153">
        <f t="shared" si="7"/>
        <v>2</v>
      </c>
      <c r="D153">
        <f t="shared" si="8"/>
        <v>1</v>
      </c>
      <c r="E153" t="s">
        <v>313</v>
      </c>
      <c r="F153">
        <v>0</v>
      </c>
      <c r="G153">
        <v>10.5</v>
      </c>
      <c r="H153">
        <v>10.5</v>
      </c>
      <c r="I153">
        <v>0</v>
      </c>
      <c r="J153">
        <v>10.5</v>
      </c>
      <c r="K153">
        <v>0</v>
      </c>
    </row>
    <row r="154" spans="1:11" hidden="1" x14ac:dyDescent="0.35">
      <c r="A154" t="s">
        <v>153</v>
      </c>
      <c r="B154">
        <f t="shared" si="6"/>
        <v>2012</v>
      </c>
      <c r="C154">
        <f t="shared" si="7"/>
        <v>3</v>
      </c>
      <c r="D154">
        <f t="shared" si="8"/>
        <v>1</v>
      </c>
      <c r="E154" t="s">
        <v>313</v>
      </c>
      <c r="F154">
        <v>-25</v>
      </c>
      <c r="G154">
        <v>10</v>
      </c>
      <c r="H154">
        <v>9.75</v>
      </c>
      <c r="I154">
        <v>0</v>
      </c>
      <c r="J154">
        <v>9.9838699999999996</v>
      </c>
      <c r="K154">
        <v>-0.23386999999999999</v>
      </c>
    </row>
    <row r="155" spans="1:11" hidden="1" x14ac:dyDescent="0.35">
      <c r="A155" t="s">
        <v>154</v>
      </c>
      <c r="B155">
        <f t="shared" si="6"/>
        <v>2012</v>
      </c>
      <c r="C155">
        <f t="shared" si="7"/>
        <v>4</v>
      </c>
      <c r="D155">
        <f t="shared" si="8"/>
        <v>2</v>
      </c>
      <c r="E155" t="s">
        <v>313</v>
      </c>
      <c r="F155">
        <v>0</v>
      </c>
      <c r="G155">
        <v>9</v>
      </c>
      <c r="H155">
        <v>9</v>
      </c>
      <c r="I155">
        <v>-25</v>
      </c>
      <c r="J155">
        <v>9.0072500000000009</v>
      </c>
      <c r="K155">
        <v>-7.2500000000000004E-3</v>
      </c>
    </row>
    <row r="156" spans="1:11" hidden="1" x14ac:dyDescent="0.35">
      <c r="A156" t="s">
        <v>155</v>
      </c>
      <c r="B156">
        <f t="shared" si="6"/>
        <v>2012</v>
      </c>
      <c r="C156">
        <f t="shared" si="7"/>
        <v>5</v>
      </c>
      <c r="D156">
        <f t="shared" si="8"/>
        <v>2</v>
      </c>
      <c r="E156" t="s">
        <v>313</v>
      </c>
      <c r="F156">
        <v>0</v>
      </c>
      <c r="G156">
        <v>8.5</v>
      </c>
      <c r="H156">
        <v>8.5</v>
      </c>
      <c r="I156">
        <v>0</v>
      </c>
      <c r="J156">
        <v>8.4749999999999996</v>
      </c>
      <c r="K156">
        <v>2.5000000000000001E-2</v>
      </c>
    </row>
    <row r="157" spans="1:11" hidden="1" x14ac:dyDescent="0.35">
      <c r="A157" t="s">
        <v>156</v>
      </c>
      <c r="B157">
        <f t="shared" si="6"/>
        <v>2012</v>
      </c>
      <c r="C157">
        <f t="shared" si="7"/>
        <v>6</v>
      </c>
      <c r="D157">
        <f t="shared" si="8"/>
        <v>2</v>
      </c>
      <c r="E157" t="s">
        <v>313</v>
      </c>
      <c r="F157">
        <v>0</v>
      </c>
      <c r="G157">
        <v>8.5</v>
      </c>
      <c r="H157">
        <v>8.5</v>
      </c>
      <c r="I157">
        <v>0</v>
      </c>
      <c r="J157">
        <v>8.5</v>
      </c>
      <c r="K157">
        <v>0</v>
      </c>
    </row>
    <row r="158" spans="1:11" hidden="1" x14ac:dyDescent="0.35">
      <c r="A158" t="s">
        <v>157</v>
      </c>
      <c r="B158">
        <f t="shared" si="6"/>
        <v>2012</v>
      </c>
      <c r="C158">
        <f t="shared" si="7"/>
        <v>7</v>
      </c>
      <c r="D158">
        <f t="shared" si="8"/>
        <v>3</v>
      </c>
      <c r="E158" t="s">
        <v>313</v>
      </c>
      <c r="F158">
        <v>0</v>
      </c>
      <c r="G158">
        <v>8</v>
      </c>
      <c r="H158">
        <v>8</v>
      </c>
      <c r="I158">
        <v>0</v>
      </c>
      <c r="J158">
        <v>8</v>
      </c>
      <c r="K158">
        <v>0</v>
      </c>
    </row>
    <row r="159" spans="1:11" hidden="1" x14ac:dyDescent="0.35">
      <c r="A159" t="s">
        <v>158</v>
      </c>
      <c r="B159">
        <f t="shared" si="6"/>
        <v>2012</v>
      </c>
      <c r="C159">
        <f t="shared" si="7"/>
        <v>8</v>
      </c>
      <c r="D159">
        <f t="shared" si="8"/>
        <v>3</v>
      </c>
      <c r="E159" t="s">
        <v>313</v>
      </c>
      <c r="F159">
        <v>0</v>
      </c>
      <c r="G159">
        <v>7.5</v>
      </c>
      <c r="H159">
        <v>7.5</v>
      </c>
      <c r="I159">
        <v>0</v>
      </c>
      <c r="J159">
        <v>7.5</v>
      </c>
      <c r="K159">
        <v>0</v>
      </c>
    </row>
    <row r="160" spans="1:11" hidden="1" x14ac:dyDescent="0.35">
      <c r="A160" t="s">
        <v>159</v>
      </c>
      <c r="B160">
        <f t="shared" si="6"/>
        <v>2012</v>
      </c>
      <c r="C160">
        <f t="shared" si="7"/>
        <v>9</v>
      </c>
      <c r="D160">
        <f t="shared" si="8"/>
        <v>3</v>
      </c>
      <c r="E160" t="s">
        <v>313</v>
      </c>
      <c r="F160">
        <v>0</v>
      </c>
      <c r="G160">
        <v>7.5</v>
      </c>
      <c r="H160">
        <v>7.5</v>
      </c>
      <c r="I160">
        <v>0</v>
      </c>
      <c r="J160">
        <v>7.5</v>
      </c>
      <c r="K160">
        <v>0</v>
      </c>
    </row>
    <row r="161" spans="1:11" hidden="1" x14ac:dyDescent="0.35">
      <c r="A161" t="s">
        <v>160</v>
      </c>
      <c r="B161">
        <f t="shared" si="6"/>
        <v>2012</v>
      </c>
      <c r="C161">
        <f t="shared" si="7"/>
        <v>10</v>
      </c>
      <c r="D161">
        <f t="shared" si="8"/>
        <v>4</v>
      </c>
      <c r="E161" t="s">
        <v>313</v>
      </c>
      <c r="F161">
        <v>-25</v>
      </c>
      <c r="G161">
        <v>7.5</v>
      </c>
      <c r="H161">
        <v>7.25</v>
      </c>
      <c r="I161">
        <v>0</v>
      </c>
      <c r="J161">
        <v>7.3801399999999999</v>
      </c>
      <c r="K161">
        <v>-0.13014000000000001</v>
      </c>
    </row>
    <row r="162" spans="1:11" hidden="1" x14ac:dyDescent="0.35">
      <c r="A162" t="s">
        <v>161</v>
      </c>
      <c r="B162">
        <f t="shared" si="6"/>
        <v>2012</v>
      </c>
      <c r="C162">
        <f t="shared" si="7"/>
        <v>11</v>
      </c>
      <c r="D162">
        <f t="shared" si="8"/>
        <v>4</v>
      </c>
      <c r="E162" t="s">
        <v>313</v>
      </c>
      <c r="F162">
        <v>0</v>
      </c>
      <c r="G162">
        <v>7.25</v>
      </c>
      <c r="H162">
        <v>7.25</v>
      </c>
      <c r="I162">
        <v>1</v>
      </c>
      <c r="J162">
        <v>7.25</v>
      </c>
      <c r="K162">
        <v>0</v>
      </c>
    </row>
    <row r="163" spans="1:11" hidden="1" x14ac:dyDescent="0.35">
      <c r="A163" t="s">
        <v>162</v>
      </c>
      <c r="B163">
        <f t="shared" si="6"/>
        <v>2012</v>
      </c>
      <c r="C163">
        <f t="shared" si="7"/>
        <v>12</v>
      </c>
      <c r="D163">
        <f t="shared" si="8"/>
        <v>4</v>
      </c>
      <c r="E163" t="s">
        <v>313</v>
      </c>
      <c r="F163">
        <v>0</v>
      </c>
      <c r="G163">
        <v>7.25</v>
      </c>
      <c r="H163">
        <v>7.25</v>
      </c>
      <c r="I163">
        <v>0</v>
      </c>
      <c r="J163">
        <v>7.25</v>
      </c>
      <c r="K163">
        <v>0</v>
      </c>
    </row>
    <row r="164" spans="1:11" hidden="1" x14ac:dyDescent="0.35">
      <c r="A164" t="s">
        <v>163</v>
      </c>
      <c r="B164">
        <f t="shared" si="6"/>
        <v>2013</v>
      </c>
      <c r="C164">
        <f t="shared" si="7"/>
        <v>1</v>
      </c>
      <c r="D164">
        <f t="shared" si="8"/>
        <v>1</v>
      </c>
      <c r="E164" t="s">
        <v>313</v>
      </c>
      <c r="F164">
        <v>0</v>
      </c>
      <c r="G164">
        <v>7.25</v>
      </c>
      <c r="H164">
        <v>7.25</v>
      </c>
      <c r="I164">
        <v>3</v>
      </c>
      <c r="J164">
        <v>7.25</v>
      </c>
      <c r="K164">
        <v>0</v>
      </c>
    </row>
    <row r="165" spans="1:11" hidden="1" x14ac:dyDescent="0.35">
      <c r="A165" t="s">
        <v>164</v>
      </c>
      <c r="B165">
        <f t="shared" si="6"/>
        <v>2013</v>
      </c>
      <c r="C165">
        <f t="shared" si="7"/>
        <v>2</v>
      </c>
      <c r="D165">
        <f t="shared" si="8"/>
        <v>1</v>
      </c>
      <c r="E165" t="s">
        <v>313</v>
      </c>
      <c r="F165">
        <v>0</v>
      </c>
      <c r="G165">
        <v>7.25</v>
      </c>
      <c r="H165">
        <v>7.25</v>
      </c>
      <c r="I165">
        <v>0</v>
      </c>
      <c r="J165">
        <v>7.25</v>
      </c>
      <c r="K165">
        <v>0</v>
      </c>
    </row>
    <row r="166" spans="1:11" hidden="1" x14ac:dyDescent="0.35">
      <c r="A166" t="s">
        <v>165</v>
      </c>
      <c r="B166">
        <f t="shared" si="6"/>
        <v>2013</v>
      </c>
      <c r="C166">
        <f t="shared" si="7"/>
        <v>3</v>
      </c>
      <c r="D166">
        <f t="shared" si="8"/>
        <v>1</v>
      </c>
      <c r="E166" t="s">
        <v>313</v>
      </c>
      <c r="F166">
        <v>0</v>
      </c>
      <c r="G166">
        <v>7.25</v>
      </c>
      <c r="H166">
        <v>7.25</v>
      </c>
      <c r="I166">
        <v>13</v>
      </c>
      <c r="J166">
        <v>7.25</v>
      </c>
      <c r="K166">
        <v>0</v>
      </c>
    </row>
    <row r="167" spans="1:11" hidden="1" x14ac:dyDescent="0.35">
      <c r="A167" t="s">
        <v>166</v>
      </c>
      <c r="B167">
        <f t="shared" si="6"/>
        <v>2013</v>
      </c>
      <c r="C167">
        <f t="shared" si="7"/>
        <v>4</v>
      </c>
      <c r="D167">
        <f t="shared" si="8"/>
        <v>2</v>
      </c>
      <c r="E167" t="s">
        <v>313</v>
      </c>
      <c r="F167">
        <v>0</v>
      </c>
      <c r="G167">
        <v>7.5</v>
      </c>
      <c r="H167">
        <v>7.5</v>
      </c>
      <c r="I167">
        <v>-29</v>
      </c>
      <c r="J167">
        <v>7.4870700000000001</v>
      </c>
      <c r="K167">
        <v>1.2930000000000001E-2</v>
      </c>
    </row>
    <row r="168" spans="1:11" hidden="1" x14ac:dyDescent="0.35">
      <c r="A168" t="s">
        <v>167</v>
      </c>
      <c r="B168">
        <f t="shared" si="6"/>
        <v>2013</v>
      </c>
      <c r="C168">
        <f t="shared" si="7"/>
        <v>5</v>
      </c>
      <c r="D168">
        <f t="shared" si="8"/>
        <v>2</v>
      </c>
      <c r="E168" t="s">
        <v>313</v>
      </c>
      <c r="F168">
        <v>25</v>
      </c>
      <c r="G168">
        <v>7.75</v>
      </c>
      <c r="H168">
        <v>8</v>
      </c>
      <c r="I168">
        <v>0</v>
      </c>
      <c r="J168">
        <v>7.8333300000000001</v>
      </c>
      <c r="K168">
        <v>0.16667000000000001</v>
      </c>
    </row>
    <row r="169" spans="1:11" hidden="1" x14ac:dyDescent="0.35">
      <c r="A169" t="s">
        <v>168</v>
      </c>
      <c r="B169">
        <f t="shared" si="6"/>
        <v>2013</v>
      </c>
      <c r="C169">
        <f t="shared" si="7"/>
        <v>6</v>
      </c>
      <c r="D169">
        <f t="shared" si="8"/>
        <v>2</v>
      </c>
      <c r="E169" t="s">
        <v>313</v>
      </c>
      <c r="F169">
        <v>0</v>
      </c>
      <c r="G169">
        <v>8</v>
      </c>
      <c r="H169">
        <v>8</v>
      </c>
      <c r="I169">
        <v>0</v>
      </c>
      <c r="J169">
        <v>8</v>
      </c>
      <c r="K169">
        <v>0</v>
      </c>
    </row>
    <row r="170" spans="1:11" hidden="1" x14ac:dyDescent="0.35">
      <c r="A170" t="s">
        <v>169</v>
      </c>
      <c r="B170">
        <f t="shared" si="6"/>
        <v>2013</v>
      </c>
      <c r="C170">
        <f t="shared" si="7"/>
        <v>7</v>
      </c>
      <c r="D170">
        <f t="shared" si="8"/>
        <v>3</v>
      </c>
      <c r="E170" t="s">
        <v>313</v>
      </c>
      <c r="F170">
        <v>0</v>
      </c>
      <c r="G170">
        <v>8.5</v>
      </c>
      <c r="H170">
        <v>8.5</v>
      </c>
      <c r="I170">
        <v>0</v>
      </c>
      <c r="J170">
        <v>8.5</v>
      </c>
      <c r="K170">
        <v>0</v>
      </c>
    </row>
    <row r="171" spans="1:11" hidden="1" x14ac:dyDescent="0.35">
      <c r="A171" t="s">
        <v>170</v>
      </c>
      <c r="B171">
        <f t="shared" si="6"/>
        <v>2013</v>
      </c>
      <c r="C171">
        <f t="shared" si="7"/>
        <v>8</v>
      </c>
      <c r="D171">
        <f t="shared" si="8"/>
        <v>3</v>
      </c>
      <c r="E171" t="s">
        <v>313</v>
      </c>
      <c r="F171">
        <v>0</v>
      </c>
      <c r="G171">
        <v>9</v>
      </c>
      <c r="H171">
        <v>9</v>
      </c>
      <c r="I171">
        <v>27</v>
      </c>
      <c r="J171">
        <v>9</v>
      </c>
      <c r="K171">
        <v>0</v>
      </c>
    </row>
    <row r="172" spans="1:11" hidden="1" x14ac:dyDescent="0.35">
      <c r="A172" t="s">
        <v>171</v>
      </c>
      <c r="B172">
        <f t="shared" si="6"/>
        <v>2013</v>
      </c>
      <c r="C172">
        <f t="shared" si="7"/>
        <v>9</v>
      </c>
      <c r="D172">
        <f t="shared" si="8"/>
        <v>3</v>
      </c>
      <c r="E172" t="s">
        <v>313</v>
      </c>
      <c r="F172">
        <v>0</v>
      </c>
      <c r="G172">
        <v>9</v>
      </c>
      <c r="H172">
        <v>9</v>
      </c>
      <c r="I172">
        <v>0</v>
      </c>
      <c r="J172">
        <v>9</v>
      </c>
      <c r="K172">
        <v>0</v>
      </c>
    </row>
    <row r="173" spans="1:11" hidden="1" x14ac:dyDescent="0.35">
      <c r="A173" t="s">
        <v>172</v>
      </c>
      <c r="B173">
        <f t="shared" si="6"/>
        <v>2013</v>
      </c>
      <c r="C173">
        <f t="shared" si="7"/>
        <v>10</v>
      </c>
      <c r="D173">
        <f t="shared" si="8"/>
        <v>4</v>
      </c>
      <c r="E173" t="s">
        <v>313</v>
      </c>
      <c r="F173">
        <v>0</v>
      </c>
      <c r="G173">
        <v>9.5</v>
      </c>
      <c r="H173">
        <v>9.5</v>
      </c>
      <c r="I173">
        <v>0</v>
      </c>
      <c r="J173">
        <v>9.5</v>
      </c>
      <c r="K173">
        <v>0</v>
      </c>
    </row>
    <row r="174" spans="1:11" hidden="1" x14ac:dyDescent="0.35">
      <c r="A174" t="s">
        <v>173</v>
      </c>
      <c r="B174">
        <f t="shared" si="6"/>
        <v>2013</v>
      </c>
      <c r="C174">
        <f t="shared" si="7"/>
        <v>11</v>
      </c>
      <c r="D174">
        <f t="shared" si="8"/>
        <v>4</v>
      </c>
      <c r="E174" t="s">
        <v>313</v>
      </c>
      <c r="F174">
        <v>0</v>
      </c>
      <c r="G174">
        <v>10</v>
      </c>
      <c r="H174">
        <v>10</v>
      </c>
      <c r="I174">
        <v>-18</v>
      </c>
      <c r="J174">
        <v>9.99038</v>
      </c>
      <c r="K174">
        <v>9.6200000000000001E-3</v>
      </c>
    </row>
    <row r="175" spans="1:11" hidden="1" x14ac:dyDescent="0.35">
      <c r="A175" t="s">
        <v>174</v>
      </c>
      <c r="B175">
        <f t="shared" si="6"/>
        <v>2013</v>
      </c>
      <c r="C175">
        <f t="shared" si="7"/>
        <v>12</v>
      </c>
      <c r="D175">
        <f t="shared" si="8"/>
        <v>4</v>
      </c>
      <c r="E175" t="s">
        <v>313</v>
      </c>
      <c r="F175">
        <v>0</v>
      </c>
      <c r="G175">
        <v>10</v>
      </c>
      <c r="H175">
        <v>10</v>
      </c>
      <c r="I175">
        <v>0</v>
      </c>
      <c r="J175">
        <v>10</v>
      </c>
      <c r="K175">
        <v>0</v>
      </c>
    </row>
    <row r="176" spans="1:11" hidden="1" x14ac:dyDescent="0.35">
      <c r="A176" t="s">
        <v>175</v>
      </c>
      <c r="B176">
        <f t="shared" si="6"/>
        <v>2014</v>
      </c>
      <c r="C176">
        <f t="shared" si="7"/>
        <v>1</v>
      </c>
      <c r="D176">
        <f t="shared" si="8"/>
        <v>1</v>
      </c>
      <c r="E176" t="s">
        <v>313</v>
      </c>
      <c r="F176">
        <v>25</v>
      </c>
      <c r="G176">
        <v>10.25</v>
      </c>
      <c r="H176">
        <v>10.5</v>
      </c>
      <c r="I176">
        <v>0</v>
      </c>
      <c r="J176">
        <v>10.3432</v>
      </c>
      <c r="K176">
        <v>0.15679999999999999</v>
      </c>
    </row>
    <row r="177" spans="1:11" hidden="1" x14ac:dyDescent="0.35">
      <c r="A177" t="s">
        <v>176</v>
      </c>
      <c r="B177">
        <f t="shared" si="6"/>
        <v>2014</v>
      </c>
      <c r="C177">
        <f t="shared" si="7"/>
        <v>2</v>
      </c>
      <c r="D177">
        <f t="shared" si="8"/>
        <v>1</v>
      </c>
      <c r="E177" t="s">
        <v>313</v>
      </c>
      <c r="F177">
        <v>0</v>
      </c>
      <c r="G177">
        <v>10.75</v>
      </c>
      <c r="H177">
        <v>10.75</v>
      </c>
      <c r="I177">
        <v>0</v>
      </c>
      <c r="J177">
        <v>10.811500000000001</v>
      </c>
      <c r="K177">
        <v>-6.1499999999999999E-2</v>
      </c>
    </row>
    <row r="178" spans="1:11" hidden="1" x14ac:dyDescent="0.35">
      <c r="A178" t="s">
        <v>177</v>
      </c>
      <c r="B178">
        <f t="shared" si="6"/>
        <v>2014</v>
      </c>
      <c r="C178">
        <f t="shared" si="7"/>
        <v>3</v>
      </c>
      <c r="D178">
        <f t="shared" si="8"/>
        <v>1</v>
      </c>
      <c r="E178" t="s">
        <v>313</v>
      </c>
      <c r="F178">
        <v>0</v>
      </c>
      <c r="G178">
        <v>10.75</v>
      </c>
      <c r="H178">
        <v>10.75</v>
      </c>
      <c r="I178">
        <v>0</v>
      </c>
      <c r="J178">
        <v>10.75</v>
      </c>
      <c r="K178">
        <v>0</v>
      </c>
    </row>
    <row r="179" spans="1:11" hidden="1" x14ac:dyDescent="0.35">
      <c r="A179" t="s">
        <v>178</v>
      </c>
      <c r="B179">
        <f t="shared" si="6"/>
        <v>2014</v>
      </c>
      <c r="C179">
        <f t="shared" si="7"/>
        <v>4</v>
      </c>
      <c r="D179">
        <f t="shared" si="8"/>
        <v>2</v>
      </c>
      <c r="E179" t="s">
        <v>313</v>
      </c>
      <c r="F179">
        <v>0</v>
      </c>
      <c r="G179">
        <v>11</v>
      </c>
      <c r="H179">
        <v>11</v>
      </c>
      <c r="I179">
        <v>0</v>
      </c>
      <c r="J179">
        <v>11</v>
      </c>
      <c r="K179">
        <v>0</v>
      </c>
    </row>
    <row r="180" spans="1:11" hidden="1" x14ac:dyDescent="0.35">
      <c r="A180" t="s">
        <v>179</v>
      </c>
      <c r="B180">
        <f t="shared" si="6"/>
        <v>2014</v>
      </c>
      <c r="C180">
        <f t="shared" si="7"/>
        <v>5</v>
      </c>
      <c r="D180">
        <f t="shared" si="8"/>
        <v>2</v>
      </c>
      <c r="E180" t="s">
        <v>313</v>
      </c>
      <c r="F180">
        <v>0</v>
      </c>
      <c r="G180">
        <v>11</v>
      </c>
      <c r="H180">
        <v>11</v>
      </c>
      <c r="I180">
        <v>0</v>
      </c>
      <c r="J180">
        <v>11.032999999999999</v>
      </c>
      <c r="K180">
        <v>-3.3000000000000002E-2</v>
      </c>
    </row>
    <row r="181" spans="1:11" hidden="1" x14ac:dyDescent="0.35">
      <c r="A181" t="s">
        <v>180</v>
      </c>
      <c r="B181">
        <f t="shared" si="6"/>
        <v>2014</v>
      </c>
      <c r="C181">
        <f t="shared" si="7"/>
        <v>6</v>
      </c>
      <c r="D181">
        <f t="shared" si="8"/>
        <v>2</v>
      </c>
      <c r="E181" t="s">
        <v>313</v>
      </c>
      <c r="F181">
        <v>0</v>
      </c>
      <c r="G181">
        <v>11</v>
      </c>
      <c r="H181">
        <v>11</v>
      </c>
      <c r="I181">
        <v>0</v>
      </c>
      <c r="J181">
        <v>11</v>
      </c>
      <c r="K181">
        <v>0</v>
      </c>
    </row>
    <row r="182" spans="1:11" hidden="1" x14ac:dyDescent="0.35">
      <c r="A182" t="s">
        <v>181</v>
      </c>
      <c r="B182">
        <f t="shared" si="6"/>
        <v>2014</v>
      </c>
      <c r="C182">
        <f t="shared" si="7"/>
        <v>7</v>
      </c>
      <c r="D182">
        <f t="shared" si="8"/>
        <v>3</v>
      </c>
      <c r="E182" t="s">
        <v>313</v>
      </c>
      <c r="F182">
        <v>0</v>
      </c>
      <c r="G182">
        <v>11</v>
      </c>
      <c r="H182">
        <v>11</v>
      </c>
      <c r="I182">
        <v>0</v>
      </c>
      <c r="J182">
        <v>11</v>
      </c>
      <c r="K182">
        <v>0</v>
      </c>
    </row>
    <row r="183" spans="1:11" hidden="1" x14ac:dyDescent="0.35">
      <c r="A183" t="s">
        <v>182</v>
      </c>
      <c r="B183">
        <f t="shared" si="6"/>
        <v>2014</v>
      </c>
      <c r="C183">
        <f t="shared" si="7"/>
        <v>8</v>
      </c>
      <c r="D183">
        <f t="shared" si="8"/>
        <v>3</v>
      </c>
      <c r="E183" t="s">
        <v>313</v>
      </c>
      <c r="F183">
        <v>0</v>
      </c>
      <c r="G183">
        <v>11</v>
      </c>
      <c r="H183">
        <v>11</v>
      </c>
      <c r="I183">
        <v>0</v>
      </c>
      <c r="J183">
        <v>11</v>
      </c>
      <c r="K183">
        <v>0</v>
      </c>
    </row>
    <row r="184" spans="1:11" hidden="1" x14ac:dyDescent="0.35">
      <c r="A184" t="s">
        <v>183</v>
      </c>
      <c r="B184">
        <f t="shared" si="6"/>
        <v>2014</v>
      </c>
      <c r="C184">
        <f t="shared" si="7"/>
        <v>9</v>
      </c>
      <c r="D184">
        <f t="shared" si="8"/>
        <v>3</v>
      </c>
      <c r="E184" t="s">
        <v>313</v>
      </c>
      <c r="F184">
        <v>0</v>
      </c>
      <c r="G184">
        <v>11</v>
      </c>
      <c r="H184">
        <v>11</v>
      </c>
      <c r="I184">
        <v>0</v>
      </c>
      <c r="J184">
        <v>10.9954</v>
      </c>
      <c r="K184">
        <v>4.5999999999999999E-3</v>
      </c>
    </row>
    <row r="185" spans="1:11" hidden="1" x14ac:dyDescent="0.35">
      <c r="A185" t="s">
        <v>184</v>
      </c>
      <c r="B185">
        <f t="shared" si="6"/>
        <v>2014</v>
      </c>
      <c r="C185">
        <f t="shared" si="7"/>
        <v>10</v>
      </c>
      <c r="D185">
        <f t="shared" si="8"/>
        <v>4</v>
      </c>
      <c r="E185" t="s">
        <v>313</v>
      </c>
      <c r="F185">
        <v>25</v>
      </c>
      <c r="G185">
        <v>11</v>
      </c>
      <c r="H185">
        <v>11.25</v>
      </c>
      <c r="I185">
        <v>34</v>
      </c>
      <c r="J185">
        <v>11.0046</v>
      </c>
      <c r="K185">
        <v>0.24540000000000001</v>
      </c>
    </row>
    <row r="186" spans="1:11" hidden="1" x14ac:dyDescent="0.35">
      <c r="A186" t="s">
        <v>185</v>
      </c>
      <c r="B186">
        <f t="shared" si="6"/>
        <v>2014</v>
      </c>
      <c r="C186">
        <f t="shared" si="7"/>
        <v>11</v>
      </c>
      <c r="D186">
        <f t="shared" si="8"/>
        <v>4</v>
      </c>
      <c r="E186" t="s">
        <v>313</v>
      </c>
      <c r="F186">
        <v>0</v>
      </c>
      <c r="G186">
        <v>11.25</v>
      </c>
      <c r="H186">
        <v>11.25</v>
      </c>
      <c r="I186">
        <v>0</v>
      </c>
      <c r="J186">
        <v>11.25</v>
      </c>
      <c r="K186">
        <v>0</v>
      </c>
    </row>
    <row r="187" spans="1:11" hidden="1" x14ac:dyDescent="0.35">
      <c r="A187" t="s">
        <v>186</v>
      </c>
      <c r="B187">
        <f t="shared" si="6"/>
        <v>2014</v>
      </c>
      <c r="C187">
        <f t="shared" si="7"/>
        <v>12</v>
      </c>
      <c r="D187">
        <f t="shared" si="8"/>
        <v>4</v>
      </c>
      <c r="E187" t="s">
        <v>313</v>
      </c>
      <c r="F187">
        <v>0</v>
      </c>
      <c r="G187">
        <v>11.75</v>
      </c>
      <c r="H187">
        <v>11.75</v>
      </c>
      <c r="I187">
        <v>-19</v>
      </c>
      <c r="J187">
        <v>11.6409</v>
      </c>
      <c r="K187">
        <v>0.1091</v>
      </c>
    </row>
    <row r="188" spans="1:11" hidden="1" x14ac:dyDescent="0.35">
      <c r="A188" t="s">
        <v>187</v>
      </c>
      <c r="B188">
        <f t="shared" si="6"/>
        <v>2015</v>
      </c>
      <c r="C188">
        <f t="shared" si="7"/>
        <v>1</v>
      </c>
      <c r="D188">
        <f t="shared" si="8"/>
        <v>1</v>
      </c>
      <c r="E188" t="s">
        <v>313</v>
      </c>
      <c r="F188">
        <v>0</v>
      </c>
      <c r="G188">
        <v>12.25</v>
      </c>
      <c r="H188">
        <v>12.25</v>
      </c>
      <c r="I188">
        <v>0</v>
      </c>
      <c r="J188">
        <v>12.2333</v>
      </c>
      <c r="K188">
        <v>1.67E-2</v>
      </c>
    </row>
    <row r="189" spans="1:11" hidden="1" x14ac:dyDescent="0.35">
      <c r="A189" t="s">
        <v>188</v>
      </c>
      <c r="B189">
        <f t="shared" si="6"/>
        <v>2015</v>
      </c>
      <c r="C189">
        <f t="shared" si="7"/>
        <v>2</v>
      </c>
      <c r="D189">
        <f t="shared" si="8"/>
        <v>1</v>
      </c>
      <c r="E189" t="s">
        <v>313</v>
      </c>
      <c r="F189">
        <v>0</v>
      </c>
      <c r="G189">
        <v>12.25</v>
      </c>
      <c r="H189">
        <v>12.25</v>
      </c>
      <c r="I189">
        <v>0</v>
      </c>
      <c r="J189">
        <v>12.25</v>
      </c>
      <c r="K189">
        <v>0</v>
      </c>
    </row>
    <row r="190" spans="1:11" hidden="1" x14ac:dyDescent="0.35">
      <c r="A190" t="s">
        <v>189</v>
      </c>
      <c r="B190">
        <f t="shared" si="6"/>
        <v>2015</v>
      </c>
      <c r="C190">
        <f t="shared" si="7"/>
        <v>3</v>
      </c>
      <c r="D190">
        <f t="shared" si="8"/>
        <v>1</v>
      </c>
      <c r="E190" t="s">
        <v>313</v>
      </c>
      <c r="F190">
        <v>0</v>
      </c>
      <c r="G190">
        <v>12.75</v>
      </c>
      <c r="H190">
        <v>12.75</v>
      </c>
      <c r="I190">
        <v>12</v>
      </c>
      <c r="J190">
        <v>12.7341</v>
      </c>
      <c r="K190">
        <v>1.5900000000000001E-2</v>
      </c>
    </row>
    <row r="191" spans="1:11" hidden="1" x14ac:dyDescent="0.35">
      <c r="A191" t="s">
        <v>190</v>
      </c>
      <c r="B191">
        <f t="shared" si="6"/>
        <v>2015</v>
      </c>
      <c r="C191">
        <f t="shared" si="7"/>
        <v>4</v>
      </c>
      <c r="D191">
        <f t="shared" si="8"/>
        <v>2</v>
      </c>
      <c r="E191" t="s">
        <v>313</v>
      </c>
      <c r="F191">
        <v>0</v>
      </c>
      <c r="G191">
        <v>13.25</v>
      </c>
      <c r="H191">
        <v>13.25</v>
      </c>
      <c r="I191">
        <v>21</v>
      </c>
      <c r="J191">
        <v>13.2172</v>
      </c>
      <c r="K191">
        <v>3.2800000000000003E-2</v>
      </c>
    </row>
    <row r="192" spans="1:11" hidden="1" x14ac:dyDescent="0.35">
      <c r="A192" t="s">
        <v>191</v>
      </c>
      <c r="B192">
        <f t="shared" si="6"/>
        <v>2015</v>
      </c>
      <c r="C192">
        <f t="shared" si="7"/>
        <v>5</v>
      </c>
      <c r="D192">
        <f t="shared" si="8"/>
        <v>2</v>
      </c>
      <c r="E192" t="s">
        <v>313</v>
      </c>
      <c r="F192">
        <v>0</v>
      </c>
      <c r="G192">
        <v>13.25</v>
      </c>
      <c r="H192">
        <v>13.25</v>
      </c>
      <c r="I192">
        <v>0</v>
      </c>
      <c r="J192">
        <v>13.25</v>
      </c>
      <c r="K192">
        <v>0</v>
      </c>
    </row>
    <row r="193" spans="1:11" hidden="1" x14ac:dyDescent="0.35">
      <c r="A193" t="s">
        <v>192</v>
      </c>
      <c r="B193">
        <f t="shared" si="6"/>
        <v>2015</v>
      </c>
      <c r="C193">
        <f t="shared" si="7"/>
        <v>6</v>
      </c>
      <c r="D193">
        <f t="shared" si="8"/>
        <v>2</v>
      </c>
      <c r="E193" t="s">
        <v>313</v>
      </c>
      <c r="F193">
        <v>0</v>
      </c>
      <c r="G193">
        <v>13.75</v>
      </c>
      <c r="H193">
        <v>13.75</v>
      </c>
      <c r="I193">
        <v>0</v>
      </c>
      <c r="J193">
        <v>13.7455</v>
      </c>
      <c r="K193">
        <v>4.4999999999999997E-3</v>
      </c>
    </row>
    <row r="194" spans="1:11" hidden="1" x14ac:dyDescent="0.35">
      <c r="A194" t="s">
        <v>193</v>
      </c>
      <c r="B194">
        <f t="shared" si="6"/>
        <v>2015</v>
      </c>
      <c r="C194">
        <f t="shared" si="7"/>
        <v>7</v>
      </c>
      <c r="D194">
        <f t="shared" si="8"/>
        <v>3</v>
      </c>
      <c r="E194" t="s">
        <v>313</v>
      </c>
      <c r="F194">
        <v>0</v>
      </c>
      <c r="G194">
        <v>14.25</v>
      </c>
      <c r="H194">
        <v>14.25</v>
      </c>
      <c r="I194">
        <v>-25</v>
      </c>
      <c r="J194">
        <v>14.2155</v>
      </c>
      <c r="K194">
        <v>3.4500000000000003E-2</v>
      </c>
    </row>
    <row r="195" spans="1:11" hidden="1" x14ac:dyDescent="0.35">
      <c r="A195" t="s">
        <v>194</v>
      </c>
      <c r="B195">
        <f t="shared" ref="B195:B258" si="9">LEFT(A195,4)*1</f>
        <v>2015</v>
      </c>
      <c r="C195">
        <f t="shared" ref="C195:C258" si="10">MID(A195,6,2)*1</f>
        <v>8</v>
      </c>
      <c r="D195">
        <f t="shared" ref="D195:D258" si="11">ROUNDUP(C195/3,0)</f>
        <v>3</v>
      </c>
      <c r="E195" t="s">
        <v>313</v>
      </c>
      <c r="F195">
        <v>0</v>
      </c>
      <c r="G195">
        <v>14.25</v>
      </c>
      <c r="H195">
        <v>14.25</v>
      </c>
      <c r="I195">
        <v>0</v>
      </c>
      <c r="J195">
        <v>14.25</v>
      </c>
      <c r="K195">
        <v>0</v>
      </c>
    </row>
    <row r="196" spans="1:11" hidden="1" x14ac:dyDescent="0.35">
      <c r="A196" t="s">
        <v>195</v>
      </c>
      <c r="B196">
        <f t="shared" si="9"/>
        <v>2015</v>
      </c>
      <c r="C196">
        <f t="shared" si="10"/>
        <v>9</v>
      </c>
      <c r="D196">
        <f t="shared" si="11"/>
        <v>3</v>
      </c>
      <c r="E196" t="s">
        <v>313</v>
      </c>
      <c r="F196">
        <v>0</v>
      </c>
      <c r="G196">
        <v>14.25</v>
      </c>
      <c r="H196">
        <v>14.25</v>
      </c>
      <c r="I196">
        <v>-16</v>
      </c>
      <c r="J196">
        <v>14.2723</v>
      </c>
      <c r="K196">
        <v>-2.23E-2</v>
      </c>
    </row>
    <row r="197" spans="1:11" hidden="1" x14ac:dyDescent="0.35">
      <c r="A197" t="s">
        <v>196</v>
      </c>
      <c r="B197">
        <f t="shared" si="9"/>
        <v>2015</v>
      </c>
      <c r="C197">
        <f t="shared" si="10"/>
        <v>10</v>
      </c>
      <c r="D197">
        <f t="shared" si="11"/>
        <v>4</v>
      </c>
      <c r="E197" t="s">
        <v>313</v>
      </c>
      <c r="F197">
        <v>0</v>
      </c>
      <c r="G197">
        <v>14.25</v>
      </c>
      <c r="H197">
        <v>14.25</v>
      </c>
      <c r="I197">
        <v>-18</v>
      </c>
      <c r="J197">
        <v>14.25</v>
      </c>
      <c r="K197">
        <v>0</v>
      </c>
    </row>
    <row r="198" spans="1:11" hidden="1" x14ac:dyDescent="0.35">
      <c r="A198" t="s">
        <v>197</v>
      </c>
      <c r="B198">
        <f t="shared" si="9"/>
        <v>2015</v>
      </c>
      <c r="C198">
        <f t="shared" si="10"/>
        <v>11</v>
      </c>
      <c r="D198">
        <f t="shared" si="11"/>
        <v>4</v>
      </c>
      <c r="E198" t="s">
        <v>313</v>
      </c>
      <c r="F198">
        <v>0</v>
      </c>
      <c r="G198">
        <v>14.25</v>
      </c>
      <c r="H198">
        <v>14.25</v>
      </c>
      <c r="I198">
        <v>24</v>
      </c>
      <c r="J198">
        <v>14.255000000000001</v>
      </c>
      <c r="K198">
        <v>-5.0000000000000001E-3</v>
      </c>
    </row>
    <row r="199" spans="1:11" hidden="1" x14ac:dyDescent="0.35">
      <c r="A199" t="s">
        <v>198</v>
      </c>
      <c r="B199">
        <f t="shared" si="9"/>
        <v>2015</v>
      </c>
      <c r="C199">
        <f t="shared" si="10"/>
        <v>12</v>
      </c>
      <c r="D199">
        <f t="shared" si="11"/>
        <v>4</v>
      </c>
      <c r="E199" t="s">
        <v>313</v>
      </c>
      <c r="F199">
        <v>0</v>
      </c>
      <c r="G199">
        <v>14.25</v>
      </c>
      <c r="H199">
        <v>14.25</v>
      </c>
      <c r="I199">
        <v>0</v>
      </c>
      <c r="J199">
        <v>14.25</v>
      </c>
      <c r="K199">
        <v>0</v>
      </c>
    </row>
    <row r="200" spans="1:11" hidden="1" x14ac:dyDescent="0.35">
      <c r="A200" t="s">
        <v>199</v>
      </c>
      <c r="B200">
        <f t="shared" si="9"/>
        <v>2016</v>
      </c>
      <c r="C200">
        <f t="shared" si="10"/>
        <v>1</v>
      </c>
      <c r="D200">
        <f t="shared" si="11"/>
        <v>1</v>
      </c>
      <c r="E200" t="s">
        <v>313</v>
      </c>
      <c r="F200">
        <v>-25</v>
      </c>
      <c r="G200">
        <v>14.5</v>
      </c>
      <c r="H200">
        <v>14.25</v>
      </c>
      <c r="I200">
        <v>-26</v>
      </c>
      <c r="J200">
        <v>14.557</v>
      </c>
      <c r="K200">
        <v>-0.307</v>
      </c>
    </row>
    <row r="201" spans="1:11" hidden="1" x14ac:dyDescent="0.35">
      <c r="A201" t="s">
        <v>200</v>
      </c>
      <c r="B201">
        <f t="shared" si="9"/>
        <v>2016</v>
      </c>
      <c r="C201">
        <f t="shared" si="10"/>
        <v>2</v>
      </c>
      <c r="D201">
        <f t="shared" si="11"/>
        <v>1</v>
      </c>
      <c r="E201" t="s">
        <v>313</v>
      </c>
      <c r="F201">
        <v>0</v>
      </c>
      <c r="G201">
        <v>14.25</v>
      </c>
      <c r="H201">
        <v>14.25</v>
      </c>
      <c r="I201">
        <v>0</v>
      </c>
      <c r="J201">
        <v>14.25</v>
      </c>
      <c r="K201">
        <v>0</v>
      </c>
    </row>
    <row r="202" spans="1:11" hidden="1" x14ac:dyDescent="0.35">
      <c r="A202" t="s">
        <v>201</v>
      </c>
      <c r="B202">
        <f t="shared" si="9"/>
        <v>2016</v>
      </c>
      <c r="C202">
        <f t="shared" si="10"/>
        <v>3</v>
      </c>
      <c r="D202">
        <f t="shared" si="11"/>
        <v>1</v>
      </c>
      <c r="E202" t="s">
        <v>313</v>
      </c>
      <c r="F202">
        <v>0</v>
      </c>
      <c r="G202">
        <v>14.25</v>
      </c>
      <c r="H202">
        <v>14.25</v>
      </c>
      <c r="I202">
        <v>-2</v>
      </c>
      <c r="J202">
        <v>14.266299999999999</v>
      </c>
      <c r="K202">
        <v>-1.6299999999999999E-2</v>
      </c>
    </row>
    <row r="203" spans="1:11" hidden="1" x14ac:dyDescent="0.35">
      <c r="A203" t="s">
        <v>202</v>
      </c>
      <c r="B203">
        <f t="shared" si="9"/>
        <v>2016</v>
      </c>
      <c r="C203">
        <f t="shared" si="10"/>
        <v>4</v>
      </c>
      <c r="D203">
        <f t="shared" si="11"/>
        <v>2</v>
      </c>
      <c r="E203" t="s">
        <v>313</v>
      </c>
      <c r="F203">
        <v>0</v>
      </c>
      <c r="G203">
        <v>14.25</v>
      </c>
      <c r="H203">
        <v>14.25</v>
      </c>
      <c r="I203">
        <v>8</v>
      </c>
      <c r="J203">
        <v>14.25</v>
      </c>
      <c r="K203">
        <v>0</v>
      </c>
    </row>
    <row r="204" spans="1:11" hidden="1" x14ac:dyDescent="0.35">
      <c r="A204" t="s">
        <v>203</v>
      </c>
      <c r="B204">
        <f t="shared" si="9"/>
        <v>2016</v>
      </c>
      <c r="C204">
        <f t="shared" si="10"/>
        <v>5</v>
      </c>
      <c r="D204">
        <f t="shared" si="11"/>
        <v>2</v>
      </c>
      <c r="E204" t="s">
        <v>313</v>
      </c>
      <c r="F204">
        <v>0</v>
      </c>
      <c r="G204">
        <v>14.25</v>
      </c>
      <c r="H204">
        <v>14.25</v>
      </c>
      <c r="I204">
        <v>0</v>
      </c>
      <c r="J204">
        <v>14.25</v>
      </c>
      <c r="K204">
        <v>0</v>
      </c>
    </row>
    <row r="205" spans="1:11" hidden="1" x14ac:dyDescent="0.35">
      <c r="A205" t="s">
        <v>204</v>
      </c>
      <c r="B205">
        <f t="shared" si="9"/>
        <v>2016</v>
      </c>
      <c r="C205">
        <f t="shared" si="10"/>
        <v>6</v>
      </c>
      <c r="D205">
        <f t="shared" si="11"/>
        <v>2</v>
      </c>
      <c r="E205" t="s">
        <v>313</v>
      </c>
      <c r="F205">
        <v>0</v>
      </c>
      <c r="G205">
        <v>14.25</v>
      </c>
      <c r="H205">
        <v>14.25</v>
      </c>
      <c r="I205">
        <v>10</v>
      </c>
      <c r="J205">
        <v>14.25</v>
      </c>
      <c r="K205">
        <v>0</v>
      </c>
    </row>
    <row r="206" spans="1:11" hidden="1" x14ac:dyDescent="0.35">
      <c r="A206" t="s">
        <v>205</v>
      </c>
      <c r="B206">
        <f t="shared" si="9"/>
        <v>2016</v>
      </c>
      <c r="C206">
        <f t="shared" si="10"/>
        <v>7</v>
      </c>
      <c r="D206">
        <f t="shared" si="11"/>
        <v>3</v>
      </c>
      <c r="E206" t="s">
        <v>313</v>
      </c>
      <c r="F206">
        <v>0</v>
      </c>
      <c r="G206">
        <v>14.25</v>
      </c>
      <c r="H206">
        <v>14.25</v>
      </c>
      <c r="I206">
        <v>18</v>
      </c>
      <c r="J206">
        <v>14.25</v>
      </c>
      <c r="K206">
        <v>0</v>
      </c>
    </row>
    <row r="207" spans="1:11" hidden="1" x14ac:dyDescent="0.35">
      <c r="A207" t="s">
        <v>206</v>
      </c>
      <c r="B207">
        <f t="shared" si="9"/>
        <v>2016</v>
      </c>
      <c r="C207">
        <f t="shared" si="10"/>
        <v>8</v>
      </c>
      <c r="D207">
        <f t="shared" si="11"/>
        <v>3</v>
      </c>
      <c r="E207" t="s">
        <v>313</v>
      </c>
      <c r="F207">
        <v>0</v>
      </c>
      <c r="G207">
        <v>14.25</v>
      </c>
      <c r="H207">
        <v>14.25</v>
      </c>
      <c r="I207">
        <v>-15</v>
      </c>
      <c r="J207">
        <v>14.25</v>
      </c>
      <c r="K207">
        <v>0</v>
      </c>
    </row>
    <row r="208" spans="1:11" hidden="1" x14ac:dyDescent="0.35">
      <c r="A208" t="s">
        <v>207</v>
      </c>
      <c r="B208">
        <f t="shared" si="9"/>
        <v>2016</v>
      </c>
      <c r="C208">
        <f t="shared" si="10"/>
        <v>9</v>
      </c>
      <c r="D208">
        <f t="shared" si="11"/>
        <v>3</v>
      </c>
      <c r="E208" t="s">
        <v>313</v>
      </c>
      <c r="F208">
        <v>0</v>
      </c>
      <c r="G208">
        <v>14.25</v>
      </c>
      <c r="H208">
        <v>14.25</v>
      </c>
      <c r="I208">
        <v>0</v>
      </c>
      <c r="J208">
        <v>14.25</v>
      </c>
      <c r="K208">
        <v>0</v>
      </c>
    </row>
    <row r="209" spans="1:11" hidden="1" x14ac:dyDescent="0.35">
      <c r="A209" t="s">
        <v>208</v>
      </c>
      <c r="B209">
        <f t="shared" si="9"/>
        <v>2016</v>
      </c>
      <c r="C209">
        <f t="shared" si="10"/>
        <v>10</v>
      </c>
      <c r="D209">
        <f t="shared" si="11"/>
        <v>4</v>
      </c>
      <c r="E209" t="s">
        <v>313</v>
      </c>
      <c r="F209">
        <v>0</v>
      </c>
      <c r="G209">
        <v>14</v>
      </c>
      <c r="H209">
        <v>14</v>
      </c>
      <c r="I209">
        <v>18</v>
      </c>
      <c r="J209">
        <v>13.919499999999999</v>
      </c>
      <c r="K209">
        <v>8.0500000000000002E-2</v>
      </c>
    </row>
    <row r="210" spans="1:11" hidden="1" x14ac:dyDescent="0.35">
      <c r="A210" t="s">
        <v>209</v>
      </c>
      <c r="B210">
        <f t="shared" si="9"/>
        <v>2016</v>
      </c>
      <c r="C210">
        <f t="shared" si="10"/>
        <v>11</v>
      </c>
      <c r="D210">
        <f t="shared" si="11"/>
        <v>4</v>
      </c>
      <c r="E210" t="s">
        <v>313</v>
      </c>
      <c r="F210">
        <v>0</v>
      </c>
      <c r="G210">
        <v>13.75</v>
      </c>
      <c r="H210">
        <v>13.75</v>
      </c>
      <c r="I210">
        <v>18</v>
      </c>
      <c r="J210">
        <v>13.717000000000001</v>
      </c>
      <c r="K210">
        <v>3.3000000000000002E-2</v>
      </c>
    </row>
    <row r="211" spans="1:11" hidden="1" x14ac:dyDescent="0.35">
      <c r="A211" t="s">
        <v>210</v>
      </c>
      <c r="B211">
        <f t="shared" si="9"/>
        <v>2016</v>
      </c>
      <c r="C211">
        <f t="shared" si="10"/>
        <v>12</v>
      </c>
      <c r="D211">
        <f t="shared" si="11"/>
        <v>4</v>
      </c>
      <c r="E211" t="s">
        <v>313</v>
      </c>
      <c r="F211">
        <v>0</v>
      </c>
      <c r="G211">
        <v>13.75</v>
      </c>
      <c r="H211">
        <v>13.75</v>
      </c>
      <c r="I211">
        <v>0</v>
      </c>
      <c r="J211">
        <v>13.75</v>
      </c>
      <c r="K211">
        <v>0</v>
      </c>
    </row>
    <row r="212" spans="1:11" hidden="1" x14ac:dyDescent="0.35">
      <c r="A212" t="s">
        <v>211</v>
      </c>
      <c r="B212">
        <f t="shared" si="9"/>
        <v>2017</v>
      </c>
      <c r="C212">
        <f t="shared" si="10"/>
        <v>1</v>
      </c>
      <c r="D212">
        <f t="shared" si="11"/>
        <v>1</v>
      </c>
      <c r="E212" t="s">
        <v>313</v>
      </c>
      <c r="F212">
        <v>-25</v>
      </c>
      <c r="G212">
        <v>13.25</v>
      </c>
      <c r="H212">
        <v>13</v>
      </c>
      <c r="I212">
        <v>-34</v>
      </c>
      <c r="J212">
        <v>13.234400000000001</v>
      </c>
      <c r="K212">
        <v>-0.2344</v>
      </c>
    </row>
    <row r="213" spans="1:11" hidden="1" x14ac:dyDescent="0.35">
      <c r="A213" t="s">
        <v>212</v>
      </c>
      <c r="B213">
        <f t="shared" si="9"/>
        <v>2017</v>
      </c>
      <c r="C213">
        <f t="shared" si="10"/>
        <v>2</v>
      </c>
      <c r="D213">
        <f t="shared" si="11"/>
        <v>1</v>
      </c>
      <c r="E213" t="s">
        <v>313</v>
      </c>
      <c r="F213">
        <v>0</v>
      </c>
      <c r="G213">
        <v>12.25</v>
      </c>
      <c r="H213">
        <v>12.25</v>
      </c>
      <c r="I213">
        <v>-13</v>
      </c>
      <c r="J213">
        <v>12.245200000000001</v>
      </c>
      <c r="K213">
        <v>4.7999999999999996E-3</v>
      </c>
    </row>
    <row r="214" spans="1:11" hidden="1" x14ac:dyDescent="0.35">
      <c r="A214" t="s">
        <v>213</v>
      </c>
      <c r="B214">
        <f t="shared" si="9"/>
        <v>2017</v>
      </c>
      <c r="C214">
        <f t="shared" si="10"/>
        <v>3</v>
      </c>
      <c r="D214">
        <f t="shared" si="11"/>
        <v>1</v>
      </c>
      <c r="E214" t="s">
        <v>313</v>
      </c>
      <c r="F214">
        <v>0</v>
      </c>
      <c r="G214">
        <v>12.25</v>
      </c>
      <c r="H214">
        <v>12.25</v>
      </c>
      <c r="I214">
        <v>0</v>
      </c>
      <c r="J214">
        <v>12.25</v>
      </c>
      <c r="K214">
        <v>0</v>
      </c>
    </row>
    <row r="215" spans="1:11" hidden="1" x14ac:dyDescent="0.35">
      <c r="A215" t="s">
        <v>214</v>
      </c>
      <c r="B215">
        <f t="shared" si="9"/>
        <v>2017</v>
      </c>
      <c r="C215">
        <f t="shared" si="10"/>
        <v>4</v>
      </c>
      <c r="D215">
        <f t="shared" si="11"/>
        <v>2</v>
      </c>
      <c r="E215" t="s">
        <v>313</v>
      </c>
      <c r="F215">
        <v>0</v>
      </c>
      <c r="G215">
        <v>11.25</v>
      </c>
      <c r="H215">
        <v>11.25</v>
      </c>
      <c r="I215">
        <v>2</v>
      </c>
      <c r="J215">
        <v>11.2386</v>
      </c>
      <c r="K215">
        <v>1.14E-2</v>
      </c>
    </row>
    <row r="216" spans="1:11" hidden="1" x14ac:dyDescent="0.35">
      <c r="A216" t="s">
        <v>215</v>
      </c>
      <c r="B216">
        <f t="shared" si="9"/>
        <v>2017</v>
      </c>
      <c r="C216">
        <f t="shared" si="10"/>
        <v>5</v>
      </c>
      <c r="D216">
        <f t="shared" si="11"/>
        <v>2</v>
      </c>
      <c r="E216" t="s">
        <v>313</v>
      </c>
      <c r="F216">
        <v>0</v>
      </c>
      <c r="G216">
        <v>10.25</v>
      </c>
      <c r="H216">
        <v>10.25</v>
      </c>
      <c r="I216">
        <v>16</v>
      </c>
      <c r="J216">
        <v>10.2606</v>
      </c>
      <c r="K216">
        <v>-1.06E-2</v>
      </c>
    </row>
    <row r="217" spans="1:11" hidden="1" x14ac:dyDescent="0.35">
      <c r="A217" t="s">
        <v>216</v>
      </c>
      <c r="B217">
        <f t="shared" si="9"/>
        <v>2017</v>
      </c>
      <c r="C217">
        <f t="shared" si="10"/>
        <v>6</v>
      </c>
      <c r="D217">
        <f t="shared" si="11"/>
        <v>2</v>
      </c>
      <c r="E217" t="s">
        <v>313</v>
      </c>
      <c r="F217">
        <v>0</v>
      </c>
      <c r="G217">
        <v>10.25</v>
      </c>
      <c r="H217">
        <v>10.25</v>
      </c>
      <c r="I217">
        <v>0</v>
      </c>
      <c r="J217">
        <v>10.25</v>
      </c>
      <c r="K217">
        <v>0</v>
      </c>
    </row>
    <row r="218" spans="1:11" hidden="1" x14ac:dyDescent="0.35">
      <c r="A218" t="s">
        <v>217</v>
      </c>
      <c r="B218">
        <f t="shared" si="9"/>
        <v>2017</v>
      </c>
      <c r="C218">
        <f t="shared" si="10"/>
        <v>7</v>
      </c>
      <c r="D218">
        <f t="shared" si="11"/>
        <v>3</v>
      </c>
      <c r="E218" t="s">
        <v>313</v>
      </c>
      <c r="F218">
        <v>0</v>
      </c>
      <c r="G218">
        <v>9.25</v>
      </c>
      <c r="H218">
        <v>9.25</v>
      </c>
      <c r="I218">
        <v>-27</v>
      </c>
      <c r="J218">
        <v>9.25</v>
      </c>
      <c r="K218">
        <v>0</v>
      </c>
    </row>
    <row r="219" spans="1:11" hidden="1" x14ac:dyDescent="0.35">
      <c r="A219" t="s">
        <v>218</v>
      </c>
      <c r="B219">
        <f t="shared" si="9"/>
        <v>2017</v>
      </c>
      <c r="C219">
        <f t="shared" si="10"/>
        <v>8</v>
      </c>
      <c r="D219">
        <f t="shared" si="11"/>
        <v>3</v>
      </c>
      <c r="E219" t="s">
        <v>313</v>
      </c>
      <c r="F219">
        <v>0</v>
      </c>
      <c r="G219">
        <v>9.25</v>
      </c>
      <c r="H219">
        <v>9.25</v>
      </c>
      <c r="I219">
        <v>0</v>
      </c>
      <c r="J219">
        <v>9.25</v>
      </c>
      <c r="K219">
        <v>0</v>
      </c>
    </row>
    <row r="220" spans="1:11" hidden="1" x14ac:dyDescent="0.35">
      <c r="A220" t="s">
        <v>219</v>
      </c>
      <c r="B220">
        <f t="shared" si="9"/>
        <v>2017</v>
      </c>
      <c r="C220">
        <f t="shared" si="10"/>
        <v>9</v>
      </c>
      <c r="D220">
        <f t="shared" si="11"/>
        <v>3</v>
      </c>
      <c r="E220" t="s">
        <v>313</v>
      </c>
      <c r="F220">
        <v>0</v>
      </c>
      <c r="G220">
        <v>8.25</v>
      </c>
      <c r="H220">
        <v>8.25</v>
      </c>
      <c r="I220">
        <v>0</v>
      </c>
      <c r="J220">
        <v>8.2619000000000007</v>
      </c>
      <c r="K220">
        <v>-1.1900000000000001E-2</v>
      </c>
    </row>
    <row r="221" spans="1:11" hidden="1" x14ac:dyDescent="0.35">
      <c r="A221" t="s">
        <v>220</v>
      </c>
      <c r="B221">
        <f t="shared" si="9"/>
        <v>2017</v>
      </c>
      <c r="C221">
        <f t="shared" si="10"/>
        <v>10</v>
      </c>
      <c r="D221">
        <f t="shared" si="11"/>
        <v>4</v>
      </c>
      <c r="E221" t="s">
        <v>313</v>
      </c>
      <c r="F221">
        <v>0</v>
      </c>
      <c r="G221">
        <v>7.5</v>
      </c>
      <c r="H221">
        <v>7.5</v>
      </c>
      <c r="I221">
        <v>11</v>
      </c>
      <c r="J221">
        <v>7.5</v>
      </c>
      <c r="K221">
        <v>0</v>
      </c>
    </row>
    <row r="222" spans="1:11" hidden="1" x14ac:dyDescent="0.35">
      <c r="A222" t="s">
        <v>221</v>
      </c>
      <c r="B222">
        <f t="shared" si="9"/>
        <v>2017</v>
      </c>
      <c r="C222">
        <f t="shared" si="10"/>
        <v>11</v>
      </c>
      <c r="D222">
        <f t="shared" si="11"/>
        <v>4</v>
      </c>
      <c r="E222" t="s">
        <v>313</v>
      </c>
      <c r="F222">
        <v>0</v>
      </c>
      <c r="G222">
        <v>7.5</v>
      </c>
      <c r="H222">
        <v>7.5</v>
      </c>
      <c r="I222">
        <v>0</v>
      </c>
      <c r="J222">
        <v>7.5</v>
      </c>
      <c r="K222">
        <v>0</v>
      </c>
    </row>
    <row r="223" spans="1:11" hidden="1" x14ac:dyDescent="0.35">
      <c r="A223" t="s">
        <v>222</v>
      </c>
      <c r="B223">
        <f t="shared" si="9"/>
        <v>2017</v>
      </c>
      <c r="C223">
        <f t="shared" si="10"/>
        <v>12</v>
      </c>
      <c r="D223">
        <f t="shared" si="11"/>
        <v>4</v>
      </c>
      <c r="E223" t="s">
        <v>313</v>
      </c>
      <c r="F223">
        <v>0</v>
      </c>
      <c r="G223">
        <v>7</v>
      </c>
      <c r="H223">
        <v>7</v>
      </c>
      <c r="I223">
        <v>2</v>
      </c>
      <c r="J223">
        <v>7</v>
      </c>
      <c r="K223">
        <v>0</v>
      </c>
    </row>
    <row r="224" spans="1:11" hidden="1" x14ac:dyDescent="0.35">
      <c r="A224" t="s">
        <v>223</v>
      </c>
      <c r="B224">
        <f t="shared" si="9"/>
        <v>2018</v>
      </c>
      <c r="C224">
        <f t="shared" si="10"/>
        <v>1</v>
      </c>
      <c r="D224">
        <f t="shared" si="11"/>
        <v>1</v>
      </c>
      <c r="E224" t="s">
        <v>313</v>
      </c>
      <c r="F224">
        <v>0</v>
      </c>
      <c r="G224">
        <v>7</v>
      </c>
      <c r="H224">
        <v>7</v>
      </c>
      <c r="I224">
        <v>0</v>
      </c>
      <c r="J224">
        <v>7</v>
      </c>
      <c r="K224">
        <v>0</v>
      </c>
    </row>
    <row r="225" spans="1:11" hidden="1" x14ac:dyDescent="0.35">
      <c r="A225" t="s">
        <v>224</v>
      </c>
      <c r="B225">
        <f t="shared" si="9"/>
        <v>2018</v>
      </c>
      <c r="C225">
        <f t="shared" si="10"/>
        <v>2</v>
      </c>
      <c r="D225">
        <f t="shared" si="11"/>
        <v>1</v>
      </c>
      <c r="E225" t="s">
        <v>313</v>
      </c>
      <c r="F225">
        <v>0</v>
      </c>
      <c r="G225">
        <v>6.75</v>
      </c>
      <c r="H225">
        <v>6.75</v>
      </c>
      <c r="I225">
        <v>-7</v>
      </c>
      <c r="J225">
        <v>6.75</v>
      </c>
      <c r="K225">
        <v>0</v>
      </c>
    </row>
    <row r="226" spans="1:11" hidden="1" x14ac:dyDescent="0.35">
      <c r="A226" t="s">
        <v>225</v>
      </c>
      <c r="B226">
        <f t="shared" si="9"/>
        <v>2018</v>
      </c>
      <c r="C226">
        <f t="shared" si="10"/>
        <v>3</v>
      </c>
      <c r="D226">
        <f t="shared" si="11"/>
        <v>1</v>
      </c>
      <c r="E226" t="s">
        <v>313</v>
      </c>
      <c r="F226">
        <v>0</v>
      </c>
      <c r="G226">
        <v>6.5</v>
      </c>
      <c r="H226">
        <v>6.5</v>
      </c>
      <c r="I226">
        <v>-23</v>
      </c>
      <c r="J226">
        <v>6.5116300000000003</v>
      </c>
      <c r="K226">
        <v>-1.163E-2</v>
      </c>
    </row>
    <row r="227" spans="1:11" hidden="1" x14ac:dyDescent="0.35">
      <c r="A227" t="s">
        <v>226</v>
      </c>
      <c r="B227">
        <f t="shared" si="9"/>
        <v>2018</v>
      </c>
      <c r="C227">
        <f t="shared" si="10"/>
        <v>4</v>
      </c>
      <c r="D227">
        <f t="shared" si="11"/>
        <v>2</v>
      </c>
      <c r="E227" t="s">
        <v>313</v>
      </c>
      <c r="F227">
        <v>0</v>
      </c>
      <c r="G227">
        <v>6.5</v>
      </c>
      <c r="H227">
        <v>6.5</v>
      </c>
      <c r="I227">
        <v>0</v>
      </c>
      <c r="J227">
        <v>6.5</v>
      </c>
      <c r="K227">
        <v>0</v>
      </c>
    </row>
    <row r="228" spans="1:11" hidden="1" x14ac:dyDescent="0.35">
      <c r="A228" t="s">
        <v>227</v>
      </c>
      <c r="B228">
        <f t="shared" si="9"/>
        <v>2018</v>
      </c>
      <c r="C228">
        <f t="shared" si="10"/>
        <v>5</v>
      </c>
      <c r="D228">
        <f t="shared" si="11"/>
        <v>2</v>
      </c>
      <c r="E228" t="s">
        <v>313</v>
      </c>
      <c r="F228">
        <v>25</v>
      </c>
      <c r="G228">
        <v>6.25</v>
      </c>
      <c r="H228">
        <v>6.5</v>
      </c>
      <c r="I228">
        <v>34</v>
      </c>
      <c r="J228">
        <v>6.2628199999999996</v>
      </c>
      <c r="K228">
        <v>0.23718</v>
      </c>
    </row>
    <row r="229" spans="1:11" hidden="1" x14ac:dyDescent="0.35">
      <c r="A229" t="s">
        <v>228</v>
      </c>
      <c r="B229">
        <f t="shared" si="9"/>
        <v>2018</v>
      </c>
      <c r="C229">
        <f t="shared" si="10"/>
        <v>6</v>
      </c>
      <c r="D229">
        <f t="shared" si="11"/>
        <v>2</v>
      </c>
      <c r="E229" t="s">
        <v>313</v>
      </c>
      <c r="F229">
        <v>0</v>
      </c>
      <c r="G229">
        <v>6.5</v>
      </c>
      <c r="H229">
        <v>6.5</v>
      </c>
      <c r="I229">
        <v>0</v>
      </c>
      <c r="J229">
        <v>6.5102000000000002</v>
      </c>
      <c r="K229">
        <v>-1.0200000000000001E-2</v>
      </c>
    </row>
    <row r="230" spans="1:11" hidden="1" x14ac:dyDescent="0.35">
      <c r="A230" t="s">
        <v>229</v>
      </c>
      <c r="B230">
        <f t="shared" si="9"/>
        <v>2018</v>
      </c>
      <c r="C230">
        <f t="shared" si="10"/>
        <v>7</v>
      </c>
      <c r="D230">
        <f t="shared" si="11"/>
        <v>3</v>
      </c>
      <c r="E230" t="s">
        <v>313</v>
      </c>
      <c r="F230">
        <v>0</v>
      </c>
      <c r="G230">
        <v>6.5</v>
      </c>
      <c r="H230">
        <v>6.5</v>
      </c>
      <c r="I230">
        <v>0</v>
      </c>
      <c r="J230">
        <v>6.5</v>
      </c>
      <c r="K230">
        <v>0</v>
      </c>
    </row>
    <row r="231" spans="1:11" hidden="1" x14ac:dyDescent="0.35">
      <c r="A231" t="s">
        <v>230</v>
      </c>
      <c r="B231">
        <f t="shared" si="9"/>
        <v>2018</v>
      </c>
      <c r="C231">
        <f t="shared" si="10"/>
        <v>8</v>
      </c>
      <c r="D231">
        <f t="shared" si="11"/>
        <v>3</v>
      </c>
      <c r="E231" t="s">
        <v>313</v>
      </c>
      <c r="F231">
        <v>0</v>
      </c>
      <c r="G231">
        <v>6.5</v>
      </c>
      <c r="H231">
        <v>6.5</v>
      </c>
      <c r="I231">
        <v>-2</v>
      </c>
      <c r="J231">
        <v>6.5192300000000003</v>
      </c>
      <c r="K231">
        <v>-1.9230000000000001E-2</v>
      </c>
    </row>
    <row r="232" spans="1:11" hidden="1" x14ac:dyDescent="0.35">
      <c r="A232" t="s">
        <v>231</v>
      </c>
      <c r="B232">
        <f t="shared" si="9"/>
        <v>2018</v>
      </c>
      <c r="C232">
        <f t="shared" si="10"/>
        <v>9</v>
      </c>
      <c r="D232">
        <f t="shared" si="11"/>
        <v>3</v>
      </c>
      <c r="E232" t="s">
        <v>313</v>
      </c>
      <c r="F232">
        <v>0</v>
      </c>
      <c r="G232">
        <v>6.5</v>
      </c>
      <c r="H232">
        <v>6.5</v>
      </c>
      <c r="I232">
        <v>-8</v>
      </c>
      <c r="J232">
        <v>6.5065799999999996</v>
      </c>
      <c r="K232">
        <v>-6.5799999999999999E-3</v>
      </c>
    </row>
    <row r="233" spans="1:11" hidden="1" x14ac:dyDescent="0.35">
      <c r="A233" t="s">
        <v>232</v>
      </c>
      <c r="B233">
        <f t="shared" si="9"/>
        <v>2018</v>
      </c>
      <c r="C233">
        <f t="shared" si="10"/>
        <v>10</v>
      </c>
      <c r="D233">
        <f t="shared" si="11"/>
        <v>4</v>
      </c>
      <c r="E233" t="s">
        <v>313</v>
      </c>
      <c r="F233">
        <v>0</v>
      </c>
      <c r="G233">
        <v>6.5</v>
      </c>
      <c r="H233">
        <v>6.5</v>
      </c>
      <c r="I233">
        <v>-3</v>
      </c>
      <c r="J233">
        <v>6.5116300000000003</v>
      </c>
      <c r="K233">
        <v>-1.163E-2</v>
      </c>
    </row>
    <row r="234" spans="1:11" hidden="1" x14ac:dyDescent="0.35">
      <c r="A234" t="s">
        <v>233</v>
      </c>
      <c r="B234">
        <f t="shared" si="9"/>
        <v>2018</v>
      </c>
      <c r="C234">
        <f t="shared" si="10"/>
        <v>11</v>
      </c>
      <c r="D234">
        <f t="shared" si="11"/>
        <v>4</v>
      </c>
      <c r="E234" t="s">
        <v>313</v>
      </c>
      <c r="F234">
        <v>0</v>
      </c>
      <c r="G234">
        <v>6.5</v>
      </c>
      <c r="H234">
        <v>6.5</v>
      </c>
      <c r="I234">
        <v>0</v>
      </c>
      <c r="J234">
        <v>6.5</v>
      </c>
      <c r="K234">
        <v>0</v>
      </c>
    </row>
    <row r="235" spans="1:11" hidden="1" x14ac:dyDescent="0.35">
      <c r="A235" t="s">
        <v>234</v>
      </c>
      <c r="B235">
        <f t="shared" si="9"/>
        <v>2018</v>
      </c>
      <c r="C235">
        <f t="shared" si="10"/>
        <v>12</v>
      </c>
      <c r="D235">
        <f t="shared" si="11"/>
        <v>4</v>
      </c>
      <c r="E235" t="s">
        <v>313</v>
      </c>
      <c r="F235">
        <v>0</v>
      </c>
      <c r="G235">
        <v>6.5</v>
      </c>
      <c r="H235">
        <v>6.5</v>
      </c>
      <c r="I235">
        <v>-2</v>
      </c>
      <c r="J235">
        <v>6.5</v>
      </c>
      <c r="K235">
        <v>0</v>
      </c>
    </row>
    <row r="236" spans="1:11" hidden="1" x14ac:dyDescent="0.35">
      <c r="A236" t="s">
        <v>235</v>
      </c>
      <c r="B236">
        <f t="shared" si="9"/>
        <v>2019</v>
      </c>
      <c r="C236">
        <f t="shared" si="10"/>
        <v>1</v>
      </c>
      <c r="D236">
        <f t="shared" si="11"/>
        <v>1</v>
      </c>
      <c r="E236" t="s">
        <v>313</v>
      </c>
      <c r="F236">
        <v>0</v>
      </c>
      <c r="G236">
        <v>6.5</v>
      </c>
      <c r="H236">
        <v>6.5</v>
      </c>
      <c r="I236">
        <v>0</v>
      </c>
      <c r="J236">
        <v>6.5</v>
      </c>
      <c r="K236">
        <v>0</v>
      </c>
    </row>
    <row r="237" spans="1:11" hidden="1" x14ac:dyDescent="0.35">
      <c r="A237" t="s">
        <v>236</v>
      </c>
      <c r="B237">
        <f t="shared" si="9"/>
        <v>2019</v>
      </c>
      <c r="C237">
        <f t="shared" si="10"/>
        <v>2</v>
      </c>
      <c r="D237">
        <f t="shared" si="11"/>
        <v>1</v>
      </c>
      <c r="E237" t="s">
        <v>313</v>
      </c>
      <c r="F237">
        <v>0</v>
      </c>
      <c r="G237">
        <v>6.5</v>
      </c>
      <c r="H237">
        <v>6.5</v>
      </c>
      <c r="I237">
        <v>6</v>
      </c>
      <c r="J237">
        <v>6.5</v>
      </c>
      <c r="K237">
        <v>0</v>
      </c>
    </row>
    <row r="238" spans="1:11" hidden="1" x14ac:dyDescent="0.35">
      <c r="A238" t="s">
        <v>237</v>
      </c>
      <c r="B238">
        <f t="shared" si="9"/>
        <v>2019</v>
      </c>
      <c r="C238">
        <f t="shared" si="10"/>
        <v>3</v>
      </c>
      <c r="D238">
        <f t="shared" si="11"/>
        <v>1</v>
      </c>
      <c r="E238" t="s">
        <v>313</v>
      </c>
      <c r="F238">
        <v>0</v>
      </c>
      <c r="G238">
        <v>6.5</v>
      </c>
      <c r="H238">
        <v>6.5</v>
      </c>
      <c r="I238">
        <v>14</v>
      </c>
      <c r="J238">
        <v>6.5</v>
      </c>
      <c r="K238">
        <v>0</v>
      </c>
    </row>
    <row r="239" spans="1:11" hidden="1" x14ac:dyDescent="0.35">
      <c r="A239" t="s">
        <v>238</v>
      </c>
      <c r="B239">
        <f t="shared" si="9"/>
        <v>2019</v>
      </c>
      <c r="C239">
        <f t="shared" si="10"/>
        <v>4</v>
      </c>
      <c r="D239">
        <f t="shared" si="11"/>
        <v>2</v>
      </c>
      <c r="E239" t="s">
        <v>313</v>
      </c>
      <c r="F239">
        <v>0</v>
      </c>
      <c r="G239">
        <v>6.5</v>
      </c>
      <c r="H239">
        <v>6.5</v>
      </c>
      <c r="I239">
        <v>0</v>
      </c>
      <c r="J239">
        <v>6.5</v>
      </c>
      <c r="K239">
        <v>0</v>
      </c>
    </row>
    <row r="240" spans="1:11" hidden="1" x14ac:dyDescent="0.35">
      <c r="A240" t="s">
        <v>239</v>
      </c>
      <c r="B240">
        <f t="shared" si="9"/>
        <v>2019</v>
      </c>
      <c r="C240">
        <f t="shared" si="10"/>
        <v>5</v>
      </c>
      <c r="D240">
        <f t="shared" si="11"/>
        <v>2</v>
      </c>
      <c r="E240" t="s">
        <v>313</v>
      </c>
      <c r="F240">
        <v>0</v>
      </c>
      <c r="G240">
        <v>6.5</v>
      </c>
      <c r="H240">
        <v>6.5</v>
      </c>
      <c r="I240">
        <v>-3</v>
      </c>
      <c r="J240">
        <v>6.4878</v>
      </c>
      <c r="K240">
        <v>1.2200000000000001E-2</v>
      </c>
    </row>
    <row r="241" spans="1:11" hidden="1" x14ac:dyDescent="0.35">
      <c r="A241" t="s">
        <v>240</v>
      </c>
      <c r="B241">
        <f t="shared" si="9"/>
        <v>2019</v>
      </c>
      <c r="C241">
        <f t="shared" si="10"/>
        <v>6</v>
      </c>
      <c r="D241">
        <f t="shared" si="11"/>
        <v>2</v>
      </c>
      <c r="E241" t="s">
        <v>313</v>
      </c>
      <c r="F241">
        <v>0</v>
      </c>
      <c r="G241">
        <v>6.5</v>
      </c>
      <c r="H241">
        <v>6.5</v>
      </c>
      <c r="I241">
        <v>0</v>
      </c>
      <c r="J241">
        <v>6.4935900000000002</v>
      </c>
      <c r="K241">
        <v>6.4099999999999999E-3</v>
      </c>
    </row>
    <row r="242" spans="1:11" hidden="1" x14ac:dyDescent="0.35">
      <c r="A242" t="s">
        <v>241</v>
      </c>
      <c r="B242">
        <f t="shared" si="9"/>
        <v>2019</v>
      </c>
      <c r="C242">
        <f t="shared" si="10"/>
        <v>7</v>
      </c>
      <c r="D242">
        <f t="shared" si="11"/>
        <v>3</v>
      </c>
      <c r="E242" t="s">
        <v>313</v>
      </c>
      <c r="F242">
        <v>-25</v>
      </c>
      <c r="G242">
        <v>6.25</v>
      </c>
      <c r="H242">
        <v>6</v>
      </c>
      <c r="I242">
        <v>-8</v>
      </c>
      <c r="J242">
        <v>6.1611099999999999</v>
      </c>
      <c r="K242">
        <v>-0.16111</v>
      </c>
    </row>
    <row r="243" spans="1:11" hidden="1" x14ac:dyDescent="0.35">
      <c r="A243" t="s">
        <v>242</v>
      </c>
      <c r="B243">
        <f t="shared" si="9"/>
        <v>2019</v>
      </c>
      <c r="C243">
        <f t="shared" si="10"/>
        <v>8</v>
      </c>
      <c r="D243">
        <f t="shared" si="11"/>
        <v>3</v>
      </c>
      <c r="E243" t="s">
        <v>313</v>
      </c>
      <c r="F243">
        <v>0</v>
      </c>
      <c r="G243">
        <v>6</v>
      </c>
      <c r="H243">
        <v>6</v>
      </c>
      <c r="I243">
        <v>0</v>
      </c>
      <c r="J243">
        <v>6</v>
      </c>
      <c r="K243">
        <v>0</v>
      </c>
    </row>
    <row r="244" spans="1:11" hidden="1" x14ac:dyDescent="0.35">
      <c r="A244" t="s">
        <v>243</v>
      </c>
      <c r="B244">
        <f t="shared" si="9"/>
        <v>2019</v>
      </c>
      <c r="C244">
        <f t="shared" si="10"/>
        <v>9</v>
      </c>
      <c r="D244">
        <f t="shared" si="11"/>
        <v>3</v>
      </c>
      <c r="E244" t="s">
        <v>313</v>
      </c>
      <c r="F244">
        <v>0</v>
      </c>
      <c r="G244">
        <v>5.5</v>
      </c>
      <c r="H244">
        <v>5.5</v>
      </c>
      <c r="I244">
        <v>-5</v>
      </c>
      <c r="J244">
        <v>5.5</v>
      </c>
      <c r="K244">
        <v>0</v>
      </c>
    </row>
    <row r="245" spans="1:11" hidden="1" x14ac:dyDescent="0.35">
      <c r="A245" t="s">
        <v>244</v>
      </c>
      <c r="B245">
        <f t="shared" si="9"/>
        <v>2019</v>
      </c>
      <c r="C245">
        <f t="shared" si="10"/>
        <v>10</v>
      </c>
      <c r="D245">
        <f t="shared" si="11"/>
        <v>4</v>
      </c>
      <c r="E245" t="s">
        <v>313</v>
      </c>
      <c r="F245">
        <v>0</v>
      </c>
      <c r="G245">
        <v>5</v>
      </c>
      <c r="H245">
        <v>5</v>
      </c>
      <c r="I245">
        <v>11</v>
      </c>
      <c r="J245">
        <v>5</v>
      </c>
      <c r="K245">
        <v>0</v>
      </c>
    </row>
    <row r="246" spans="1:11" hidden="1" x14ac:dyDescent="0.35">
      <c r="A246" t="s">
        <v>245</v>
      </c>
      <c r="B246">
        <f t="shared" si="9"/>
        <v>2019</v>
      </c>
      <c r="C246">
        <f t="shared" si="10"/>
        <v>11</v>
      </c>
      <c r="D246">
        <f t="shared" si="11"/>
        <v>4</v>
      </c>
      <c r="E246" t="s">
        <v>313</v>
      </c>
      <c r="F246">
        <v>0</v>
      </c>
      <c r="G246">
        <v>5</v>
      </c>
      <c r="H246">
        <v>5</v>
      </c>
      <c r="I246">
        <v>0</v>
      </c>
      <c r="J246">
        <v>5</v>
      </c>
      <c r="K246">
        <v>0</v>
      </c>
    </row>
    <row r="247" spans="1:11" hidden="1" x14ac:dyDescent="0.35">
      <c r="A247" t="s">
        <v>246</v>
      </c>
      <c r="B247">
        <f t="shared" si="9"/>
        <v>2019</v>
      </c>
      <c r="C247">
        <f t="shared" si="10"/>
        <v>12</v>
      </c>
      <c r="D247">
        <f t="shared" si="11"/>
        <v>4</v>
      </c>
      <c r="E247" t="s">
        <v>313</v>
      </c>
      <c r="F247">
        <v>0</v>
      </c>
      <c r="G247">
        <v>4.5</v>
      </c>
      <c r="H247">
        <v>4.5</v>
      </c>
      <c r="I247">
        <v>-4</v>
      </c>
      <c r="J247">
        <v>4.5</v>
      </c>
      <c r="K247">
        <v>0</v>
      </c>
    </row>
    <row r="248" spans="1:11" hidden="1" x14ac:dyDescent="0.35">
      <c r="A248" t="s">
        <v>247</v>
      </c>
      <c r="B248">
        <f t="shared" si="9"/>
        <v>2020</v>
      </c>
      <c r="C248">
        <f t="shared" si="10"/>
        <v>1</v>
      </c>
      <c r="D248">
        <f t="shared" si="11"/>
        <v>1</v>
      </c>
      <c r="E248" t="s">
        <v>313</v>
      </c>
      <c r="F248">
        <v>0</v>
      </c>
      <c r="G248">
        <v>4.5</v>
      </c>
      <c r="H248">
        <v>4.5</v>
      </c>
      <c r="I248">
        <v>0</v>
      </c>
      <c r="J248">
        <v>4.5</v>
      </c>
      <c r="K248">
        <v>0</v>
      </c>
    </row>
    <row r="249" spans="1:11" hidden="1" x14ac:dyDescent="0.35">
      <c r="A249" t="s">
        <v>248</v>
      </c>
      <c r="B249">
        <f t="shared" si="9"/>
        <v>2020</v>
      </c>
      <c r="C249">
        <f t="shared" si="10"/>
        <v>2</v>
      </c>
      <c r="D249">
        <f t="shared" si="11"/>
        <v>1</v>
      </c>
      <c r="E249" t="s">
        <v>313</v>
      </c>
      <c r="F249">
        <v>0</v>
      </c>
      <c r="G249">
        <v>4.25</v>
      </c>
      <c r="H249">
        <v>4.25</v>
      </c>
      <c r="I249">
        <v>-6</v>
      </c>
      <c r="J249">
        <v>4.3055599999999998</v>
      </c>
      <c r="K249">
        <v>-5.5559999999999998E-2</v>
      </c>
    </row>
    <row r="250" spans="1:11" hidden="1" x14ac:dyDescent="0.35">
      <c r="A250" t="s">
        <v>249</v>
      </c>
      <c r="B250">
        <f t="shared" si="9"/>
        <v>2020</v>
      </c>
      <c r="C250">
        <f t="shared" si="10"/>
        <v>3</v>
      </c>
      <c r="D250">
        <f t="shared" si="11"/>
        <v>1</v>
      </c>
      <c r="E250" t="s">
        <v>313</v>
      </c>
      <c r="F250">
        <v>0</v>
      </c>
      <c r="G250">
        <v>3.75</v>
      </c>
      <c r="H250">
        <v>3.75</v>
      </c>
      <c r="I250">
        <v>-4</v>
      </c>
      <c r="J250">
        <v>3.8541699999999999</v>
      </c>
      <c r="K250">
        <v>-0.10417</v>
      </c>
    </row>
    <row r="251" spans="1:11" hidden="1" x14ac:dyDescent="0.35">
      <c r="A251" t="s">
        <v>250</v>
      </c>
      <c r="B251">
        <f t="shared" si="9"/>
        <v>2020</v>
      </c>
      <c r="C251">
        <f t="shared" si="10"/>
        <v>4</v>
      </c>
      <c r="D251">
        <f t="shared" si="11"/>
        <v>2</v>
      </c>
      <c r="E251" t="s">
        <v>313</v>
      </c>
      <c r="F251">
        <v>0</v>
      </c>
      <c r="G251">
        <v>3.75</v>
      </c>
      <c r="H251">
        <v>3.75</v>
      </c>
      <c r="I251">
        <v>0</v>
      </c>
      <c r="J251">
        <v>3.75</v>
      </c>
      <c r="K251">
        <v>0</v>
      </c>
    </row>
    <row r="252" spans="1:11" hidden="1" x14ac:dyDescent="0.35">
      <c r="A252" t="s">
        <v>251</v>
      </c>
      <c r="B252">
        <f t="shared" si="9"/>
        <v>2020</v>
      </c>
      <c r="C252">
        <f t="shared" si="10"/>
        <v>5</v>
      </c>
      <c r="D252">
        <f t="shared" si="11"/>
        <v>2</v>
      </c>
      <c r="E252" t="s">
        <v>313</v>
      </c>
      <c r="F252">
        <v>-25</v>
      </c>
      <c r="G252">
        <v>3.25</v>
      </c>
      <c r="H252">
        <v>3</v>
      </c>
      <c r="I252">
        <v>-18</v>
      </c>
      <c r="J252">
        <v>3.20946</v>
      </c>
      <c r="K252">
        <v>-0.20946000000000001</v>
      </c>
    </row>
    <row r="253" spans="1:11" hidden="1" x14ac:dyDescent="0.35">
      <c r="A253" t="s">
        <v>252</v>
      </c>
      <c r="B253">
        <f t="shared" si="9"/>
        <v>2020</v>
      </c>
      <c r="C253">
        <f t="shared" si="10"/>
        <v>6</v>
      </c>
      <c r="D253">
        <f t="shared" si="11"/>
        <v>2</v>
      </c>
      <c r="E253" t="s">
        <v>313</v>
      </c>
      <c r="F253">
        <v>0</v>
      </c>
      <c r="G253">
        <v>2.25</v>
      </c>
      <c r="H253">
        <v>2.25</v>
      </c>
      <c r="I253">
        <v>0</v>
      </c>
      <c r="J253">
        <v>2.2569400000000002</v>
      </c>
      <c r="K253">
        <v>-6.94E-3</v>
      </c>
    </row>
    <row r="254" spans="1:11" hidden="1" x14ac:dyDescent="0.35">
      <c r="A254" t="s">
        <v>253</v>
      </c>
      <c r="B254">
        <f t="shared" si="9"/>
        <v>2020</v>
      </c>
      <c r="C254">
        <f t="shared" si="10"/>
        <v>7</v>
      </c>
      <c r="D254">
        <f t="shared" si="11"/>
        <v>3</v>
      </c>
      <c r="E254" t="s">
        <v>313</v>
      </c>
      <c r="F254">
        <v>0</v>
      </c>
      <c r="G254">
        <v>2.25</v>
      </c>
      <c r="H254">
        <v>2.25</v>
      </c>
      <c r="I254">
        <v>0</v>
      </c>
      <c r="J254">
        <v>2.25</v>
      </c>
      <c r="K254">
        <v>0</v>
      </c>
    </row>
    <row r="255" spans="1:11" hidden="1" x14ac:dyDescent="0.35">
      <c r="A255" t="s">
        <v>254</v>
      </c>
      <c r="B255">
        <f t="shared" si="9"/>
        <v>2020</v>
      </c>
      <c r="C255">
        <f t="shared" si="10"/>
        <v>8</v>
      </c>
      <c r="D255">
        <f t="shared" si="11"/>
        <v>3</v>
      </c>
      <c r="E255" t="s">
        <v>313</v>
      </c>
      <c r="F255">
        <v>0</v>
      </c>
      <c r="G255">
        <v>2</v>
      </c>
      <c r="H255">
        <v>2</v>
      </c>
      <c r="I255">
        <v>-17</v>
      </c>
      <c r="J255">
        <v>2.0270299999999999</v>
      </c>
      <c r="K255">
        <v>-2.7029999999999998E-2</v>
      </c>
    </row>
    <row r="256" spans="1:11" hidden="1" x14ac:dyDescent="0.35">
      <c r="A256" t="s">
        <v>255</v>
      </c>
      <c r="B256">
        <f t="shared" si="9"/>
        <v>2020</v>
      </c>
      <c r="C256">
        <f t="shared" si="10"/>
        <v>9</v>
      </c>
      <c r="D256">
        <f t="shared" si="11"/>
        <v>3</v>
      </c>
      <c r="E256" t="s">
        <v>313</v>
      </c>
      <c r="F256">
        <v>0</v>
      </c>
      <c r="G256">
        <v>2</v>
      </c>
      <c r="H256">
        <v>2</v>
      </c>
      <c r="I256">
        <v>2</v>
      </c>
      <c r="J256">
        <v>2</v>
      </c>
      <c r="K256">
        <v>0</v>
      </c>
    </row>
    <row r="257" spans="1:11" hidden="1" x14ac:dyDescent="0.35">
      <c r="A257" t="s">
        <v>256</v>
      </c>
      <c r="B257">
        <f t="shared" si="9"/>
        <v>2020</v>
      </c>
      <c r="C257">
        <f t="shared" si="10"/>
        <v>10</v>
      </c>
      <c r="D257">
        <f t="shared" si="11"/>
        <v>4</v>
      </c>
      <c r="E257" t="s">
        <v>313</v>
      </c>
      <c r="F257">
        <v>0</v>
      </c>
      <c r="G257">
        <v>2</v>
      </c>
      <c r="H257">
        <v>2</v>
      </c>
      <c r="I257">
        <v>-7</v>
      </c>
      <c r="J257">
        <v>2</v>
      </c>
      <c r="K257">
        <v>0</v>
      </c>
    </row>
    <row r="258" spans="1:11" hidden="1" x14ac:dyDescent="0.35">
      <c r="A258" t="s">
        <v>257</v>
      </c>
      <c r="B258">
        <f t="shared" si="9"/>
        <v>2020</v>
      </c>
      <c r="C258">
        <f t="shared" si="10"/>
        <v>11</v>
      </c>
      <c r="D258">
        <f t="shared" si="11"/>
        <v>4</v>
      </c>
      <c r="E258" t="s">
        <v>313</v>
      </c>
      <c r="F258">
        <v>0</v>
      </c>
      <c r="G258">
        <v>2</v>
      </c>
      <c r="H258">
        <v>2</v>
      </c>
      <c r="I258">
        <v>0</v>
      </c>
      <c r="J258">
        <v>2</v>
      </c>
      <c r="K258">
        <v>0</v>
      </c>
    </row>
    <row r="259" spans="1:11" hidden="1" x14ac:dyDescent="0.35">
      <c r="A259" t="s">
        <v>258</v>
      </c>
      <c r="B259">
        <f t="shared" ref="B259:B322" si="12">LEFT(A259,4)*1</f>
        <v>2020</v>
      </c>
      <c r="C259">
        <f t="shared" ref="C259:C322" si="13">MID(A259,6,2)*1</f>
        <v>12</v>
      </c>
      <c r="D259">
        <f t="shared" ref="D259:D322" si="14">ROUNDUP(C259/3,0)</f>
        <v>4</v>
      </c>
      <c r="E259" t="s">
        <v>313</v>
      </c>
      <c r="F259">
        <v>0</v>
      </c>
      <c r="G259">
        <v>2</v>
      </c>
      <c r="H259">
        <v>2</v>
      </c>
      <c r="I259">
        <v>4</v>
      </c>
      <c r="J259">
        <v>2</v>
      </c>
      <c r="K259">
        <v>0</v>
      </c>
    </row>
    <row r="260" spans="1:11" hidden="1" x14ac:dyDescent="0.35">
      <c r="A260" t="s">
        <v>259</v>
      </c>
      <c r="B260">
        <f t="shared" si="12"/>
        <v>2021</v>
      </c>
      <c r="C260">
        <f t="shared" si="13"/>
        <v>1</v>
      </c>
      <c r="D260">
        <f t="shared" si="14"/>
        <v>1</v>
      </c>
      <c r="E260" t="s">
        <v>313</v>
      </c>
      <c r="F260">
        <v>0</v>
      </c>
      <c r="G260">
        <v>2</v>
      </c>
      <c r="H260">
        <v>2</v>
      </c>
      <c r="I260">
        <v>14</v>
      </c>
      <c r="J260">
        <v>2</v>
      </c>
      <c r="K260">
        <v>0</v>
      </c>
    </row>
    <row r="261" spans="1:11" hidden="1" x14ac:dyDescent="0.35">
      <c r="A261" t="s">
        <v>260</v>
      </c>
      <c r="B261">
        <f t="shared" si="12"/>
        <v>2021</v>
      </c>
      <c r="C261">
        <f t="shared" si="13"/>
        <v>2</v>
      </c>
      <c r="D261">
        <f t="shared" si="14"/>
        <v>1</v>
      </c>
      <c r="E261" t="s">
        <v>313</v>
      </c>
      <c r="F261">
        <v>0</v>
      </c>
      <c r="G261">
        <v>2</v>
      </c>
      <c r="H261">
        <v>2</v>
      </c>
      <c r="I261">
        <v>0</v>
      </c>
      <c r="J261">
        <v>2</v>
      </c>
      <c r="K261">
        <v>0</v>
      </c>
    </row>
    <row r="262" spans="1:11" hidden="1" x14ac:dyDescent="0.35">
      <c r="A262" t="s">
        <v>261</v>
      </c>
      <c r="B262">
        <f t="shared" si="12"/>
        <v>2021</v>
      </c>
      <c r="C262">
        <f t="shared" si="13"/>
        <v>3</v>
      </c>
      <c r="D262">
        <f t="shared" si="14"/>
        <v>1</v>
      </c>
      <c r="E262" t="s">
        <v>313</v>
      </c>
      <c r="F262">
        <v>25</v>
      </c>
      <c r="G262">
        <v>2.5</v>
      </c>
      <c r="H262">
        <v>2.75</v>
      </c>
      <c r="I262">
        <v>29</v>
      </c>
      <c r="J262">
        <v>2.4821399999999998</v>
      </c>
      <c r="K262">
        <v>0.26785999999999999</v>
      </c>
    </row>
    <row r="263" spans="1:11" hidden="1" x14ac:dyDescent="0.35">
      <c r="A263" t="s">
        <v>262</v>
      </c>
      <c r="B263">
        <f t="shared" si="12"/>
        <v>2021</v>
      </c>
      <c r="C263">
        <f t="shared" si="13"/>
        <v>4</v>
      </c>
      <c r="D263">
        <f t="shared" si="14"/>
        <v>2</v>
      </c>
      <c r="E263" t="s">
        <v>313</v>
      </c>
      <c r="F263">
        <v>0</v>
      </c>
      <c r="G263">
        <v>2.75</v>
      </c>
      <c r="H263">
        <v>2.75</v>
      </c>
      <c r="I263">
        <v>0</v>
      </c>
      <c r="J263">
        <v>2.75</v>
      </c>
      <c r="K263">
        <v>0</v>
      </c>
    </row>
    <row r="264" spans="1:11" hidden="1" x14ac:dyDescent="0.35">
      <c r="A264" t="s">
        <v>263</v>
      </c>
      <c r="B264">
        <f t="shared" si="12"/>
        <v>2021</v>
      </c>
      <c r="C264">
        <f t="shared" si="13"/>
        <v>5</v>
      </c>
      <c r="D264">
        <f t="shared" si="14"/>
        <v>2</v>
      </c>
      <c r="E264" t="s">
        <v>313</v>
      </c>
      <c r="F264">
        <v>0</v>
      </c>
      <c r="G264">
        <v>3.5</v>
      </c>
      <c r="H264">
        <v>3.5</v>
      </c>
      <c r="I264">
        <v>0</v>
      </c>
      <c r="J264">
        <v>3.5</v>
      </c>
      <c r="K264">
        <v>0</v>
      </c>
    </row>
    <row r="265" spans="1:11" hidden="1" x14ac:dyDescent="0.35">
      <c r="A265" t="s">
        <v>264</v>
      </c>
      <c r="B265">
        <f t="shared" si="12"/>
        <v>2021</v>
      </c>
      <c r="C265">
        <f t="shared" si="13"/>
        <v>6</v>
      </c>
      <c r="D265">
        <f t="shared" si="14"/>
        <v>2</v>
      </c>
      <c r="E265" t="s">
        <v>313</v>
      </c>
      <c r="F265">
        <v>0</v>
      </c>
      <c r="G265">
        <v>4.25</v>
      </c>
      <c r="H265">
        <v>4.25</v>
      </c>
      <c r="I265">
        <v>21</v>
      </c>
      <c r="J265">
        <v>4.25</v>
      </c>
      <c r="K265">
        <v>0</v>
      </c>
    </row>
    <row r="266" spans="1:11" hidden="1" x14ac:dyDescent="0.35">
      <c r="A266" t="s">
        <v>265</v>
      </c>
      <c r="B266">
        <f t="shared" si="12"/>
        <v>2021</v>
      </c>
      <c r="C266">
        <f t="shared" si="13"/>
        <v>7</v>
      </c>
      <c r="D266">
        <f t="shared" si="14"/>
        <v>3</v>
      </c>
      <c r="E266" t="s">
        <v>313</v>
      </c>
      <c r="F266">
        <v>0</v>
      </c>
      <c r="G266">
        <v>4.25</v>
      </c>
      <c r="H266">
        <v>4.25</v>
      </c>
      <c r="I266">
        <v>0</v>
      </c>
      <c r="J266">
        <v>4.25</v>
      </c>
      <c r="K266">
        <v>0</v>
      </c>
    </row>
    <row r="267" spans="1:11" hidden="1" x14ac:dyDescent="0.35">
      <c r="A267" t="s">
        <v>266</v>
      </c>
      <c r="B267">
        <f t="shared" si="12"/>
        <v>2021</v>
      </c>
      <c r="C267">
        <f t="shared" si="13"/>
        <v>8</v>
      </c>
      <c r="D267">
        <f t="shared" si="14"/>
        <v>3</v>
      </c>
      <c r="E267" t="s">
        <v>313</v>
      </c>
      <c r="F267">
        <v>0</v>
      </c>
      <c r="G267">
        <v>5.25</v>
      </c>
      <c r="H267">
        <v>5.25</v>
      </c>
      <c r="I267">
        <v>25</v>
      </c>
      <c r="J267">
        <v>5.2378</v>
      </c>
      <c r="K267">
        <v>1.2200000000000001E-2</v>
      </c>
    </row>
    <row r="268" spans="1:11" hidden="1" x14ac:dyDescent="0.35">
      <c r="A268" t="s">
        <v>267</v>
      </c>
      <c r="B268">
        <f t="shared" si="12"/>
        <v>2021</v>
      </c>
      <c r="C268">
        <f t="shared" si="13"/>
        <v>9</v>
      </c>
      <c r="D268">
        <f t="shared" si="14"/>
        <v>3</v>
      </c>
      <c r="E268" t="s">
        <v>313</v>
      </c>
      <c r="F268">
        <v>0</v>
      </c>
      <c r="G268">
        <v>6.25</v>
      </c>
      <c r="H268">
        <v>6.25</v>
      </c>
      <c r="I268">
        <v>7</v>
      </c>
      <c r="J268">
        <v>6.2820499999999999</v>
      </c>
      <c r="K268">
        <v>-3.2050000000000002E-2</v>
      </c>
    </row>
    <row r="269" spans="1:11" hidden="1" x14ac:dyDescent="0.35">
      <c r="A269" t="s">
        <v>268</v>
      </c>
      <c r="B269">
        <f t="shared" si="12"/>
        <v>2021</v>
      </c>
      <c r="C269">
        <f t="shared" si="13"/>
        <v>10</v>
      </c>
      <c r="D269">
        <f t="shared" si="14"/>
        <v>4</v>
      </c>
      <c r="E269" t="s">
        <v>313</v>
      </c>
      <c r="F269">
        <v>0</v>
      </c>
      <c r="G269">
        <v>7.75</v>
      </c>
      <c r="H269">
        <v>7.75</v>
      </c>
      <c r="I269">
        <v>-2</v>
      </c>
      <c r="J269">
        <v>7.6428599999999998</v>
      </c>
      <c r="K269">
        <v>0.10714</v>
      </c>
    </row>
    <row r="270" spans="1:11" hidden="1" x14ac:dyDescent="0.35">
      <c r="A270" t="s">
        <v>269</v>
      </c>
      <c r="B270">
        <f t="shared" si="12"/>
        <v>2021</v>
      </c>
      <c r="C270">
        <f t="shared" si="13"/>
        <v>11</v>
      </c>
      <c r="D270">
        <f t="shared" si="14"/>
        <v>4</v>
      </c>
      <c r="E270" t="s">
        <v>313</v>
      </c>
      <c r="F270">
        <v>0</v>
      </c>
      <c r="G270">
        <v>7.75</v>
      </c>
      <c r="H270">
        <v>7.75</v>
      </c>
      <c r="I270">
        <v>0</v>
      </c>
      <c r="J270">
        <v>7.75</v>
      </c>
      <c r="K270">
        <v>0</v>
      </c>
    </row>
    <row r="271" spans="1:11" hidden="1" x14ac:dyDescent="0.35">
      <c r="A271" t="s">
        <v>270</v>
      </c>
      <c r="B271">
        <f t="shared" si="12"/>
        <v>2021</v>
      </c>
      <c r="C271">
        <f t="shared" si="13"/>
        <v>12</v>
      </c>
      <c r="D271">
        <f t="shared" si="14"/>
        <v>4</v>
      </c>
      <c r="E271" t="s">
        <v>313</v>
      </c>
      <c r="F271">
        <v>0</v>
      </c>
      <c r="G271">
        <v>9.25</v>
      </c>
      <c r="H271">
        <v>9.25</v>
      </c>
      <c r="I271">
        <v>25</v>
      </c>
      <c r="J271">
        <v>9.25</v>
      </c>
      <c r="K271">
        <v>0</v>
      </c>
    </row>
    <row r="272" spans="1:11" hidden="1" x14ac:dyDescent="0.35">
      <c r="A272" t="s">
        <v>271</v>
      </c>
      <c r="B272">
        <f t="shared" si="12"/>
        <v>2022</v>
      </c>
      <c r="C272">
        <f t="shared" si="13"/>
        <v>1</v>
      </c>
      <c r="D272">
        <f t="shared" si="14"/>
        <v>1</v>
      </c>
      <c r="E272" t="s">
        <v>313</v>
      </c>
      <c r="F272">
        <v>0</v>
      </c>
      <c r="G272">
        <v>9.25</v>
      </c>
      <c r="H272">
        <v>9.25</v>
      </c>
      <c r="I272">
        <v>0</v>
      </c>
      <c r="J272">
        <v>9.25</v>
      </c>
      <c r="K272">
        <v>0</v>
      </c>
    </row>
    <row r="273" spans="1:11" hidden="1" x14ac:dyDescent="0.35">
      <c r="A273" t="s">
        <v>272</v>
      </c>
      <c r="B273">
        <f t="shared" si="12"/>
        <v>2022</v>
      </c>
      <c r="C273">
        <f t="shared" si="13"/>
        <v>2</v>
      </c>
      <c r="D273">
        <f t="shared" si="14"/>
        <v>1</v>
      </c>
      <c r="E273" t="s">
        <v>313</v>
      </c>
      <c r="F273">
        <v>0</v>
      </c>
      <c r="G273">
        <v>10.75</v>
      </c>
      <c r="H273">
        <v>10.75</v>
      </c>
      <c r="I273">
        <v>-3</v>
      </c>
      <c r="J273">
        <v>10.744</v>
      </c>
      <c r="K273">
        <v>6.0000000000000001E-3</v>
      </c>
    </row>
    <row r="274" spans="1:11" hidden="1" x14ac:dyDescent="0.35">
      <c r="A274" t="s">
        <v>273</v>
      </c>
      <c r="B274">
        <f t="shared" si="12"/>
        <v>2022</v>
      </c>
      <c r="C274">
        <f t="shared" si="13"/>
        <v>3</v>
      </c>
      <c r="D274">
        <f t="shared" si="14"/>
        <v>1</v>
      </c>
      <c r="E274" t="s">
        <v>313</v>
      </c>
      <c r="F274">
        <v>0</v>
      </c>
      <c r="G274">
        <v>11.75</v>
      </c>
      <c r="H274">
        <v>11.75</v>
      </c>
      <c r="I274">
        <v>-21</v>
      </c>
      <c r="J274">
        <v>11.795500000000001</v>
      </c>
      <c r="K274">
        <v>-4.5499999999999999E-2</v>
      </c>
    </row>
    <row r="275" spans="1:11" hidden="1" x14ac:dyDescent="0.35">
      <c r="A275" t="s">
        <v>274</v>
      </c>
      <c r="B275">
        <f t="shared" si="12"/>
        <v>2022</v>
      </c>
      <c r="C275">
        <f t="shared" si="13"/>
        <v>4</v>
      </c>
      <c r="D275">
        <f t="shared" si="14"/>
        <v>2</v>
      </c>
      <c r="E275" t="s">
        <v>313</v>
      </c>
      <c r="F275">
        <v>0</v>
      </c>
      <c r="G275">
        <v>11.75</v>
      </c>
      <c r="H275">
        <v>11.75</v>
      </c>
      <c r="I275">
        <v>0</v>
      </c>
      <c r="J275">
        <v>11.75</v>
      </c>
      <c r="K275">
        <v>0</v>
      </c>
    </row>
    <row r="276" spans="1:11" hidden="1" x14ac:dyDescent="0.35">
      <c r="A276" t="s">
        <v>275</v>
      </c>
      <c r="B276">
        <f t="shared" si="12"/>
        <v>2022</v>
      </c>
      <c r="C276">
        <f t="shared" si="13"/>
        <v>5</v>
      </c>
      <c r="D276">
        <f t="shared" si="14"/>
        <v>2</v>
      </c>
      <c r="E276" t="s">
        <v>313</v>
      </c>
      <c r="F276">
        <v>0</v>
      </c>
      <c r="G276">
        <v>12.75</v>
      </c>
      <c r="H276">
        <v>12.75</v>
      </c>
      <c r="I276">
        <v>23</v>
      </c>
      <c r="J276">
        <v>12.75</v>
      </c>
      <c r="K276">
        <v>0</v>
      </c>
    </row>
    <row r="277" spans="1:11" hidden="1" x14ac:dyDescent="0.35">
      <c r="A277" t="s">
        <v>276</v>
      </c>
      <c r="B277">
        <f t="shared" si="12"/>
        <v>2022</v>
      </c>
      <c r="C277">
        <f t="shared" si="13"/>
        <v>6</v>
      </c>
      <c r="D277">
        <f t="shared" si="14"/>
        <v>2</v>
      </c>
      <c r="E277" t="s">
        <v>313</v>
      </c>
      <c r="F277">
        <v>0</v>
      </c>
      <c r="G277">
        <v>13.25</v>
      </c>
      <c r="H277">
        <v>13.25</v>
      </c>
      <c r="I277">
        <v>0</v>
      </c>
      <c r="J277">
        <v>13.2622</v>
      </c>
      <c r="K277">
        <v>-1.2200000000000001E-2</v>
      </c>
    </row>
    <row r="278" spans="1:11" hidden="1" x14ac:dyDescent="0.35">
      <c r="A278" t="s">
        <v>277</v>
      </c>
      <c r="B278">
        <f t="shared" si="12"/>
        <v>2022</v>
      </c>
      <c r="C278">
        <f t="shared" si="13"/>
        <v>7</v>
      </c>
      <c r="D278">
        <f t="shared" si="14"/>
        <v>3</v>
      </c>
      <c r="E278" t="s">
        <v>313</v>
      </c>
      <c r="F278">
        <v>0</v>
      </c>
      <c r="G278">
        <v>13.25</v>
      </c>
      <c r="H278">
        <v>13.25</v>
      </c>
      <c r="I278">
        <v>0</v>
      </c>
      <c r="J278">
        <v>13.25</v>
      </c>
      <c r="K278">
        <v>0</v>
      </c>
    </row>
    <row r="279" spans="1:11" hidden="1" x14ac:dyDescent="0.35">
      <c r="A279" t="s">
        <v>278</v>
      </c>
      <c r="B279">
        <f t="shared" si="12"/>
        <v>2022</v>
      </c>
      <c r="C279">
        <f t="shared" si="13"/>
        <v>8</v>
      </c>
      <c r="D279">
        <f t="shared" si="14"/>
        <v>3</v>
      </c>
      <c r="E279" t="s">
        <v>313</v>
      </c>
      <c r="F279">
        <v>0</v>
      </c>
      <c r="G279">
        <v>13.75</v>
      </c>
      <c r="H279">
        <v>13.75</v>
      </c>
      <c r="I279">
        <v>-18</v>
      </c>
      <c r="J279">
        <v>13.75</v>
      </c>
      <c r="K279">
        <v>0</v>
      </c>
    </row>
    <row r="280" spans="1:11" hidden="1" x14ac:dyDescent="0.35">
      <c r="A280" t="s">
        <v>279</v>
      </c>
      <c r="B280">
        <f t="shared" si="12"/>
        <v>2022</v>
      </c>
      <c r="C280">
        <f t="shared" si="13"/>
        <v>9</v>
      </c>
      <c r="D280">
        <f t="shared" si="14"/>
        <v>3</v>
      </c>
      <c r="E280" t="s">
        <v>313</v>
      </c>
      <c r="F280">
        <v>0</v>
      </c>
      <c r="G280">
        <v>13.75</v>
      </c>
      <c r="H280">
        <v>13.75</v>
      </c>
      <c r="I280">
        <v>-22</v>
      </c>
      <c r="J280">
        <v>13.7889</v>
      </c>
      <c r="K280">
        <v>-3.8899999999999997E-2</v>
      </c>
    </row>
    <row r="281" spans="1:11" hidden="1" x14ac:dyDescent="0.35">
      <c r="A281" t="s">
        <v>280</v>
      </c>
      <c r="B281">
        <f t="shared" si="12"/>
        <v>2022</v>
      </c>
      <c r="C281">
        <f t="shared" si="13"/>
        <v>10</v>
      </c>
      <c r="D281">
        <f t="shared" si="14"/>
        <v>4</v>
      </c>
      <c r="E281" t="s">
        <v>313</v>
      </c>
      <c r="F281">
        <v>0</v>
      </c>
      <c r="G281">
        <v>13.75</v>
      </c>
      <c r="H281">
        <v>13.75</v>
      </c>
      <c r="I281">
        <v>5</v>
      </c>
      <c r="J281">
        <v>13.75</v>
      </c>
      <c r="K281">
        <v>0</v>
      </c>
    </row>
    <row r="282" spans="1:11" hidden="1" x14ac:dyDescent="0.35">
      <c r="A282" t="s">
        <v>281</v>
      </c>
      <c r="B282">
        <f t="shared" si="12"/>
        <v>2022</v>
      </c>
      <c r="C282">
        <f t="shared" si="13"/>
        <v>11</v>
      </c>
      <c r="D282">
        <f t="shared" si="14"/>
        <v>4</v>
      </c>
      <c r="E282" t="s">
        <v>313</v>
      </c>
      <c r="F282">
        <v>0</v>
      </c>
      <c r="G282">
        <v>13.75</v>
      </c>
      <c r="H282">
        <v>13.75</v>
      </c>
      <c r="I282">
        <v>0</v>
      </c>
      <c r="J282">
        <v>13.75</v>
      </c>
      <c r="K282">
        <v>0</v>
      </c>
    </row>
    <row r="283" spans="1:11" hidden="1" x14ac:dyDescent="0.35">
      <c r="A283" t="s">
        <v>282</v>
      </c>
      <c r="B283">
        <f t="shared" si="12"/>
        <v>2022</v>
      </c>
      <c r="C283">
        <f t="shared" si="13"/>
        <v>12</v>
      </c>
      <c r="D283">
        <f t="shared" si="14"/>
        <v>4</v>
      </c>
      <c r="E283" t="s">
        <v>313</v>
      </c>
      <c r="F283">
        <v>0</v>
      </c>
      <c r="G283">
        <v>13.75</v>
      </c>
      <c r="H283">
        <v>13.75</v>
      </c>
      <c r="I283">
        <v>-3</v>
      </c>
      <c r="J283">
        <v>13.75</v>
      </c>
      <c r="K283">
        <v>0</v>
      </c>
    </row>
    <row r="284" spans="1:11" hidden="1" x14ac:dyDescent="0.35">
      <c r="A284" t="s">
        <v>283</v>
      </c>
      <c r="B284">
        <f t="shared" si="12"/>
        <v>2023</v>
      </c>
      <c r="C284">
        <f t="shared" si="13"/>
        <v>1</v>
      </c>
      <c r="D284">
        <f t="shared" si="14"/>
        <v>1</v>
      </c>
      <c r="E284" t="s">
        <v>313</v>
      </c>
      <c r="F284">
        <v>0</v>
      </c>
      <c r="G284">
        <v>13.75</v>
      </c>
      <c r="H284">
        <v>13.75</v>
      </c>
      <c r="J284">
        <v>13.75</v>
      </c>
      <c r="K284">
        <v>0</v>
      </c>
    </row>
    <row r="285" spans="1:11" hidden="1" x14ac:dyDescent="0.35">
      <c r="A285" t="s">
        <v>284</v>
      </c>
      <c r="B285">
        <f t="shared" si="12"/>
        <v>2023</v>
      </c>
      <c r="C285">
        <f t="shared" si="13"/>
        <v>2</v>
      </c>
      <c r="D285">
        <f t="shared" si="14"/>
        <v>1</v>
      </c>
      <c r="E285" t="s">
        <v>313</v>
      </c>
      <c r="F285">
        <v>0</v>
      </c>
      <c r="G285">
        <v>13.75</v>
      </c>
      <c r="H285">
        <v>13.75</v>
      </c>
      <c r="J285">
        <v>13.75</v>
      </c>
      <c r="K285">
        <v>0</v>
      </c>
    </row>
    <row r="286" spans="1:11" hidden="1" x14ac:dyDescent="0.35">
      <c r="A286" t="s">
        <v>285</v>
      </c>
      <c r="B286">
        <f t="shared" si="12"/>
        <v>2023</v>
      </c>
      <c r="C286">
        <f t="shared" si="13"/>
        <v>3</v>
      </c>
      <c r="D286">
        <f t="shared" si="14"/>
        <v>1</v>
      </c>
      <c r="E286" t="s">
        <v>313</v>
      </c>
      <c r="F286">
        <v>0</v>
      </c>
      <c r="G286">
        <v>13.75</v>
      </c>
      <c r="H286">
        <v>13.75</v>
      </c>
      <c r="J286">
        <v>13.75</v>
      </c>
      <c r="K286">
        <v>0</v>
      </c>
    </row>
    <row r="287" spans="1:11" hidden="1" x14ac:dyDescent="0.35">
      <c r="A287" t="s">
        <v>286</v>
      </c>
      <c r="B287">
        <f t="shared" si="12"/>
        <v>2023</v>
      </c>
      <c r="C287">
        <f t="shared" si="13"/>
        <v>4</v>
      </c>
      <c r="D287">
        <f t="shared" si="14"/>
        <v>2</v>
      </c>
      <c r="E287" t="s">
        <v>313</v>
      </c>
      <c r="F287">
        <v>0</v>
      </c>
      <c r="G287">
        <v>13.75</v>
      </c>
      <c r="H287">
        <v>13.75</v>
      </c>
      <c r="J287">
        <v>13.75</v>
      </c>
      <c r="K287">
        <v>0</v>
      </c>
    </row>
    <row r="288" spans="1:11" hidden="1" x14ac:dyDescent="0.35">
      <c r="A288" t="s">
        <v>287</v>
      </c>
      <c r="B288">
        <f t="shared" si="12"/>
        <v>2023</v>
      </c>
      <c r="C288">
        <f t="shared" si="13"/>
        <v>5</v>
      </c>
      <c r="D288">
        <f t="shared" si="14"/>
        <v>2</v>
      </c>
      <c r="E288" t="s">
        <v>313</v>
      </c>
      <c r="F288">
        <v>0</v>
      </c>
      <c r="G288">
        <v>13.75</v>
      </c>
      <c r="H288">
        <v>13.75</v>
      </c>
      <c r="J288">
        <v>13.7432</v>
      </c>
      <c r="K288">
        <v>6.7999999999999996E-3</v>
      </c>
    </row>
    <row r="289" spans="1:11" hidden="1" x14ac:dyDescent="0.35">
      <c r="A289" t="s">
        <v>288</v>
      </c>
      <c r="B289">
        <f t="shared" si="12"/>
        <v>2023</v>
      </c>
      <c r="C289">
        <f t="shared" si="13"/>
        <v>6</v>
      </c>
      <c r="D289">
        <f t="shared" si="14"/>
        <v>2</v>
      </c>
      <c r="E289" t="s">
        <v>313</v>
      </c>
      <c r="F289">
        <v>0</v>
      </c>
      <c r="G289">
        <v>13.75</v>
      </c>
      <c r="H289">
        <v>13.75</v>
      </c>
      <c r="J289">
        <v>13.75</v>
      </c>
      <c r="K289">
        <v>0</v>
      </c>
    </row>
    <row r="290" spans="1:11" hidden="1" x14ac:dyDescent="0.35">
      <c r="A290" t="s">
        <v>289</v>
      </c>
      <c r="B290">
        <f t="shared" si="12"/>
        <v>2023</v>
      </c>
      <c r="C290">
        <f t="shared" si="13"/>
        <v>7</v>
      </c>
      <c r="D290">
        <f t="shared" si="14"/>
        <v>3</v>
      </c>
      <c r="E290" t="s">
        <v>313</v>
      </c>
      <c r="F290">
        <v>0</v>
      </c>
      <c r="G290">
        <v>13.75</v>
      </c>
      <c r="H290">
        <v>13.75</v>
      </c>
      <c r="J290">
        <v>13.75</v>
      </c>
      <c r="K290">
        <v>0</v>
      </c>
    </row>
    <row r="291" spans="1:11" hidden="1" x14ac:dyDescent="0.35">
      <c r="A291" t="s">
        <v>290</v>
      </c>
      <c r="B291">
        <f t="shared" si="12"/>
        <v>2023</v>
      </c>
      <c r="C291">
        <f t="shared" si="13"/>
        <v>8</v>
      </c>
      <c r="D291">
        <f t="shared" si="14"/>
        <v>3</v>
      </c>
      <c r="E291" t="s">
        <v>313</v>
      </c>
      <c r="F291">
        <v>-25</v>
      </c>
      <c r="G291">
        <v>13.5</v>
      </c>
      <c r="H291">
        <v>13.25</v>
      </c>
      <c r="J291">
        <v>13.4329</v>
      </c>
      <c r="K291">
        <v>-0.18290000000000001</v>
      </c>
    </row>
    <row r="292" spans="1:11" hidden="1" x14ac:dyDescent="0.35">
      <c r="A292" t="s">
        <v>291</v>
      </c>
      <c r="B292">
        <f t="shared" si="12"/>
        <v>2023</v>
      </c>
      <c r="C292">
        <f t="shared" si="13"/>
        <v>9</v>
      </c>
      <c r="D292">
        <f t="shared" si="14"/>
        <v>3</v>
      </c>
      <c r="E292" t="s">
        <v>313</v>
      </c>
      <c r="F292">
        <v>0</v>
      </c>
      <c r="G292">
        <v>12.75</v>
      </c>
      <c r="H292">
        <v>12.75</v>
      </c>
      <c r="J292">
        <v>12.75</v>
      </c>
      <c r="K292">
        <v>0</v>
      </c>
    </row>
    <row r="293" spans="1:11" hidden="1" x14ac:dyDescent="0.35">
      <c r="A293" t="s">
        <v>292</v>
      </c>
      <c r="B293">
        <f t="shared" si="12"/>
        <v>2023</v>
      </c>
      <c r="C293">
        <f t="shared" si="13"/>
        <v>10</v>
      </c>
      <c r="D293">
        <f t="shared" si="14"/>
        <v>4</v>
      </c>
      <c r="E293" t="s">
        <v>313</v>
      </c>
      <c r="F293">
        <v>0</v>
      </c>
      <c r="G293">
        <v>12.75</v>
      </c>
      <c r="H293">
        <v>12.75</v>
      </c>
      <c r="J293">
        <v>12.75</v>
      </c>
      <c r="K293">
        <v>0</v>
      </c>
    </row>
    <row r="294" spans="1:11" hidden="1" x14ac:dyDescent="0.35">
      <c r="A294" t="s">
        <v>293</v>
      </c>
      <c r="B294">
        <f t="shared" si="12"/>
        <v>2023</v>
      </c>
      <c r="C294">
        <f t="shared" si="13"/>
        <v>11</v>
      </c>
      <c r="D294">
        <f t="shared" si="14"/>
        <v>4</v>
      </c>
      <c r="E294" t="s">
        <v>313</v>
      </c>
      <c r="F294">
        <v>0</v>
      </c>
      <c r="G294">
        <v>12.25</v>
      </c>
      <c r="H294">
        <v>12.25</v>
      </c>
      <c r="J294">
        <v>12.25</v>
      </c>
      <c r="K294">
        <v>0</v>
      </c>
    </row>
    <row r="295" spans="1:11" hidden="1" x14ac:dyDescent="0.35">
      <c r="A295" t="s">
        <v>294</v>
      </c>
      <c r="B295">
        <f t="shared" si="12"/>
        <v>2023</v>
      </c>
      <c r="C295">
        <f t="shared" si="13"/>
        <v>12</v>
      </c>
      <c r="D295">
        <f t="shared" si="14"/>
        <v>4</v>
      </c>
      <c r="E295" t="s">
        <v>313</v>
      </c>
      <c r="F295">
        <v>0</v>
      </c>
      <c r="G295">
        <v>11.75</v>
      </c>
      <c r="H295">
        <v>11.75</v>
      </c>
      <c r="J295">
        <v>11.75</v>
      </c>
      <c r="K295">
        <v>0</v>
      </c>
    </row>
    <row r="296" spans="1:11" hidden="1" x14ac:dyDescent="0.35">
      <c r="A296" t="s">
        <v>295</v>
      </c>
      <c r="B296">
        <f t="shared" si="12"/>
        <v>2024</v>
      </c>
      <c r="C296">
        <f t="shared" si="13"/>
        <v>1</v>
      </c>
      <c r="D296">
        <f t="shared" si="14"/>
        <v>1</v>
      </c>
      <c r="E296" t="s">
        <v>313</v>
      </c>
      <c r="F296">
        <v>0</v>
      </c>
      <c r="G296">
        <v>11.25</v>
      </c>
      <c r="H296">
        <v>11.25</v>
      </c>
      <c r="J296">
        <v>11.25</v>
      </c>
      <c r="K296">
        <v>0</v>
      </c>
    </row>
    <row r="297" spans="1:11" hidden="1" x14ac:dyDescent="0.35">
      <c r="A297" t="s">
        <v>296</v>
      </c>
      <c r="B297">
        <f t="shared" si="12"/>
        <v>2024</v>
      </c>
      <c r="C297">
        <f t="shared" si="13"/>
        <v>2</v>
      </c>
      <c r="D297">
        <f t="shared" si="14"/>
        <v>1</v>
      </c>
      <c r="E297" t="s">
        <v>313</v>
      </c>
      <c r="F297">
        <v>0</v>
      </c>
      <c r="G297">
        <v>11.25</v>
      </c>
      <c r="H297">
        <v>11.25</v>
      </c>
      <c r="J297">
        <v>11.25</v>
      </c>
      <c r="K297">
        <v>0</v>
      </c>
    </row>
    <row r="298" spans="1:11" hidden="1" x14ac:dyDescent="0.35">
      <c r="A298" t="s">
        <v>297</v>
      </c>
      <c r="B298">
        <f t="shared" si="12"/>
        <v>2024</v>
      </c>
      <c r="C298">
        <f t="shared" si="13"/>
        <v>3</v>
      </c>
      <c r="D298">
        <f t="shared" si="14"/>
        <v>1</v>
      </c>
      <c r="E298" t="s">
        <v>313</v>
      </c>
      <c r="F298">
        <v>0</v>
      </c>
      <c r="G298">
        <v>10.75</v>
      </c>
      <c r="H298">
        <v>10.75</v>
      </c>
      <c r="J298">
        <v>10.75</v>
      </c>
      <c r="K298">
        <v>0</v>
      </c>
    </row>
    <row r="299" spans="1:11" hidden="1" x14ac:dyDescent="0.35">
      <c r="A299" t="s">
        <v>298</v>
      </c>
      <c r="B299">
        <f t="shared" si="12"/>
        <v>2024</v>
      </c>
      <c r="C299">
        <f t="shared" si="13"/>
        <v>4</v>
      </c>
      <c r="D299">
        <f t="shared" si="14"/>
        <v>2</v>
      </c>
      <c r="E299" t="s">
        <v>313</v>
      </c>
      <c r="F299">
        <v>0</v>
      </c>
      <c r="G299">
        <v>10.75</v>
      </c>
      <c r="H299">
        <v>10.75</v>
      </c>
      <c r="J299">
        <v>10.75</v>
      </c>
      <c r="K299">
        <v>0</v>
      </c>
    </row>
    <row r="300" spans="1:11" hidden="1" x14ac:dyDescent="0.35">
      <c r="A300" t="s">
        <v>299</v>
      </c>
      <c r="B300">
        <f t="shared" si="12"/>
        <v>2024</v>
      </c>
      <c r="C300">
        <f t="shared" si="13"/>
        <v>5</v>
      </c>
      <c r="D300">
        <f t="shared" si="14"/>
        <v>2</v>
      </c>
      <c r="E300" t="s">
        <v>313</v>
      </c>
      <c r="F300">
        <v>0</v>
      </c>
      <c r="G300">
        <v>10.5</v>
      </c>
      <c r="H300">
        <v>10.5</v>
      </c>
      <c r="J300">
        <v>10.416700000000001</v>
      </c>
      <c r="K300">
        <v>8.3299999999999999E-2</v>
      </c>
    </row>
    <row r="301" spans="1:11" hidden="1" x14ac:dyDescent="0.35">
      <c r="A301" t="s">
        <v>300</v>
      </c>
      <c r="B301">
        <f t="shared" si="12"/>
        <v>2024</v>
      </c>
      <c r="C301">
        <f t="shared" si="13"/>
        <v>6</v>
      </c>
      <c r="D301">
        <f t="shared" si="14"/>
        <v>2</v>
      </c>
      <c r="E301" t="s">
        <v>313</v>
      </c>
      <c r="F301">
        <v>0</v>
      </c>
      <c r="G301">
        <v>10.5</v>
      </c>
      <c r="H301">
        <v>10.5</v>
      </c>
      <c r="J301">
        <v>10.485300000000001</v>
      </c>
      <c r="K301">
        <v>1.47E-2</v>
      </c>
    </row>
    <row r="302" spans="1:11" hidden="1" x14ac:dyDescent="0.35">
      <c r="A302" t="s">
        <v>301</v>
      </c>
      <c r="B302">
        <f t="shared" si="12"/>
        <v>2024</v>
      </c>
      <c r="C302">
        <f t="shared" si="13"/>
        <v>7</v>
      </c>
      <c r="D302">
        <f t="shared" si="14"/>
        <v>3</v>
      </c>
      <c r="E302" t="s">
        <v>313</v>
      </c>
      <c r="F302">
        <v>0</v>
      </c>
      <c r="G302">
        <v>10.5</v>
      </c>
      <c r="H302">
        <v>10.5</v>
      </c>
      <c r="J302">
        <v>10.5</v>
      </c>
      <c r="K302">
        <v>0</v>
      </c>
    </row>
    <row r="303" spans="1:11" hidden="1" x14ac:dyDescent="0.35">
      <c r="A303" t="s">
        <v>302</v>
      </c>
      <c r="B303">
        <f t="shared" si="12"/>
        <v>2024</v>
      </c>
      <c r="C303">
        <f t="shared" si="13"/>
        <v>8</v>
      </c>
      <c r="D303">
        <f t="shared" si="14"/>
        <v>3</v>
      </c>
      <c r="E303" t="s">
        <v>313</v>
      </c>
      <c r="F303">
        <v>0</v>
      </c>
      <c r="G303">
        <v>10.5</v>
      </c>
      <c r="H303">
        <v>10.5</v>
      </c>
      <c r="J303">
        <v>10.5</v>
      </c>
      <c r="K303">
        <v>0</v>
      </c>
    </row>
    <row r="304" spans="1:11" hidden="1" x14ac:dyDescent="0.35">
      <c r="A304" t="s">
        <v>303</v>
      </c>
      <c r="B304">
        <f t="shared" si="12"/>
        <v>2024</v>
      </c>
      <c r="C304">
        <f t="shared" si="13"/>
        <v>9</v>
      </c>
      <c r="D304">
        <f t="shared" si="14"/>
        <v>3</v>
      </c>
      <c r="E304" t="s">
        <v>313</v>
      </c>
      <c r="F304">
        <v>0</v>
      </c>
      <c r="G304">
        <v>10.75</v>
      </c>
      <c r="H304">
        <v>10.75</v>
      </c>
      <c r="J304">
        <v>10.75</v>
      </c>
      <c r="K304">
        <v>0</v>
      </c>
    </row>
    <row r="305" spans="1:11" hidden="1" x14ac:dyDescent="0.35">
      <c r="A305" t="s">
        <v>304</v>
      </c>
      <c r="B305">
        <f t="shared" si="12"/>
        <v>2024</v>
      </c>
      <c r="C305">
        <f t="shared" si="13"/>
        <v>10</v>
      </c>
      <c r="D305">
        <f t="shared" si="14"/>
        <v>4</v>
      </c>
      <c r="E305" t="s">
        <v>313</v>
      </c>
      <c r="F305">
        <v>0</v>
      </c>
      <c r="G305">
        <v>10.75</v>
      </c>
      <c r="H305">
        <v>10.75</v>
      </c>
      <c r="J305">
        <v>10.75</v>
      </c>
      <c r="K305">
        <v>0</v>
      </c>
    </row>
    <row r="306" spans="1:11" hidden="1" x14ac:dyDescent="0.35">
      <c r="A306" t="s">
        <v>305</v>
      </c>
      <c r="B306">
        <f t="shared" si="12"/>
        <v>2024</v>
      </c>
      <c r="C306">
        <f t="shared" si="13"/>
        <v>11</v>
      </c>
      <c r="D306">
        <f t="shared" si="14"/>
        <v>4</v>
      </c>
      <c r="E306" t="s">
        <v>313</v>
      </c>
      <c r="F306">
        <v>0</v>
      </c>
      <c r="G306">
        <v>11.25</v>
      </c>
      <c r="H306">
        <v>11.25</v>
      </c>
      <c r="J306">
        <v>11.25</v>
      </c>
      <c r="K306">
        <v>0</v>
      </c>
    </row>
    <row r="307" spans="1:11" hidden="1" x14ac:dyDescent="0.35">
      <c r="A307" t="s">
        <v>306</v>
      </c>
      <c r="B307">
        <f t="shared" si="12"/>
        <v>2024</v>
      </c>
      <c r="C307">
        <f t="shared" si="13"/>
        <v>12</v>
      </c>
      <c r="D307">
        <f t="shared" si="14"/>
        <v>4</v>
      </c>
      <c r="E307" t="s">
        <v>313</v>
      </c>
      <c r="F307">
        <v>25</v>
      </c>
      <c r="G307">
        <v>12</v>
      </c>
      <c r="H307">
        <v>12.25</v>
      </c>
      <c r="J307">
        <v>12.0929</v>
      </c>
      <c r="K307">
        <v>0.15709999999999999</v>
      </c>
    </row>
    <row r="308" spans="1:11" hidden="1" x14ac:dyDescent="0.35">
      <c r="A308" t="s">
        <v>307</v>
      </c>
      <c r="B308">
        <f t="shared" si="12"/>
        <v>2025</v>
      </c>
      <c r="C308">
        <f t="shared" si="13"/>
        <v>1</v>
      </c>
      <c r="D308">
        <f t="shared" si="14"/>
        <v>1</v>
      </c>
      <c r="E308" t="s">
        <v>313</v>
      </c>
      <c r="F308">
        <v>0</v>
      </c>
      <c r="G308">
        <v>13.25</v>
      </c>
      <c r="H308">
        <v>13.25</v>
      </c>
      <c r="J308">
        <v>13.25</v>
      </c>
      <c r="K308">
        <v>0</v>
      </c>
    </row>
    <row r="309" spans="1:11" hidden="1" x14ac:dyDescent="0.35">
      <c r="A309" t="s">
        <v>308</v>
      </c>
      <c r="B309">
        <f t="shared" si="12"/>
        <v>2025</v>
      </c>
      <c r="C309">
        <f t="shared" si="13"/>
        <v>2</v>
      </c>
      <c r="D309">
        <f t="shared" si="14"/>
        <v>1</v>
      </c>
      <c r="E309" t="s">
        <v>313</v>
      </c>
      <c r="F309">
        <v>0</v>
      </c>
      <c r="G309">
        <v>13.25</v>
      </c>
      <c r="H309">
        <v>13.25</v>
      </c>
      <c r="J309">
        <v>13.25</v>
      </c>
      <c r="K309">
        <v>0</v>
      </c>
    </row>
    <row r="310" spans="1:11" hidden="1" x14ac:dyDescent="0.35">
      <c r="A310" t="s">
        <v>309</v>
      </c>
      <c r="B310">
        <f t="shared" si="12"/>
        <v>2025</v>
      </c>
      <c r="C310">
        <f t="shared" si="13"/>
        <v>3</v>
      </c>
      <c r="D310">
        <f t="shared" si="14"/>
        <v>1</v>
      </c>
      <c r="E310" t="s">
        <v>313</v>
      </c>
      <c r="F310">
        <v>0</v>
      </c>
      <c r="G310">
        <v>14.25</v>
      </c>
      <c r="H310">
        <v>14.25</v>
      </c>
      <c r="J310">
        <v>14.25</v>
      </c>
      <c r="K310">
        <v>0</v>
      </c>
    </row>
    <row r="311" spans="1:11" hidden="1" x14ac:dyDescent="0.35">
      <c r="A311" t="s">
        <v>310</v>
      </c>
      <c r="B311">
        <f t="shared" si="12"/>
        <v>2025</v>
      </c>
      <c r="C311">
        <f t="shared" si="13"/>
        <v>4</v>
      </c>
      <c r="D311">
        <f t="shared" si="14"/>
        <v>2</v>
      </c>
      <c r="E311" t="s">
        <v>313</v>
      </c>
      <c r="F311">
        <v>0</v>
      </c>
      <c r="G311">
        <v>14.25</v>
      </c>
      <c r="H311">
        <v>14.25</v>
      </c>
      <c r="J311">
        <v>14.25</v>
      </c>
      <c r="K311">
        <v>0</v>
      </c>
    </row>
    <row r="312" spans="1:11" hidden="1" x14ac:dyDescent="0.35">
      <c r="A312" t="s">
        <v>311</v>
      </c>
      <c r="B312">
        <f t="shared" si="12"/>
        <v>2025</v>
      </c>
      <c r="C312">
        <f t="shared" si="13"/>
        <v>5</v>
      </c>
      <c r="D312">
        <f t="shared" si="14"/>
        <v>2</v>
      </c>
      <c r="E312" t="s">
        <v>313</v>
      </c>
      <c r="F312">
        <v>0</v>
      </c>
      <c r="G312">
        <v>14.75</v>
      </c>
      <c r="H312">
        <v>14.75</v>
      </c>
      <c r="J312">
        <v>14.7424</v>
      </c>
      <c r="K312">
        <v>7.6E-3</v>
      </c>
    </row>
    <row r="313" spans="1:11" hidden="1" x14ac:dyDescent="0.35">
      <c r="A313" t="s">
        <v>26</v>
      </c>
      <c r="B313">
        <f t="shared" si="12"/>
        <v>2001</v>
      </c>
      <c r="C313">
        <f t="shared" si="13"/>
        <v>8</v>
      </c>
      <c r="D313">
        <f t="shared" si="14"/>
        <v>3</v>
      </c>
      <c r="E313" t="s">
        <v>322</v>
      </c>
      <c r="F313">
        <v>0</v>
      </c>
      <c r="G313">
        <v>6.5</v>
      </c>
      <c r="H313">
        <v>6.5</v>
      </c>
      <c r="J313">
        <v>6.5</v>
      </c>
      <c r="K313">
        <v>0</v>
      </c>
    </row>
    <row r="314" spans="1:11" hidden="1" x14ac:dyDescent="0.35">
      <c r="A314" t="s">
        <v>27</v>
      </c>
      <c r="B314">
        <f t="shared" si="12"/>
        <v>2001</v>
      </c>
      <c r="C314">
        <f t="shared" si="13"/>
        <v>9</v>
      </c>
      <c r="D314">
        <f t="shared" si="14"/>
        <v>3</v>
      </c>
      <c r="E314" t="s">
        <v>322</v>
      </c>
      <c r="F314">
        <v>0</v>
      </c>
      <c r="G314">
        <v>6.5</v>
      </c>
      <c r="H314">
        <v>6.5</v>
      </c>
      <c r="J314">
        <v>6.55</v>
      </c>
      <c r="K314">
        <v>-5</v>
      </c>
    </row>
    <row r="315" spans="1:11" hidden="1" x14ac:dyDescent="0.35">
      <c r="A315" t="s">
        <v>28</v>
      </c>
      <c r="B315">
        <f t="shared" si="12"/>
        <v>2001</v>
      </c>
      <c r="C315">
        <f t="shared" si="13"/>
        <v>10</v>
      </c>
      <c r="D315">
        <f t="shared" si="14"/>
        <v>4</v>
      </c>
      <c r="E315" t="s">
        <v>322</v>
      </c>
      <c r="F315">
        <v>0</v>
      </c>
      <c r="G315">
        <v>6.5</v>
      </c>
      <c r="H315">
        <v>6.5</v>
      </c>
      <c r="J315">
        <v>6.5</v>
      </c>
      <c r="K315">
        <v>0</v>
      </c>
    </row>
    <row r="316" spans="1:11" hidden="1" x14ac:dyDescent="0.35">
      <c r="A316" t="s">
        <v>29</v>
      </c>
      <c r="B316">
        <f t="shared" si="12"/>
        <v>2001</v>
      </c>
      <c r="C316">
        <f t="shared" si="13"/>
        <v>11</v>
      </c>
      <c r="D316">
        <f t="shared" si="14"/>
        <v>4</v>
      </c>
      <c r="E316" t="s">
        <v>322</v>
      </c>
      <c r="F316">
        <v>0</v>
      </c>
      <c r="G316">
        <v>6.5</v>
      </c>
      <c r="H316">
        <v>6.5</v>
      </c>
      <c r="J316">
        <v>6.5</v>
      </c>
      <c r="K316">
        <v>0</v>
      </c>
    </row>
    <row r="317" spans="1:11" hidden="1" x14ac:dyDescent="0.35">
      <c r="A317" t="s">
        <v>30</v>
      </c>
      <c r="B317">
        <f t="shared" si="12"/>
        <v>2001</v>
      </c>
      <c r="C317">
        <f t="shared" si="13"/>
        <v>12</v>
      </c>
      <c r="D317">
        <f t="shared" si="14"/>
        <v>4</v>
      </c>
      <c r="E317" t="s">
        <v>322</v>
      </c>
      <c r="F317">
        <v>0</v>
      </c>
      <c r="G317">
        <v>6.5</v>
      </c>
      <c r="H317">
        <v>6.5</v>
      </c>
      <c r="J317">
        <v>6.5</v>
      </c>
      <c r="K317">
        <v>0</v>
      </c>
    </row>
    <row r="318" spans="1:11" hidden="1" x14ac:dyDescent="0.35">
      <c r="A318" t="s">
        <v>31</v>
      </c>
      <c r="B318">
        <f t="shared" si="12"/>
        <v>2002</v>
      </c>
      <c r="C318">
        <f t="shared" si="13"/>
        <v>1</v>
      </c>
      <c r="D318">
        <f t="shared" si="14"/>
        <v>1</v>
      </c>
      <c r="E318" t="s">
        <v>322</v>
      </c>
      <c r="F318">
        <v>0</v>
      </c>
      <c r="G318">
        <v>6</v>
      </c>
      <c r="H318">
        <v>6</v>
      </c>
      <c r="J318">
        <v>6.11111</v>
      </c>
      <c r="K318">
        <v>-11.111000000000001</v>
      </c>
    </row>
    <row r="319" spans="1:11" hidden="1" x14ac:dyDescent="0.35">
      <c r="A319" t="s">
        <v>32</v>
      </c>
      <c r="B319">
        <f t="shared" si="12"/>
        <v>2002</v>
      </c>
      <c r="C319">
        <f t="shared" si="13"/>
        <v>2</v>
      </c>
      <c r="D319">
        <f t="shared" si="14"/>
        <v>1</v>
      </c>
      <c r="E319" t="s">
        <v>322</v>
      </c>
      <c r="F319">
        <v>0</v>
      </c>
      <c r="G319">
        <v>5.5</v>
      </c>
      <c r="H319">
        <v>5.5</v>
      </c>
      <c r="J319">
        <v>5.6071400000000002</v>
      </c>
      <c r="K319">
        <v>-10.714</v>
      </c>
    </row>
    <row r="320" spans="1:11" hidden="1" x14ac:dyDescent="0.35">
      <c r="A320" t="s">
        <v>33</v>
      </c>
      <c r="B320">
        <f t="shared" si="12"/>
        <v>2002</v>
      </c>
      <c r="C320">
        <f t="shared" si="13"/>
        <v>3</v>
      </c>
      <c r="D320">
        <f t="shared" si="14"/>
        <v>1</v>
      </c>
      <c r="E320" t="s">
        <v>322</v>
      </c>
      <c r="F320">
        <v>-25</v>
      </c>
      <c r="G320">
        <v>5</v>
      </c>
      <c r="H320">
        <v>4.75</v>
      </c>
      <c r="J320">
        <v>5.0227300000000001</v>
      </c>
      <c r="K320">
        <v>-27.273</v>
      </c>
    </row>
    <row r="321" spans="1:11" hidden="1" x14ac:dyDescent="0.35">
      <c r="A321" t="s">
        <v>34</v>
      </c>
      <c r="B321">
        <f t="shared" si="12"/>
        <v>2002</v>
      </c>
      <c r="C321">
        <f t="shared" si="13"/>
        <v>4</v>
      </c>
      <c r="D321">
        <f t="shared" si="14"/>
        <v>2</v>
      </c>
      <c r="E321" t="s">
        <v>322</v>
      </c>
      <c r="F321">
        <v>0</v>
      </c>
      <c r="G321">
        <v>4.75</v>
      </c>
      <c r="H321">
        <v>4.75</v>
      </c>
      <c r="J321">
        <v>4.7</v>
      </c>
      <c r="K321">
        <v>5</v>
      </c>
    </row>
    <row r="322" spans="1:11" hidden="1" x14ac:dyDescent="0.35">
      <c r="A322" t="s">
        <v>35</v>
      </c>
      <c r="B322">
        <f t="shared" si="12"/>
        <v>2002</v>
      </c>
      <c r="C322">
        <f t="shared" si="13"/>
        <v>5</v>
      </c>
      <c r="D322">
        <f t="shared" si="14"/>
        <v>2</v>
      </c>
      <c r="E322" t="s">
        <v>322</v>
      </c>
      <c r="F322">
        <v>-25</v>
      </c>
      <c r="G322">
        <v>4.25</v>
      </c>
      <c r="H322">
        <v>4</v>
      </c>
      <c r="J322">
        <v>4.2307699999999997</v>
      </c>
      <c r="K322">
        <v>-23.077000000000002</v>
      </c>
    </row>
    <row r="323" spans="1:11" hidden="1" x14ac:dyDescent="0.35">
      <c r="A323" t="s">
        <v>36</v>
      </c>
      <c r="B323">
        <f t="shared" ref="B323:B386" si="15">LEFT(A323,4)*1</f>
        <v>2002</v>
      </c>
      <c r="C323">
        <f t="shared" ref="C323:C386" si="16">MID(A323,6,2)*1</f>
        <v>6</v>
      </c>
      <c r="D323">
        <f t="shared" ref="D323:D386" si="17">ROUNDUP(C323/3,0)</f>
        <v>2</v>
      </c>
      <c r="E323" t="s">
        <v>322</v>
      </c>
      <c r="F323">
        <v>0</v>
      </c>
      <c r="G323">
        <v>4</v>
      </c>
      <c r="H323">
        <v>4</v>
      </c>
      <c r="J323">
        <v>4</v>
      </c>
      <c r="K323">
        <v>0</v>
      </c>
    </row>
    <row r="324" spans="1:11" hidden="1" x14ac:dyDescent="0.35">
      <c r="A324" t="s">
        <v>37</v>
      </c>
      <c r="B324">
        <f t="shared" si="15"/>
        <v>2002</v>
      </c>
      <c r="C324">
        <f t="shared" si="16"/>
        <v>7</v>
      </c>
      <c r="D324">
        <f t="shared" si="17"/>
        <v>3</v>
      </c>
      <c r="E324" t="s">
        <v>322</v>
      </c>
      <c r="F324">
        <v>-50</v>
      </c>
      <c r="G324">
        <v>3.75</v>
      </c>
      <c r="H324">
        <v>3.25</v>
      </c>
      <c r="J324">
        <v>3.7692299999999999</v>
      </c>
      <c r="K324">
        <v>-51.923000000000002</v>
      </c>
    </row>
    <row r="325" spans="1:11" hidden="1" x14ac:dyDescent="0.35">
      <c r="A325" t="s">
        <v>38</v>
      </c>
      <c r="B325">
        <f t="shared" si="15"/>
        <v>2002</v>
      </c>
      <c r="C325">
        <f t="shared" si="16"/>
        <v>8</v>
      </c>
      <c r="D325">
        <f t="shared" si="17"/>
        <v>3</v>
      </c>
      <c r="E325" t="s">
        <v>322</v>
      </c>
      <c r="F325">
        <v>-25</v>
      </c>
      <c r="G325">
        <v>3.25</v>
      </c>
      <c r="H325">
        <v>3</v>
      </c>
      <c r="J325">
        <v>3.1458300000000001</v>
      </c>
      <c r="K325">
        <v>-14.583</v>
      </c>
    </row>
    <row r="326" spans="1:11" hidden="1" x14ac:dyDescent="0.35">
      <c r="A326" t="s">
        <v>39</v>
      </c>
      <c r="B326">
        <f t="shared" si="15"/>
        <v>2002</v>
      </c>
      <c r="C326">
        <f t="shared" si="16"/>
        <v>9</v>
      </c>
      <c r="D326">
        <f t="shared" si="17"/>
        <v>3</v>
      </c>
      <c r="E326" t="s">
        <v>322</v>
      </c>
      <c r="F326">
        <v>0</v>
      </c>
      <c r="G326">
        <v>3</v>
      </c>
      <c r="H326">
        <v>3</v>
      </c>
      <c r="J326">
        <v>2.9791699999999999</v>
      </c>
      <c r="K326">
        <v>2.0830000000000002</v>
      </c>
    </row>
    <row r="327" spans="1:11" hidden="1" x14ac:dyDescent="0.35">
      <c r="A327" t="s">
        <v>40</v>
      </c>
      <c r="B327">
        <f t="shared" si="15"/>
        <v>2002</v>
      </c>
      <c r="C327">
        <f t="shared" si="16"/>
        <v>10</v>
      </c>
      <c r="D327">
        <f t="shared" si="17"/>
        <v>4</v>
      </c>
      <c r="E327" t="s">
        <v>322</v>
      </c>
      <c r="F327">
        <v>0</v>
      </c>
      <c r="G327">
        <v>3</v>
      </c>
      <c r="H327">
        <v>3</v>
      </c>
      <c r="J327">
        <v>3</v>
      </c>
      <c r="K327">
        <v>0</v>
      </c>
    </row>
    <row r="328" spans="1:11" hidden="1" x14ac:dyDescent="0.35">
      <c r="A328" t="s">
        <v>41</v>
      </c>
      <c r="B328">
        <f t="shared" si="15"/>
        <v>2002</v>
      </c>
      <c r="C328">
        <f t="shared" si="16"/>
        <v>11</v>
      </c>
      <c r="D328">
        <f t="shared" si="17"/>
        <v>4</v>
      </c>
      <c r="E328" t="s">
        <v>322</v>
      </c>
      <c r="F328">
        <v>0</v>
      </c>
      <c r="G328">
        <v>3</v>
      </c>
      <c r="H328">
        <v>3</v>
      </c>
      <c r="J328">
        <v>3</v>
      </c>
      <c r="K328">
        <v>0</v>
      </c>
    </row>
    <row r="329" spans="1:11" hidden="1" x14ac:dyDescent="0.35">
      <c r="A329" t="s">
        <v>42</v>
      </c>
      <c r="B329">
        <f t="shared" si="15"/>
        <v>2002</v>
      </c>
      <c r="C329">
        <f t="shared" si="16"/>
        <v>12</v>
      </c>
      <c r="D329">
        <f t="shared" si="17"/>
        <v>4</v>
      </c>
      <c r="E329" t="s">
        <v>322</v>
      </c>
      <c r="F329">
        <v>0</v>
      </c>
      <c r="G329">
        <v>3</v>
      </c>
      <c r="H329">
        <v>3</v>
      </c>
      <c r="J329">
        <v>2.90625</v>
      </c>
      <c r="K329">
        <v>9.375</v>
      </c>
    </row>
    <row r="330" spans="1:11" hidden="1" x14ac:dyDescent="0.35">
      <c r="A330" t="s">
        <v>43</v>
      </c>
      <c r="B330">
        <f t="shared" si="15"/>
        <v>2003</v>
      </c>
      <c r="C330">
        <f t="shared" si="16"/>
        <v>1</v>
      </c>
      <c r="D330">
        <f t="shared" si="17"/>
        <v>1</v>
      </c>
      <c r="E330" t="s">
        <v>322</v>
      </c>
      <c r="F330">
        <v>-25</v>
      </c>
      <c r="G330">
        <v>3</v>
      </c>
      <c r="H330">
        <v>2.75</v>
      </c>
      <c r="J330">
        <v>2.9318200000000001</v>
      </c>
      <c r="K330">
        <v>-18.181999999999999</v>
      </c>
    </row>
    <row r="331" spans="1:11" hidden="1" x14ac:dyDescent="0.35">
      <c r="A331" t="s">
        <v>44</v>
      </c>
      <c r="B331">
        <f t="shared" si="15"/>
        <v>2003</v>
      </c>
      <c r="C331">
        <f t="shared" si="16"/>
        <v>2</v>
      </c>
      <c r="D331">
        <f t="shared" si="17"/>
        <v>1</v>
      </c>
      <c r="E331" t="s">
        <v>322</v>
      </c>
      <c r="F331">
        <v>0</v>
      </c>
      <c r="G331">
        <v>2.75</v>
      </c>
      <c r="H331">
        <v>2.75</v>
      </c>
      <c r="J331">
        <v>2.75</v>
      </c>
      <c r="K331">
        <v>0</v>
      </c>
    </row>
    <row r="332" spans="1:11" hidden="1" x14ac:dyDescent="0.35">
      <c r="A332" t="s">
        <v>45</v>
      </c>
      <c r="B332">
        <f t="shared" si="15"/>
        <v>2003</v>
      </c>
      <c r="C332">
        <f t="shared" si="16"/>
        <v>3</v>
      </c>
      <c r="D332">
        <f t="shared" si="17"/>
        <v>1</v>
      </c>
      <c r="E332" t="s">
        <v>322</v>
      </c>
      <c r="F332">
        <v>0</v>
      </c>
      <c r="G332">
        <v>2.75</v>
      </c>
      <c r="H332">
        <v>2.75</v>
      </c>
      <c r="J332">
        <v>2.75</v>
      </c>
      <c r="K332">
        <v>0</v>
      </c>
    </row>
    <row r="333" spans="1:11" hidden="1" x14ac:dyDescent="0.35">
      <c r="A333" t="s">
        <v>46</v>
      </c>
      <c r="B333">
        <f t="shared" si="15"/>
        <v>2003</v>
      </c>
      <c r="C333">
        <f t="shared" si="16"/>
        <v>4</v>
      </c>
      <c r="D333">
        <f t="shared" si="17"/>
        <v>2</v>
      </c>
      <c r="E333" t="s">
        <v>322</v>
      </c>
      <c r="F333">
        <v>0</v>
      </c>
      <c r="G333">
        <v>2.75</v>
      </c>
      <c r="H333">
        <v>2.75</v>
      </c>
      <c r="J333">
        <v>2.7777799999999999</v>
      </c>
      <c r="K333">
        <v>-2.778</v>
      </c>
    </row>
    <row r="334" spans="1:11" hidden="1" x14ac:dyDescent="0.35">
      <c r="A334" t="s">
        <v>47</v>
      </c>
      <c r="B334">
        <f t="shared" si="15"/>
        <v>2003</v>
      </c>
      <c r="C334">
        <f t="shared" si="16"/>
        <v>5</v>
      </c>
      <c r="D334">
        <f t="shared" si="17"/>
        <v>2</v>
      </c>
      <c r="E334" t="s">
        <v>322</v>
      </c>
      <c r="F334">
        <v>0</v>
      </c>
      <c r="G334">
        <v>2.75</v>
      </c>
      <c r="H334">
        <v>2.75</v>
      </c>
      <c r="J334">
        <v>2.7708300000000001</v>
      </c>
      <c r="K334">
        <v>-2.0830000000000002</v>
      </c>
    </row>
    <row r="335" spans="1:11" hidden="1" x14ac:dyDescent="0.35">
      <c r="A335" t="s">
        <v>48</v>
      </c>
      <c r="B335">
        <f t="shared" si="15"/>
        <v>2003</v>
      </c>
      <c r="C335">
        <f t="shared" si="16"/>
        <v>6</v>
      </c>
      <c r="D335">
        <f t="shared" si="17"/>
        <v>2</v>
      </c>
      <c r="E335" t="s">
        <v>322</v>
      </c>
      <c r="F335">
        <v>0</v>
      </c>
      <c r="G335">
        <v>2.75</v>
      </c>
      <c r="H335">
        <v>2.75</v>
      </c>
      <c r="J335">
        <v>2.75</v>
      </c>
      <c r="K335">
        <v>0</v>
      </c>
    </row>
    <row r="336" spans="1:11" hidden="1" x14ac:dyDescent="0.35">
      <c r="A336" t="s">
        <v>49</v>
      </c>
      <c r="B336">
        <f t="shared" si="15"/>
        <v>2003</v>
      </c>
      <c r="C336">
        <f t="shared" si="16"/>
        <v>7</v>
      </c>
      <c r="D336">
        <f t="shared" si="17"/>
        <v>3</v>
      </c>
      <c r="E336" t="s">
        <v>322</v>
      </c>
      <c r="F336">
        <v>0</v>
      </c>
      <c r="G336">
        <v>2.75</v>
      </c>
      <c r="H336">
        <v>2.75</v>
      </c>
      <c r="J336">
        <v>2.75</v>
      </c>
      <c r="K336">
        <v>0</v>
      </c>
    </row>
    <row r="337" spans="1:11" hidden="1" x14ac:dyDescent="0.35">
      <c r="A337" t="s">
        <v>50</v>
      </c>
      <c r="B337">
        <f t="shared" si="15"/>
        <v>2003</v>
      </c>
      <c r="C337">
        <f t="shared" si="16"/>
        <v>8</v>
      </c>
      <c r="D337">
        <f t="shared" si="17"/>
        <v>3</v>
      </c>
      <c r="E337" t="s">
        <v>322</v>
      </c>
      <c r="F337">
        <v>0</v>
      </c>
      <c r="G337">
        <v>2.75</v>
      </c>
      <c r="H337">
        <v>2.75</v>
      </c>
      <c r="J337">
        <v>2.75</v>
      </c>
      <c r="K337">
        <v>0</v>
      </c>
    </row>
    <row r="338" spans="1:11" hidden="1" x14ac:dyDescent="0.35">
      <c r="A338" t="s">
        <v>51</v>
      </c>
      <c r="B338">
        <f t="shared" si="15"/>
        <v>2003</v>
      </c>
      <c r="C338">
        <f t="shared" si="16"/>
        <v>9</v>
      </c>
      <c r="D338">
        <f t="shared" si="17"/>
        <v>3</v>
      </c>
      <c r="E338" t="s">
        <v>322</v>
      </c>
      <c r="F338">
        <v>0</v>
      </c>
      <c r="G338">
        <v>2.75</v>
      </c>
      <c r="H338">
        <v>2.75</v>
      </c>
      <c r="J338">
        <v>2.75</v>
      </c>
      <c r="K338">
        <v>0</v>
      </c>
    </row>
    <row r="339" spans="1:11" hidden="1" x14ac:dyDescent="0.35">
      <c r="A339" t="s">
        <v>52</v>
      </c>
      <c r="B339">
        <f t="shared" si="15"/>
        <v>2003</v>
      </c>
      <c r="C339">
        <f t="shared" si="16"/>
        <v>10</v>
      </c>
      <c r="D339">
        <f t="shared" si="17"/>
        <v>4</v>
      </c>
      <c r="E339" t="s">
        <v>322</v>
      </c>
      <c r="F339">
        <v>0</v>
      </c>
      <c r="G339">
        <v>2.75</v>
      </c>
      <c r="H339">
        <v>2.75</v>
      </c>
      <c r="J339">
        <v>2.75</v>
      </c>
      <c r="K339">
        <v>0</v>
      </c>
    </row>
    <row r="340" spans="1:11" hidden="1" x14ac:dyDescent="0.35">
      <c r="A340" t="s">
        <v>53</v>
      </c>
      <c r="B340">
        <f t="shared" si="15"/>
        <v>2003</v>
      </c>
      <c r="C340">
        <f t="shared" si="16"/>
        <v>11</v>
      </c>
      <c r="D340">
        <f t="shared" si="17"/>
        <v>4</v>
      </c>
      <c r="E340" t="s">
        <v>322</v>
      </c>
      <c r="F340">
        <v>0</v>
      </c>
      <c r="G340">
        <v>2.75</v>
      </c>
      <c r="H340">
        <v>2.75</v>
      </c>
      <c r="J340">
        <v>2.7142900000000001</v>
      </c>
      <c r="K340">
        <v>3.5710000000000002</v>
      </c>
    </row>
    <row r="341" spans="1:11" hidden="1" x14ac:dyDescent="0.35">
      <c r="A341" t="s">
        <v>54</v>
      </c>
      <c r="B341">
        <f t="shared" si="15"/>
        <v>2003</v>
      </c>
      <c r="C341">
        <f t="shared" si="16"/>
        <v>12</v>
      </c>
      <c r="D341">
        <f t="shared" si="17"/>
        <v>4</v>
      </c>
      <c r="E341" t="s">
        <v>322</v>
      </c>
      <c r="F341">
        <v>-50</v>
      </c>
      <c r="G341">
        <v>2.75</v>
      </c>
      <c r="H341">
        <v>2.25</v>
      </c>
      <c r="J341">
        <v>2.6818200000000001</v>
      </c>
      <c r="K341">
        <v>-43.182000000000002</v>
      </c>
    </row>
    <row r="342" spans="1:11" hidden="1" x14ac:dyDescent="0.35">
      <c r="A342" t="s">
        <v>55</v>
      </c>
      <c r="B342">
        <f t="shared" si="15"/>
        <v>2004</v>
      </c>
      <c r="C342">
        <f t="shared" si="16"/>
        <v>1</v>
      </c>
      <c r="D342">
        <f t="shared" si="17"/>
        <v>1</v>
      </c>
      <c r="E342" t="s">
        <v>322</v>
      </c>
      <c r="F342">
        <v>-50</v>
      </c>
      <c r="G342">
        <v>2.25</v>
      </c>
      <c r="H342">
        <v>1.75</v>
      </c>
      <c r="J342">
        <v>2.25</v>
      </c>
      <c r="K342">
        <v>-50</v>
      </c>
    </row>
    <row r="343" spans="1:11" hidden="1" x14ac:dyDescent="0.35">
      <c r="A343" t="s">
        <v>56</v>
      </c>
      <c r="B343">
        <f t="shared" si="15"/>
        <v>2004</v>
      </c>
      <c r="C343">
        <f t="shared" si="16"/>
        <v>2</v>
      </c>
      <c r="D343">
        <f t="shared" si="17"/>
        <v>1</v>
      </c>
      <c r="E343" t="s">
        <v>322</v>
      </c>
      <c r="F343">
        <v>0</v>
      </c>
      <c r="G343">
        <v>1.75</v>
      </c>
      <c r="H343">
        <v>1.75</v>
      </c>
      <c r="J343">
        <v>1.75</v>
      </c>
      <c r="K343">
        <v>0</v>
      </c>
    </row>
    <row r="344" spans="1:11" hidden="1" x14ac:dyDescent="0.35">
      <c r="A344" t="s">
        <v>57</v>
      </c>
      <c r="B344">
        <f t="shared" si="15"/>
        <v>2004</v>
      </c>
      <c r="C344">
        <f t="shared" si="16"/>
        <v>3</v>
      </c>
      <c r="D344">
        <f t="shared" si="17"/>
        <v>1</v>
      </c>
      <c r="E344" t="s">
        <v>322</v>
      </c>
      <c r="F344">
        <v>0</v>
      </c>
      <c r="G344">
        <v>1.75</v>
      </c>
      <c r="H344">
        <v>1.75</v>
      </c>
      <c r="J344">
        <v>1.7291700000000001</v>
      </c>
      <c r="K344">
        <v>2.0830000000000002</v>
      </c>
    </row>
    <row r="345" spans="1:11" hidden="1" x14ac:dyDescent="0.35">
      <c r="A345" t="s">
        <v>58</v>
      </c>
      <c r="B345">
        <f t="shared" si="15"/>
        <v>2004</v>
      </c>
      <c r="C345">
        <f t="shared" si="16"/>
        <v>4</v>
      </c>
      <c r="D345">
        <f t="shared" si="17"/>
        <v>2</v>
      </c>
      <c r="E345" t="s">
        <v>322</v>
      </c>
      <c r="F345">
        <v>0</v>
      </c>
      <c r="G345">
        <v>1.75</v>
      </c>
      <c r="H345">
        <v>1.75</v>
      </c>
      <c r="J345">
        <v>1.7272700000000001</v>
      </c>
      <c r="K345">
        <v>2.2730000000000001</v>
      </c>
    </row>
    <row r="346" spans="1:11" hidden="1" x14ac:dyDescent="0.35">
      <c r="A346" t="s">
        <v>59</v>
      </c>
      <c r="B346">
        <f t="shared" si="15"/>
        <v>2004</v>
      </c>
      <c r="C346">
        <f t="shared" si="16"/>
        <v>5</v>
      </c>
      <c r="D346">
        <f t="shared" si="17"/>
        <v>2</v>
      </c>
      <c r="E346" t="s">
        <v>322</v>
      </c>
      <c r="F346">
        <v>0</v>
      </c>
      <c r="G346">
        <v>1.75</v>
      </c>
      <c r="H346">
        <v>1.75</v>
      </c>
      <c r="J346">
        <v>1.75</v>
      </c>
      <c r="K346">
        <v>0</v>
      </c>
    </row>
    <row r="347" spans="1:11" hidden="1" x14ac:dyDescent="0.35">
      <c r="A347" t="s">
        <v>60</v>
      </c>
      <c r="B347">
        <f t="shared" si="15"/>
        <v>2004</v>
      </c>
      <c r="C347">
        <f t="shared" si="16"/>
        <v>6</v>
      </c>
      <c r="D347">
        <f t="shared" si="17"/>
        <v>2</v>
      </c>
      <c r="E347" t="s">
        <v>322</v>
      </c>
      <c r="F347">
        <v>0</v>
      </c>
      <c r="G347">
        <v>1.75</v>
      </c>
      <c r="H347">
        <v>1.75</v>
      </c>
      <c r="J347">
        <v>1.75</v>
      </c>
      <c r="K347">
        <v>0</v>
      </c>
    </row>
    <row r="348" spans="1:11" hidden="1" x14ac:dyDescent="0.35">
      <c r="A348" t="s">
        <v>61</v>
      </c>
      <c r="B348">
        <f t="shared" si="15"/>
        <v>2004</v>
      </c>
      <c r="C348">
        <f t="shared" si="16"/>
        <v>7</v>
      </c>
      <c r="D348">
        <f t="shared" si="17"/>
        <v>3</v>
      </c>
      <c r="E348" t="s">
        <v>322</v>
      </c>
      <c r="F348">
        <v>0</v>
      </c>
      <c r="G348">
        <v>1.75</v>
      </c>
      <c r="H348">
        <v>1.75</v>
      </c>
      <c r="J348">
        <v>1.75</v>
      </c>
      <c r="K348">
        <v>0</v>
      </c>
    </row>
    <row r="349" spans="1:11" hidden="1" x14ac:dyDescent="0.35">
      <c r="A349" t="s">
        <v>62</v>
      </c>
      <c r="B349">
        <f t="shared" si="15"/>
        <v>2004</v>
      </c>
      <c r="C349">
        <f t="shared" si="16"/>
        <v>8</v>
      </c>
      <c r="D349">
        <f t="shared" si="17"/>
        <v>3</v>
      </c>
      <c r="E349" t="s">
        <v>322</v>
      </c>
      <c r="F349">
        <v>0</v>
      </c>
      <c r="G349">
        <v>1.75</v>
      </c>
      <c r="H349">
        <v>1.75</v>
      </c>
      <c r="J349">
        <v>1.75</v>
      </c>
      <c r="K349">
        <v>0</v>
      </c>
    </row>
    <row r="350" spans="1:11" hidden="1" x14ac:dyDescent="0.35">
      <c r="A350" t="s">
        <v>63</v>
      </c>
      <c r="B350">
        <f t="shared" si="15"/>
        <v>2004</v>
      </c>
      <c r="C350">
        <f t="shared" si="16"/>
        <v>9</v>
      </c>
      <c r="D350">
        <f t="shared" si="17"/>
        <v>3</v>
      </c>
      <c r="E350" t="s">
        <v>322</v>
      </c>
      <c r="F350">
        <v>0</v>
      </c>
      <c r="G350">
        <v>2</v>
      </c>
      <c r="H350">
        <v>2</v>
      </c>
      <c r="J350">
        <v>1.875</v>
      </c>
      <c r="K350">
        <v>12.5</v>
      </c>
    </row>
    <row r="351" spans="1:11" hidden="1" x14ac:dyDescent="0.35">
      <c r="A351" t="s">
        <v>64</v>
      </c>
      <c r="B351">
        <f t="shared" si="15"/>
        <v>2004</v>
      </c>
      <c r="C351">
        <f t="shared" si="16"/>
        <v>10</v>
      </c>
      <c r="D351">
        <f t="shared" si="17"/>
        <v>4</v>
      </c>
      <c r="E351" t="s">
        <v>322</v>
      </c>
      <c r="F351">
        <v>0</v>
      </c>
      <c r="G351">
        <v>2</v>
      </c>
      <c r="H351">
        <v>2</v>
      </c>
      <c r="J351">
        <v>2.11111</v>
      </c>
      <c r="K351">
        <v>-11.111000000000001</v>
      </c>
    </row>
    <row r="352" spans="1:11" hidden="1" x14ac:dyDescent="0.35">
      <c r="A352" t="s">
        <v>65</v>
      </c>
      <c r="B352">
        <f t="shared" si="15"/>
        <v>2004</v>
      </c>
      <c r="C352">
        <f t="shared" si="16"/>
        <v>11</v>
      </c>
      <c r="D352">
        <f t="shared" si="17"/>
        <v>4</v>
      </c>
      <c r="E352" t="s">
        <v>322</v>
      </c>
      <c r="F352">
        <v>0</v>
      </c>
      <c r="G352">
        <v>2.25</v>
      </c>
      <c r="H352">
        <v>2.25</v>
      </c>
      <c r="J352">
        <v>2.125</v>
      </c>
      <c r="K352">
        <v>12.5</v>
      </c>
    </row>
    <row r="353" spans="1:11" hidden="1" x14ac:dyDescent="0.35">
      <c r="A353" t="s">
        <v>66</v>
      </c>
      <c r="B353">
        <f t="shared" si="15"/>
        <v>2004</v>
      </c>
      <c r="C353">
        <f t="shared" si="16"/>
        <v>12</v>
      </c>
      <c r="D353">
        <f t="shared" si="17"/>
        <v>4</v>
      </c>
      <c r="E353" t="s">
        <v>322</v>
      </c>
      <c r="F353">
        <v>-25</v>
      </c>
      <c r="G353">
        <v>2.5</v>
      </c>
      <c r="H353">
        <v>2.25</v>
      </c>
      <c r="J353">
        <v>2.4305599999999998</v>
      </c>
      <c r="K353">
        <v>-18.056000000000001</v>
      </c>
    </row>
    <row r="354" spans="1:11" hidden="1" x14ac:dyDescent="0.35">
      <c r="A354" t="s">
        <v>67</v>
      </c>
      <c r="B354">
        <f t="shared" si="15"/>
        <v>2005</v>
      </c>
      <c r="C354">
        <f t="shared" si="16"/>
        <v>1</v>
      </c>
      <c r="D354">
        <f t="shared" si="17"/>
        <v>1</v>
      </c>
      <c r="E354" t="s">
        <v>322</v>
      </c>
      <c r="F354">
        <v>25</v>
      </c>
      <c r="G354">
        <v>2.25</v>
      </c>
      <c r="H354">
        <v>2.5</v>
      </c>
      <c r="J354">
        <v>2.3181799999999999</v>
      </c>
      <c r="K354">
        <v>18.181999999999999</v>
      </c>
    </row>
    <row r="355" spans="1:11" hidden="1" x14ac:dyDescent="0.35">
      <c r="A355" t="s">
        <v>68</v>
      </c>
      <c r="B355">
        <f t="shared" si="15"/>
        <v>2005</v>
      </c>
      <c r="C355">
        <f t="shared" si="16"/>
        <v>2</v>
      </c>
      <c r="D355">
        <f t="shared" si="17"/>
        <v>1</v>
      </c>
      <c r="E355" t="s">
        <v>322</v>
      </c>
      <c r="F355">
        <v>25</v>
      </c>
      <c r="G355">
        <v>2.5</v>
      </c>
      <c r="H355">
        <v>2.75</v>
      </c>
      <c r="J355">
        <v>2.5416699999999999</v>
      </c>
      <c r="K355">
        <v>20.832999999999998</v>
      </c>
    </row>
    <row r="356" spans="1:11" hidden="1" x14ac:dyDescent="0.35">
      <c r="A356" t="s">
        <v>69</v>
      </c>
      <c r="B356">
        <f t="shared" si="15"/>
        <v>2005</v>
      </c>
      <c r="C356">
        <f t="shared" si="16"/>
        <v>3</v>
      </c>
      <c r="D356">
        <f t="shared" si="17"/>
        <v>1</v>
      </c>
      <c r="E356" t="s">
        <v>322</v>
      </c>
      <c r="F356">
        <v>0</v>
      </c>
      <c r="G356">
        <v>2.75</v>
      </c>
      <c r="H356">
        <v>2.75</v>
      </c>
      <c r="J356">
        <v>2.8571399999999998</v>
      </c>
      <c r="K356">
        <v>-10.714</v>
      </c>
    </row>
    <row r="357" spans="1:11" hidden="1" x14ac:dyDescent="0.35">
      <c r="A357" t="s">
        <v>70</v>
      </c>
      <c r="B357">
        <f t="shared" si="15"/>
        <v>2005</v>
      </c>
      <c r="C357">
        <f t="shared" si="16"/>
        <v>4</v>
      </c>
      <c r="D357">
        <f t="shared" si="17"/>
        <v>2</v>
      </c>
      <c r="E357" t="s">
        <v>322</v>
      </c>
      <c r="F357">
        <v>0</v>
      </c>
      <c r="G357">
        <v>3</v>
      </c>
      <c r="H357">
        <v>3</v>
      </c>
      <c r="J357">
        <v>2.9807700000000001</v>
      </c>
      <c r="K357">
        <v>1.923</v>
      </c>
    </row>
    <row r="358" spans="1:11" hidden="1" x14ac:dyDescent="0.35">
      <c r="A358" t="s">
        <v>71</v>
      </c>
      <c r="B358">
        <f t="shared" si="15"/>
        <v>2005</v>
      </c>
      <c r="C358">
        <f t="shared" si="16"/>
        <v>5</v>
      </c>
      <c r="D358">
        <f t="shared" si="17"/>
        <v>2</v>
      </c>
      <c r="E358" t="s">
        <v>322</v>
      </c>
      <c r="F358">
        <v>0</v>
      </c>
      <c r="G358">
        <v>3.25</v>
      </c>
      <c r="H358">
        <v>3.25</v>
      </c>
      <c r="J358">
        <v>3.1875</v>
      </c>
      <c r="K358">
        <v>6.25</v>
      </c>
    </row>
    <row r="359" spans="1:11" hidden="1" x14ac:dyDescent="0.35">
      <c r="A359" t="s">
        <v>72</v>
      </c>
      <c r="B359">
        <f t="shared" si="15"/>
        <v>2005</v>
      </c>
      <c r="C359">
        <f t="shared" si="16"/>
        <v>6</v>
      </c>
      <c r="D359">
        <f t="shared" si="17"/>
        <v>2</v>
      </c>
      <c r="E359" t="s">
        <v>322</v>
      </c>
      <c r="F359">
        <v>-25</v>
      </c>
      <c r="G359">
        <v>3.5</v>
      </c>
      <c r="H359">
        <v>3.25</v>
      </c>
      <c r="J359">
        <v>3.46875</v>
      </c>
      <c r="K359">
        <v>-21.875</v>
      </c>
    </row>
    <row r="360" spans="1:11" hidden="1" x14ac:dyDescent="0.35">
      <c r="A360" t="s">
        <v>73</v>
      </c>
      <c r="B360">
        <f t="shared" si="15"/>
        <v>2005</v>
      </c>
      <c r="C360">
        <f t="shared" si="16"/>
        <v>7</v>
      </c>
      <c r="D360">
        <f t="shared" si="17"/>
        <v>3</v>
      </c>
      <c r="E360" t="s">
        <v>322</v>
      </c>
      <c r="F360">
        <v>0</v>
      </c>
      <c r="G360">
        <v>3.5</v>
      </c>
      <c r="H360">
        <v>3.5</v>
      </c>
      <c r="J360">
        <v>3.5</v>
      </c>
      <c r="K360">
        <v>0</v>
      </c>
    </row>
    <row r="361" spans="1:11" hidden="1" x14ac:dyDescent="0.35">
      <c r="A361" t="s">
        <v>74</v>
      </c>
      <c r="B361">
        <f t="shared" si="15"/>
        <v>2005</v>
      </c>
      <c r="C361">
        <f t="shared" si="16"/>
        <v>8</v>
      </c>
      <c r="D361">
        <f t="shared" si="17"/>
        <v>3</v>
      </c>
      <c r="E361" t="s">
        <v>322</v>
      </c>
      <c r="F361">
        <v>0</v>
      </c>
      <c r="G361">
        <v>3.75</v>
      </c>
      <c r="H361">
        <v>3.75</v>
      </c>
      <c r="J361">
        <v>3.7692299999999999</v>
      </c>
      <c r="K361">
        <v>-1.923</v>
      </c>
    </row>
    <row r="362" spans="1:11" hidden="1" x14ac:dyDescent="0.35">
      <c r="A362" t="s">
        <v>75</v>
      </c>
      <c r="B362">
        <f t="shared" si="15"/>
        <v>2005</v>
      </c>
      <c r="C362">
        <f t="shared" si="16"/>
        <v>9</v>
      </c>
      <c r="D362">
        <f t="shared" si="17"/>
        <v>3</v>
      </c>
      <c r="E362" t="s">
        <v>322</v>
      </c>
      <c r="F362">
        <v>0</v>
      </c>
      <c r="G362">
        <v>4</v>
      </c>
      <c r="H362">
        <v>4</v>
      </c>
      <c r="J362">
        <v>4</v>
      </c>
      <c r="K362">
        <v>0</v>
      </c>
    </row>
    <row r="363" spans="1:11" hidden="1" x14ac:dyDescent="0.35">
      <c r="A363" t="s">
        <v>76</v>
      </c>
      <c r="B363">
        <f t="shared" si="15"/>
        <v>2005</v>
      </c>
      <c r="C363">
        <f t="shared" si="16"/>
        <v>10</v>
      </c>
      <c r="D363">
        <f t="shared" si="17"/>
        <v>4</v>
      </c>
      <c r="E363" t="s">
        <v>322</v>
      </c>
      <c r="F363">
        <v>0</v>
      </c>
      <c r="G363">
        <v>4.25</v>
      </c>
      <c r="H363">
        <v>4.25</v>
      </c>
      <c r="J363">
        <v>4.2727300000000001</v>
      </c>
      <c r="K363">
        <v>-2.2730000000000001</v>
      </c>
    </row>
    <row r="364" spans="1:11" hidden="1" x14ac:dyDescent="0.35">
      <c r="A364" t="s">
        <v>77</v>
      </c>
      <c r="B364">
        <f t="shared" si="15"/>
        <v>2005</v>
      </c>
      <c r="C364">
        <f t="shared" si="16"/>
        <v>11</v>
      </c>
      <c r="D364">
        <f t="shared" si="17"/>
        <v>4</v>
      </c>
      <c r="E364" t="s">
        <v>322</v>
      </c>
      <c r="F364">
        <v>0</v>
      </c>
      <c r="G364">
        <v>4.5</v>
      </c>
      <c r="H364">
        <v>4.5</v>
      </c>
      <c r="J364">
        <v>4.5</v>
      </c>
      <c r="K364">
        <v>0</v>
      </c>
    </row>
    <row r="365" spans="1:11" hidden="1" x14ac:dyDescent="0.35">
      <c r="A365" t="s">
        <v>78</v>
      </c>
      <c r="B365">
        <f t="shared" si="15"/>
        <v>2005</v>
      </c>
      <c r="C365">
        <f t="shared" si="16"/>
        <v>12</v>
      </c>
      <c r="D365">
        <f t="shared" si="17"/>
        <v>4</v>
      </c>
      <c r="E365" t="s">
        <v>322</v>
      </c>
      <c r="F365">
        <v>-25</v>
      </c>
      <c r="G365">
        <v>4.75</v>
      </c>
      <c r="H365">
        <v>4.5</v>
      </c>
      <c r="J365">
        <v>4.65625</v>
      </c>
      <c r="K365">
        <v>-15.625</v>
      </c>
    </row>
    <row r="366" spans="1:11" hidden="1" x14ac:dyDescent="0.35">
      <c r="A366" t="s">
        <v>79</v>
      </c>
      <c r="B366">
        <f t="shared" si="15"/>
        <v>2006</v>
      </c>
      <c r="C366">
        <f t="shared" si="16"/>
        <v>1</v>
      </c>
      <c r="D366">
        <f t="shared" si="17"/>
        <v>1</v>
      </c>
      <c r="E366" t="s">
        <v>322</v>
      </c>
      <c r="F366">
        <v>-25</v>
      </c>
      <c r="G366">
        <v>4.75</v>
      </c>
      <c r="H366">
        <v>4.5</v>
      </c>
      <c r="J366">
        <v>4.6730799999999997</v>
      </c>
      <c r="K366">
        <v>-17.308</v>
      </c>
    </row>
    <row r="367" spans="1:11" hidden="1" x14ac:dyDescent="0.35">
      <c r="A367" t="s">
        <v>80</v>
      </c>
      <c r="B367">
        <f t="shared" si="15"/>
        <v>2006</v>
      </c>
      <c r="C367">
        <f t="shared" si="16"/>
        <v>2</v>
      </c>
      <c r="D367">
        <f t="shared" si="17"/>
        <v>1</v>
      </c>
      <c r="E367" t="s">
        <v>322</v>
      </c>
      <c r="F367">
        <v>0</v>
      </c>
      <c r="G367">
        <v>4.75</v>
      </c>
      <c r="H367">
        <v>4.75</v>
      </c>
      <c r="J367">
        <v>4.75</v>
      </c>
      <c r="K367">
        <v>0</v>
      </c>
    </row>
    <row r="368" spans="1:11" hidden="1" x14ac:dyDescent="0.35">
      <c r="A368" t="s">
        <v>81</v>
      </c>
      <c r="B368">
        <f t="shared" si="15"/>
        <v>2006</v>
      </c>
      <c r="C368">
        <f t="shared" si="16"/>
        <v>3</v>
      </c>
      <c r="D368">
        <f t="shared" si="17"/>
        <v>1</v>
      </c>
      <c r="E368" t="s">
        <v>322</v>
      </c>
      <c r="F368">
        <v>0</v>
      </c>
      <c r="G368">
        <v>4.75</v>
      </c>
      <c r="H368">
        <v>4.75</v>
      </c>
      <c r="J368">
        <v>4.7833300000000003</v>
      </c>
      <c r="K368">
        <v>-3.3330000000000002</v>
      </c>
    </row>
    <row r="369" spans="1:11" hidden="1" x14ac:dyDescent="0.35">
      <c r="A369" t="s">
        <v>82</v>
      </c>
      <c r="B369">
        <f t="shared" si="15"/>
        <v>2006</v>
      </c>
      <c r="C369">
        <f t="shared" si="16"/>
        <v>4</v>
      </c>
      <c r="D369">
        <f t="shared" si="17"/>
        <v>2</v>
      </c>
      <c r="E369" t="s">
        <v>322</v>
      </c>
      <c r="F369">
        <v>0</v>
      </c>
      <c r="G369">
        <v>5</v>
      </c>
      <c r="H369">
        <v>5</v>
      </c>
      <c r="J369">
        <v>4.9166699999999999</v>
      </c>
      <c r="K369">
        <v>8.3330000000000002</v>
      </c>
    </row>
    <row r="370" spans="1:11" hidden="1" x14ac:dyDescent="0.35">
      <c r="A370" t="s">
        <v>83</v>
      </c>
      <c r="B370">
        <f t="shared" si="15"/>
        <v>2006</v>
      </c>
      <c r="C370">
        <f t="shared" si="16"/>
        <v>5</v>
      </c>
      <c r="D370">
        <f t="shared" si="17"/>
        <v>2</v>
      </c>
      <c r="E370" t="s">
        <v>322</v>
      </c>
      <c r="F370">
        <v>0</v>
      </c>
      <c r="G370">
        <v>5</v>
      </c>
      <c r="H370">
        <v>5</v>
      </c>
      <c r="J370">
        <v>5</v>
      </c>
      <c r="K370">
        <v>0</v>
      </c>
    </row>
    <row r="371" spans="1:11" hidden="1" x14ac:dyDescent="0.35">
      <c r="A371" t="s">
        <v>84</v>
      </c>
      <c r="B371">
        <f t="shared" si="15"/>
        <v>2006</v>
      </c>
      <c r="C371">
        <f t="shared" si="16"/>
        <v>6</v>
      </c>
      <c r="D371">
        <f t="shared" si="17"/>
        <v>2</v>
      </c>
      <c r="E371" t="s">
        <v>322</v>
      </c>
      <c r="F371">
        <v>0</v>
      </c>
      <c r="G371">
        <v>5</v>
      </c>
      <c r="H371">
        <v>5</v>
      </c>
      <c r="J371">
        <v>5</v>
      </c>
      <c r="K371">
        <v>0</v>
      </c>
    </row>
    <row r="372" spans="1:11" hidden="1" x14ac:dyDescent="0.35">
      <c r="A372" t="s">
        <v>85</v>
      </c>
      <c r="B372">
        <f t="shared" si="15"/>
        <v>2006</v>
      </c>
      <c r="C372">
        <f t="shared" si="16"/>
        <v>7</v>
      </c>
      <c r="D372">
        <f t="shared" si="17"/>
        <v>3</v>
      </c>
      <c r="E372" t="s">
        <v>322</v>
      </c>
      <c r="F372">
        <v>0</v>
      </c>
      <c r="G372">
        <v>5.25</v>
      </c>
      <c r="H372">
        <v>5.25</v>
      </c>
      <c r="J372">
        <v>5.2291699999999999</v>
      </c>
      <c r="K372">
        <v>2.0830000000000002</v>
      </c>
    </row>
    <row r="373" spans="1:11" hidden="1" x14ac:dyDescent="0.35">
      <c r="A373" t="s">
        <v>86</v>
      </c>
      <c r="B373">
        <f t="shared" si="15"/>
        <v>2006</v>
      </c>
      <c r="C373">
        <f t="shared" si="16"/>
        <v>8</v>
      </c>
      <c r="D373">
        <f t="shared" si="17"/>
        <v>3</v>
      </c>
      <c r="E373" t="s">
        <v>322</v>
      </c>
      <c r="F373">
        <v>0</v>
      </c>
      <c r="G373">
        <v>5.25</v>
      </c>
      <c r="H373">
        <v>5.25</v>
      </c>
      <c r="J373">
        <v>5.25</v>
      </c>
      <c r="K373">
        <v>0</v>
      </c>
    </row>
    <row r="374" spans="1:11" hidden="1" x14ac:dyDescent="0.35">
      <c r="A374" t="s">
        <v>87</v>
      </c>
      <c r="B374">
        <f t="shared" si="15"/>
        <v>2006</v>
      </c>
      <c r="C374">
        <f t="shared" si="16"/>
        <v>9</v>
      </c>
      <c r="D374">
        <f t="shared" si="17"/>
        <v>3</v>
      </c>
      <c r="E374" t="s">
        <v>322</v>
      </c>
      <c r="F374">
        <v>0</v>
      </c>
      <c r="G374">
        <v>5.25</v>
      </c>
      <c r="H374">
        <v>5.25</v>
      </c>
      <c r="J374">
        <v>5.25</v>
      </c>
      <c r="K374">
        <v>0</v>
      </c>
    </row>
    <row r="375" spans="1:11" hidden="1" x14ac:dyDescent="0.35">
      <c r="A375" t="s">
        <v>88</v>
      </c>
      <c r="B375">
        <f t="shared" si="15"/>
        <v>2006</v>
      </c>
      <c r="C375">
        <f t="shared" si="16"/>
        <v>10</v>
      </c>
      <c r="D375">
        <f t="shared" si="17"/>
        <v>4</v>
      </c>
      <c r="E375" t="s">
        <v>322</v>
      </c>
      <c r="F375">
        <v>0</v>
      </c>
      <c r="G375">
        <v>5.25</v>
      </c>
      <c r="H375">
        <v>5.25</v>
      </c>
      <c r="J375">
        <v>5.25</v>
      </c>
      <c r="K375">
        <v>0</v>
      </c>
    </row>
    <row r="376" spans="1:11" hidden="1" x14ac:dyDescent="0.35">
      <c r="A376" t="s">
        <v>89</v>
      </c>
      <c r="B376">
        <f t="shared" si="15"/>
        <v>2006</v>
      </c>
      <c r="C376">
        <f t="shared" si="16"/>
        <v>11</v>
      </c>
      <c r="D376">
        <f t="shared" si="17"/>
        <v>4</v>
      </c>
      <c r="E376" t="s">
        <v>322</v>
      </c>
      <c r="F376">
        <v>0</v>
      </c>
      <c r="G376">
        <v>5.25</v>
      </c>
      <c r="H376">
        <v>5.25</v>
      </c>
      <c r="J376">
        <v>5.25</v>
      </c>
      <c r="K376">
        <v>0</v>
      </c>
    </row>
    <row r="377" spans="1:11" hidden="1" x14ac:dyDescent="0.35">
      <c r="A377" t="s">
        <v>90</v>
      </c>
      <c r="B377">
        <f t="shared" si="15"/>
        <v>2006</v>
      </c>
      <c r="C377">
        <f t="shared" si="16"/>
        <v>12</v>
      </c>
      <c r="D377">
        <f t="shared" si="17"/>
        <v>4</v>
      </c>
      <c r="E377" t="s">
        <v>322</v>
      </c>
      <c r="F377">
        <v>0</v>
      </c>
      <c r="G377">
        <v>5.25</v>
      </c>
      <c r="H377">
        <v>5.25</v>
      </c>
      <c r="J377">
        <v>5.2968799999999998</v>
      </c>
      <c r="K377">
        <v>-4.6879999999999997</v>
      </c>
    </row>
    <row r="378" spans="1:11" hidden="1" x14ac:dyDescent="0.35">
      <c r="A378" t="s">
        <v>91</v>
      </c>
      <c r="B378">
        <f t="shared" si="15"/>
        <v>2007</v>
      </c>
      <c r="C378">
        <f t="shared" si="16"/>
        <v>1</v>
      </c>
      <c r="D378">
        <f t="shared" si="17"/>
        <v>1</v>
      </c>
      <c r="E378" t="s">
        <v>322</v>
      </c>
      <c r="F378">
        <v>-25</v>
      </c>
      <c r="G378">
        <v>5.25</v>
      </c>
      <c r="H378">
        <v>5</v>
      </c>
      <c r="J378">
        <v>5.25</v>
      </c>
      <c r="K378">
        <v>-25</v>
      </c>
    </row>
    <row r="379" spans="1:11" hidden="1" x14ac:dyDescent="0.35">
      <c r="A379" t="s">
        <v>92</v>
      </c>
      <c r="B379">
        <f t="shared" si="15"/>
        <v>2007</v>
      </c>
      <c r="C379">
        <f t="shared" si="16"/>
        <v>2</v>
      </c>
      <c r="D379">
        <f t="shared" si="17"/>
        <v>1</v>
      </c>
      <c r="E379" t="s">
        <v>322</v>
      </c>
      <c r="F379">
        <v>0</v>
      </c>
      <c r="G379">
        <v>5</v>
      </c>
      <c r="H379">
        <v>5</v>
      </c>
      <c r="J379">
        <v>5</v>
      </c>
      <c r="K379">
        <v>0</v>
      </c>
    </row>
    <row r="380" spans="1:11" hidden="1" x14ac:dyDescent="0.35">
      <c r="A380" t="s">
        <v>93</v>
      </c>
      <c r="B380">
        <f t="shared" si="15"/>
        <v>2007</v>
      </c>
      <c r="C380">
        <f t="shared" si="16"/>
        <v>3</v>
      </c>
      <c r="D380">
        <f t="shared" si="17"/>
        <v>1</v>
      </c>
      <c r="E380" t="s">
        <v>322</v>
      </c>
      <c r="F380">
        <v>0</v>
      </c>
      <c r="G380">
        <v>5</v>
      </c>
      <c r="H380">
        <v>5</v>
      </c>
      <c r="J380">
        <v>4.9249999999999998</v>
      </c>
      <c r="K380">
        <v>7.5</v>
      </c>
    </row>
    <row r="381" spans="1:11" hidden="1" x14ac:dyDescent="0.35">
      <c r="A381" t="s">
        <v>94</v>
      </c>
      <c r="B381">
        <f t="shared" si="15"/>
        <v>2007</v>
      </c>
      <c r="C381">
        <f t="shared" si="16"/>
        <v>4</v>
      </c>
      <c r="D381">
        <f t="shared" si="17"/>
        <v>2</v>
      </c>
      <c r="E381" t="s">
        <v>322</v>
      </c>
      <c r="F381">
        <v>0</v>
      </c>
      <c r="G381">
        <v>5</v>
      </c>
      <c r="H381">
        <v>5</v>
      </c>
      <c r="J381">
        <v>4.9833299999999996</v>
      </c>
      <c r="K381">
        <v>1.667</v>
      </c>
    </row>
    <row r="382" spans="1:11" hidden="1" x14ac:dyDescent="0.35">
      <c r="A382" t="s">
        <v>95</v>
      </c>
      <c r="B382">
        <f t="shared" si="15"/>
        <v>2007</v>
      </c>
      <c r="C382">
        <f t="shared" si="16"/>
        <v>5</v>
      </c>
      <c r="D382">
        <f t="shared" si="17"/>
        <v>2</v>
      </c>
      <c r="E382" t="s">
        <v>322</v>
      </c>
      <c r="F382">
        <v>0</v>
      </c>
      <c r="G382">
        <v>5</v>
      </c>
      <c r="H382">
        <v>5</v>
      </c>
      <c r="J382">
        <v>5</v>
      </c>
      <c r="K382">
        <v>0</v>
      </c>
    </row>
    <row r="383" spans="1:11" hidden="1" x14ac:dyDescent="0.35">
      <c r="A383" t="s">
        <v>96</v>
      </c>
      <c r="B383">
        <f t="shared" si="15"/>
        <v>2007</v>
      </c>
      <c r="C383">
        <f t="shared" si="16"/>
        <v>6</v>
      </c>
      <c r="D383">
        <f t="shared" si="17"/>
        <v>2</v>
      </c>
      <c r="E383" t="s">
        <v>322</v>
      </c>
      <c r="F383">
        <v>0</v>
      </c>
      <c r="G383">
        <v>5</v>
      </c>
      <c r="H383">
        <v>5</v>
      </c>
      <c r="J383">
        <v>5.0277799999999999</v>
      </c>
      <c r="K383">
        <v>-2.778</v>
      </c>
    </row>
    <row r="384" spans="1:11" hidden="1" x14ac:dyDescent="0.35">
      <c r="A384" t="s">
        <v>97</v>
      </c>
      <c r="B384">
        <f t="shared" si="15"/>
        <v>2007</v>
      </c>
      <c r="C384">
        <f t="shared" si="16"/>
        <v>7</v>
      </c>
      <c r="D384">
        <f t="shared" si="17"/>
        <v>3</v>
      </c>
      <c r="E384" t="s">
        <v>322</v>
      </c>
      <c r="F384">
        <v>0</v>
      </c>
      <c r="G384">
        <v>5.25</v>
      </c>
      <c r="H384">
        <v>5.25</v>
      </c>
      <c r="J384">
        <v>5.2374999999999998</v>
      </c>
      <c r="K384">
        <v>1.25</v>
      </c>
    </row>
    <row r="385" spans="1:11" hidden="1" x14ac:dyDescent="0.35">
      <c r="A385" t="s">
        <v>98</v>
      </c>
      <c r="B385">
        <f t="shared" si="15"/>
        <v>2007</v>
      </c>
      <c r="C385">
        <f t="shared" si="16"/>
        <v>8</v>
      </c>
      <c r="D385">
        <f t="shared" si="17"/>
        <v>3</v>
      </c>
      <c r="E385" t="s">
        <v>322</v>
      </c>
      <c r="F385">
        <v>0</v>
      </c>
      <c r="G385">
        <v>5.5</v>
      </c>
      <c r="H385">
        <v>5.5</v>
      </c>
      <c r="J385">
        <v>5.5</v>
      </c>
      <c r="K385">
        <v>0</v>
      </c>
    </row>
    <row r="386" spans="1:11" hidden="1" x14ac:dyDescent="0.35">
      <c r="A386" t="s">
        <v>99</v>
      </c>
      <c r="B386">
        <f t="shared" si="15"/>
        <v>2007</v>
      </c>
      <c r="C386">
        <f t="shared" si="16"/>
        <v>9</v>
      </c>
      <c r="D386">
        <f t="shared" si="17"/>
        <v>3</v>
      </c>
      <c r="E386" t="s">
        <v>322</v>
      </c>
      <c r="F386">
        <v>0</v>
      </c>
      <c r="G386">
        <v>5.75</v>
      </c>
      <c r="H386">
        <v>5.75</v>
      </c>
      <c r="J386">
        <v>5.74</v>
      </c>
      <c r="K386">
        <v>1</v>
      </c>
    </row>
    <row r="387" spans="1:11" hidden="1" x14ac:dyDescent="0.35">
      <c r="A387" t="s">
        <v>100</v>
      </c>
      <c r="B387">
        <f t="shared" ref="B387:B450" si="18">LEFT(A387,4)*1</f>
        <v>2007</v>
      </c>
      <c r="C387">
        <f t="shared" ref="C387:C450" si="19">MID(A387,6,2)*1</f>
        <v>10</v>
      </c>
      <c r="D387">
        <f t="shared" ref="D387:D450" si="20">ROUNDUP(C387/3,0)</f>
        <v>4</v>
      </c>
      <c r="E387" t="s">
        <v>322</v>
      </c>
      <c r="F387">
        <v>0</v>
      </c>
      <c r="G387">
        <v>5.75</v>
      </c>
      <c r="H387">
        <v>5.75</v>
      </c>
      <c r="J387">
        <v>5.84375</v>
      </c>
      <c r="K387">
        <v>-9.375</v>
      </c>
    </row>
    <row r="388" spans="1:11" hidden="1" x14ac:dyDescent="0.35">
      <c r="A388" t="s">
        <v>101</v>
      </c>
      <c r="B388">
        <f t="shared" si="18"/>
        <v>2007</v>
      </c>
      <c r="C388">
        <f t="shared" si="19"/>
        <v>11</v>
      </c>
      <c r="D388">
        <f t="shared" si="20"/>
        <v>4</v>
      </c>
      <c r="E388" t="s">
        <v>322</v>
      </c>
      <c r="F388">
        <v>0</v>
      </c>
      <c r="G388">
        <v>5.75</v>
      </c>
      <c r="H388">
        <v>5.75</v>
      </c>
      <c r="J388">
        <v>5.7708300000000001</v>
      </c>
      <c r="K388">
        <v>-2.0830000000000002</v>
      </c>
    </row>
    <row r="389" spans="1:11" hidden="1" x14ac:dyDescent="0.35">
      <c r="A389" t="s">
        <v>102</v>
      </c>
      <c r="B389">
        <f t="shared" si="18"/>
        <v>2007</v>
      </c>
      <c r="C389">
        <f t="shared" si="19"/>
        <v>12</v>
      </c>
      <c r="D389">
        <f t="shared" si="20"/>
        <v>4</v>
      </c>
      <c r="E389" t="s">
        <v>322</v>
      </c>
      <c r="F389">
        <v>25</v>
      </c>
      <c r="G389">
        <v>5.75</v>
      </c>
      <c r="H389">
        <v>6</v>
      </c>
      <c r="J389">
        <v>5.83</v>
      </c>
      <c r="K389">
        <v>17</v>
      </c>
    </row>
    <row r="390" spans="1:11" hidden="1" x14ac:dyDescent="0.35">
      <c r="A390" t="s">
        <v>103</v>
      </c>
      <c r="B390">
        <f t="shared" si="18"/>
        <v>2008</v>
      </c>
      <c r="C390">
        <f t="shared" si="19"/>
        <v>1</v>
      </c>
      <c r="D390">
        <f t="shared" si="20"/>
        <v>1</v>
      </c>
      <c r="E390" t="s">
        <v>322</v>
      </c>
      <c r="F390">
        <v>0</v>
      </c>
      <c r="G390">
        <v>6.25</v>
      </c>
      <c r="H390">
        <v>6.25</v>
      </c>
      <c r="J390">
        <v>6.25</v>
      </c>
      <c r="K390">
        <v>0</v>
      </c>
    </row>
    <row r="391" spans="1:11" hidden="1" x14ac:dyDescent="0.35">
      <c r="A391" t="s">
        <v>104</v>
      </c>
      <c r="B391">
        <f t="shared" si="18"/>
        <v>2008</v>
      </c>
      <c r="C391">
        <f t="shared" si="19"/>
        <v>2</v>
      </c>
      <c r="D391">
        <f t="shared" si="20"/>
        <v>1</v>
      </c>
      <c r="E391" t="s">
        <v>322</v>
      </c>
      <c r="F391">
        <v>0</v>
      </c>
      <c r="G391">
        <v>6.25</v>
      </c>
      <c r="H391">
        <v>6.25</v>
      </c>
      <c r="J391">
        <v>6.3026299999999997</v>
      </c>
      <c r="K391">
        <v>-5.2629999999999999</v>
      </c>
    </row>
    <row r="392" spans="1:11" hidden="1" x14ac:dyDescent="0.35">
      <c r="A392" t="s">
        <v>105</v>
      </c>
      <c r="B392">
        <f t="shared" si="18"/>
        <v>2008</v>
      </c>
      <c r="C392">
        <f t="shared" si="19"/>
        <v>3</v>
      </c>
      <c r="D392">
        <f t="shared" si="20"/>
        <v>1</v>
      </c>
      <c r="E392" t="s">
        <v>322</v>
      </c>
      <c r="F392">
        <v>0</v>
      </c>
      <c r="G392">
        <v>6.25</v>
      </c>
      <c r="H392">
        <v>6.25</v>
      </c>
      <c r="J392">
        <v>6.3375000000000004</v>
      </c>
      <c r="K392">
        <v>-8.75</v>
      </c>
    </row>
    <row r="393" spans="1:11" hidden="1" x14ac:dyDescent="0.35">
      <c r="A393" t="s">
        <v>106</v>
      </c>
      <c r="B393">
        <f t="shared" si="18"/>
        <v>2008</v>
      </c>
      <c r="C393">
        <f t="shared" si="19"/>
        <v>4</v>
      </c>
      <c r="D393">
        <f t="shared" si="20"/>
        <v>2</v>
      </c>
      <c r="E393" t="s">
        <v>322</v>
      </c>
      <c r="F393">
        <v>0</v>
      </c>
      <c r="G393">
        <v>6.25</v>
      </c>
      <c r="H393">
        <v>6.25</v>
      </c>
      <c r="J393">
        <v>6.2833300000000003</v>
      </c>
      <c r="K393">
        <v>-3.3330000000000002</v>
      </c>
    </row>
    <row r="394" spans="1:11" hidden="1" x14ac:dyDescent="0.35">
      <c r="A394" t="s">
        <v>107</v>
      </c>
      <c r="B394">
        <f t="shared" si="18"/>
        <v>2008</v>
      </c>
      <c r="C394">
        <f t="shared" si="19"/>
        <v>5</v>
      </c>
      <c r="D394">
        <f t="shared" si="20"/>
        <v>2</v>
      </c>
      <c r="E394" t="s">
        <v>322</v>
      </c>
      <c r="F394">
        <v>0</v>
      </c>
      <c r="G394">
        <v>6.25</v>
      </c>
      <c r="H394">
        <v>6.25</v>
      </c>
      <c r="J394">
        <v>6.25</v>
      </c>
      <c r="K394">
        <v>0</v>
      </c>
    </row>
    <row r="395" spans="1:11" hidden="1" x14ac:dyDescent="0.35">
      <c r="A395" t="s">
        <v>108</v>
      </c>
      <c r="B395">
        <f t="shared" si="18"/>
        <v>2008</v>
      </c>
      <c r="C395">
        <f t="shared" si="19"/>
        <v>6</v>
      </c>
      <c r="D395">
        <f t="shared" si="20"/>
        <v>2</v>
      </c>
      <c r="E395" t="s">
        <v>322</v>
      </c>
      <c r="F395">
        <v>25</v>
      </c>
      <c r="G395">
        <v>6.5</v>
      </c>
      <c r="H395">
        <v>6.75</v>
      </c>
      <c r="J395">
        <v>6.5</v>
      </c>
      <c r="K395">
        <v>25</v>
      </c>
    </row>
    <row r="396" spans="1:11" hidden="1" x14ac:dyDescent="0.35">
      <c r="A396" t="s">
        <v>109</v>
      </c>
      <c r="B396">
        <f t="shared" si="18"/>
        <v>2008</v>
      </c>
      <c r="C396">
        <f t="shared" si="19"/>
        <v>7</v>
      </c>
      <c r="D396">
        <f t="shared" si="20"/>
        <v>3</v>
      </c>
      <c r="E396" t="s">
        <v>322</v>
      </c>
      <c r="F396">
        <v>0</v>
      </c>
      <c r="G396">
        <v>7.25</v>
      </c>
      <c r="H396">
        <v>7.25</v>
      </c>
      <c r="J396">
        <v>7.26</v>
      </c>
      <c r="K396">
        <v>-1</v>
      </c>
    </row>
    <row r="397" spans="1:11" hidden="1" x14ac:dyDescent="0.35">
      <c r="A397" t="s">
        <v>110</v>
      </c>
      <c r="B397">
        <f t="shared" si="18"/>
        <v>2008</v>
      </c>
      <c r="C397">
        <f t="shared" si="19"/>
        <v>8</v>
      </c>
      <c r="D397">
        <f t="shared" si="20"/>
        <v>3</v>
      </c>
      <c r="E397" t="s">
        <v>322</v>
      </c>
      <c r="F397">
        <v>0</v>
      </c>
      <c r="G397">
        <v>7.75</v>
      </c>
      <c r="H397">
        <v>7.75</v>
      </c>
      <c r="J397">
        <v>7.7083300000000001</v>
      </c>
      <c r="K397">
        <v>4.1669999999999998</v>
      </c>
    </row>
    <row r="398" spans="1:11" hidden="1" x14ac:dyDescent="0.35">
      <c r="A398" t="s">
        <v>111</v>
      </c>
      <c r="B398">
        <f t="shared" si="18"/>
        <v>2008</v>
      </c>
      <c r="C398">
        <f t="shared" si="19"/>
        <v>9</v>
      </c>
      <c r="D398">
        <f t="shared" si="20"/>
        <v>3</v>
      </c>
      <c r="E398" t="s">
        <v>322</v>
      </c>
      <c r="F398">
        <v>0</v>
      </c>
      <c r="G398">
        <v>8.25</v>
      </c>
      <c r="H398">
        <v>8.25</v>
      </c>
      <c r="J398">
        <v>8.2023799999999998</v>
      </c>
      <c r="K398">
        <v>4.7619999999999996</v>
      </c>
    </row>
    <row r="399" spans="1:11" hidden="1" x14ac:dyDescent="0.35">
      <c r="A399" t="s">
        <v>112</v>
      </c>
      <c r="B399">
        <f t="shared" si="18"/>
        <v>2008</v>
      </c>
      <c r="C399">
        <f t="shared" si="19"/>
        <v>10</v>
      </c>
      <c r="D399">
        <f t="shared" si="20"/>
        <v>4</v>
      </c>
      <c r="E399" t="s">
        <v>322</v>
      </c>
      <c r="F399">
        <v>0</v>
      </c>
      <c r="G399">
        <v>8.25</v>
      </c>
      <c r="H399">
        <v>8.25</v>
      </c>
      <c r="J399">
        <v>8.3365399999999994</v>
      </c>
      <c r="K399">
        <v>-8.6539999999999999</v>
      </c>
    </row>
    <row r="400" spans="1:11" hidden="1" x14ac:dyDescent="0.35">
      <c r="A400" t="s">
        <v>113</v>
      </c>
      <c r="B400">
        <f t="shared" si="18"/>
        <v>2008</v>
      </c>
      <c r="C400">
        <f t="shared" si="19"/>
        <v>11</v>
      </c>
      <c r="D400">
        <f t="shared" si="20"/>
        <v>4</v>
      </c>
      <c r="E400" t="s">
        <v>322</v>
      </c>
      <c r="F400">
        <v>0</v>
      </c>
      <c r="G400">
        <v>8.25</v>
      </c>
      <c r="H400">
        <v>8.25</v>
      </c>
      <c r="J400">
        <v>8.2799999999999994</v>
      </c>
      <c r="K400">
        <v>-3</v>
      </c>
    </row>
    <row r="401" spans="1:11" hidden="1" x14ac:dyDescent="0.35">
      <c r="A401" t="s">
        <v>114</v>
      </c>
      <c r="B401">
        <f t="shared" si="18"/>
        <v>2008</v>
      </c>
      <c r="C401">
        <f t="shared" si="19"/>
        <v>12</v>
      </c>
      <c r="D401">
        <f t="shared" si="20"/>
        <v>4</v>
      </c>
      <c r="E401" t="s">
        <v>322</v>
      </c>
      <c r="F401">
        <v>0</v>
      </c>
      <c r="G401">
        <v>8.25</v>
      </c>
      <c r="H401">
        <v>8.25</v>
      </c>
      <c r="J401">
        <v>8.23</v>
      </c>
      <c r="K401">
        <v>2</v>
      </c>
    </row>
    <row r="402" spans="1:11" hidden="1" x14ac:dyDescent="0.35">
      <c r="A402" t="s">
        <v>115</v>
      </c>
      <c r="B402">
        <f t="shared" si="18"/>
        <v>2009</v>
      </c>
      <c r="C402">
        <f t="shared" si="19"/>
        <v>1</v>
      </c>
      <c r="D402">
        <f t="shared" si="20"/>
        <v>1</v>
      </c>
      <c r="E402" t="s">
        <v>322</v>
      </c>
      <c r="F402">
        <v>-50</v>
      </c>
      <c r="G402">
        <v>7.75</v>
      </c>
      <c r="H402">
        <v>7.25</v>
      </c>
      <c r="J402">
        <v>7.6749999999999998</v>
      </c>
      <c r="K402">
        <v>-42.5</v>
      </c>
    </row>
    <row r="403" spans="1:11" hidden="1" x14ac:dyDescent="0.35">
      <c r="A403" t="s">
        <v>116</v>
      </c>
      <c r="B403">
        <f t="shared" si="18"/>
        <v>2009</v>
      </c>
      <c r="C403">
        <f t="shared" si="19"/>
        <v>2</v>
      </c>
      <c r="D403">
        <f t="shared" si="20"/>
        <v>1</v>
      </c>
      <c r="E403" t="s">
        <v>322</v>
      </c>
      <c r="F403">
        <v>-150</v>
      </c>
      <c r="G403">
        <v>6.25</v>
      </c>
      <c r="H403">
        <v>4.75</v>
      </c>
      <c r="J403">
        <v>6.1458300000000001</v>
      </c>
      <c r="K403">
        <v>-139.583</v>
      </c>
    </row>
    <row r="404" spans="1:11" hidden="1" x14ac:dyDescent="0.35">
      <c r="A404" t="s">
        <v>117</v>
      </c>
      <c r="B404">
        <f t="shared" si="18"/>
        <v>2009</v>
      </c>
      <c r="C404">
        <f t="shared" si="19"/>
        <v>3</v>
      </c>
      <c r="D404">
        <f t="shared" si="20"/>
        <v>1</v>
      </c>
      <c r="E404" t="s">
        <v>322</v>
      </c>
      <c r="F404">
        <v>-100</v>
      </c>
      <c r="G404">
        <v>3.25</v>
      </c>
      <c r="H404">
        <v>2.25</v>
      </c>
      <c r="J404">
        <v>3.1296300000000001</v>
      </c>
      <c r="K404">
        <v>-87.962999999999994</v>
      </c>
    </row>
    <row r="405" spans="1:11" hidden="1" x14ac:dyDescent="0.35">
      <c r="A405" t="s">
        <v>118</v>
      </c>
      <c r="B405">
        <f t="shared" si="18"/>
        <v>2009</v>
      </c>
      <c r="C405">
        <f t="shared" si="19"/>
        <v>4</v>
      </c>
      <c r="D405">
        <f t="shared" si="20"/>
        <v>2</v>
      </c>
      <c r="E405" t="s">
        <v>322</v>
      </c>
      <c r="F405">
        <v>0</v>
      </c>
      <c r="G405">
        <v>1.75</v>
      </c>
      <c r="H405">
        <v>1.75</v>
      </c>
      <c r="J405">
        <v>1.76</v>
      </c>
      <c r="K405">
        <v>-1</v>
      </c>
    </row>
    <row r="406" spans="1:11" hidden="1" x14ac:dyDescent="0.35">
      <c r="A406" t="s">
        <v>119</v>
      </c>
      <c r="B406">
        <f t="shared" si="18"/>
        <v>2009</v>
      </c>
      <c r="C406">
        <f t="shared" si="19"/>
        <v>5</v>
      </c>
      <c r="D406">
        <f t="shared" si="20"/>
        <v>2</v>
      </c>
      <c r="E406" t="s">
        <v>322</v>
      </c>
      <c r="F406">
        <v>-25</v>
      </c>
      <c r="G406">
        <v>1.5</v>
      </c>
      <c r="H406">
        <v>1.25</v>
      </c>
      <c r="J406">
        <v>1.45238</v>
      </c>
      <c r="K406">
        <v>-20.238</v>
      </c>
    </row>
    <row r="407" spans="1:11" hidden="1" x14ac:dyDescent="0.35">
      <c r="A407" t="s">
        <v>120</v>
      </c>
      <c r="B407">
        <f t="shared" si="18"/>
        <v>2009</v>
      </c>
      <c r="C407">
        <f t="shared" si="19"/>
        <v>6</v>
      </c>
      <c r="D407">
        <f t="shared" si="20"/>
        <v>2</v>
      </c>
      <c r="E407" t="s">
        <v>322</v>
      </c>
      <c r="F407">
        <v>0</v>
      </c>
      <c r="G407">
        <v>0.75</v>
      </c>
      <c r="H407">
        <v>0.75</v>
      </c>
      <c r="J407">
        <v>0.8125</v>
      </c>
      <c r="K407">
        <v>-6.25</v>
      </c>
    </row>
    <row r="408" spans="1:11" hidden="1" x14ac:dyDescent="0.35">
      <c r="A408" t="s">
        <v>121</v>
      </c>
      <c r="B408">
        <f t="shared" si="18"/>
        <v>2009</v>
      </c>
      <c r="C408">
        <f t="shared" si="19"/>
        <v>7</v>
      </c>
      <c r="D408">
        <f t="shared" si="20"/>
        <v>3</v>
      </c>
      <c r="E408" t="s">
        <v>322</v>
      </c>
      <c r="F408">
        <v>0</v>
      </c>
      <c r="G408">
        <v>0.5</v>
      </c>
      <c r="H408">
        <v>0.5</v>
      </c>
      <c r="J408">
        <v>0.5</v>
      </c>
      <c r="K408">
        <v>0</v>
      </c>
    </row>
    <row r="409" spans="1:11" hidden="1" x14ac:dyDescent="0.35">
      <c r="A409" t="s">
        <v>122</v>
      </c>
      <c r="B409">
        <f t="shared" si="18"/>
        <v>2009</v>
      </c>
      <c r="C409">
        <f t="shared" si="19"/>
        <v>8</v>
      </c>
      <c r="D409">
        <f t="shared" si="20"/>
        <v>3</v>
      </c>
      <c r="E409" t="s">
        <v>322</v>
      </c>
      <c r="F409">
        <v>0</v>
      </c>
      <c r="G409">
        <v>0.5</v>
      </c>
      <c r="H409">
        <v>0.5</v>
      </c>
      <c r="J409">
        <v>0.484375</v>
      </c>
      <c r="K409">
        <v>1.5625</v>
      </c>
    </row>
    <row r="410" spans="1:11" hidden="1" x14ac:dyDescent="0.35">
      <c r="A410" t="s">
        <v>123</v>
      </c>
      <c r="B410">
        <f t="shared" si="18"/>
        <v>2009</v>
      </c>
      <c r="C410">
        <f t="shared" si="19"/>
        <v>9</v>
      </c>
      <c r="D410">
        <f t="shared" si="20"/>
        <v>3</v>
      </c>
      <c r="E410" t="s">
        <v>322</v>
      </c>
      <c r="F410">
        <v>0</v>
      </c>
      <c r="G410">
        <v>0.5</v>
      </c>
      <c r="H410">
        <v>0.5</v>
      </c>
      <c r="J410">
        <v>0.5</v>
      </c>
      <c r="K410">
        <v>0</v>
      </c>
    </row>
    <row r="411" spans="1:11" hidden="1" x14ac:dyDescent="0.35">
      <c r="A411" t="s">
        <v>124</v>
      </c>
      <c r="B411">
        <f t="shared" si="18"/>
        <v>2009</v>
      </c>
      <c r="C411">
        <f t="shared" si="19"/>
        <v>10</v>
      </c>
      <c r="D411">
        <f t="shared" si="20"/>
        <v>4</v>
      </c>
      <c r="E411" t="s">
        <v>322</v>
      </c>
      <c r="F411">
        <v>0</v>
      </c>
      <c r="G411">
        <v>0.5</v>
      </c>
      <c r="H411">
        <v>0.5</v>
      </c>
      <c r="J411">
        <v>0.5</v>
      </c>
      <c r="K411">
        <v>0</v>
      </c>
    </row>
    <row r="412" spans="1:11" hidden="1" x14ac:dyDescent="0.35">
      <c r="A412" t="s">
        <v>125</v>
      </c>
      <c r="B412">
        <f t="shared" si="18"/>
        <v>2009</v>
      </c>
      <c r="C412">
        <f t="shared" si="19"/>
        <v>11</v>
      </c>
      <c r="D412">
        <f t="shared" si="20"/>
        <v>4</v>
      </c>
      <c r="E412" t="s">
        <v>322</v>
      </c>
      <c r="F412">
        <v>0</v>
      </c>
      <c r="G412">
        <v>0.5</v>
      </c>
      <c r="H412">
        <v>0.5</v>
      </c>
      <c r="J412">
        <v>0.5</v>
      </c>
      <c r="K412">
        <v>0</v>
      </c>
    </row>
    <row r="413" spans="1:11" hidden="1" x14ac:dyDescent="0.35">
      <c r="A413" t="s">
        <v>126</v>
      </c>
      <c r="B413">
        <f t="shared" si="18"/>
        <v>2009</v>
      </c>
      <c r="C413">
        <f t="shared" si="19"/>
        <v>12</v>
      </c>
      <c r="D413">
        <f t="shared" si="20"/>
        <v>4</v>
      </c>
      <c r="E413" t="s">
        <v>322</v>
      </c>
      <c r="F413">
        <v>0</v>
      </c>
      <c r="G413">
        <v>0.5</v>
      </c>
      <c r="H413">
        <v>0.5</v>
      </c>
      <c r="I413">
        <v>-4</v>
      </c>
      <c r="J413">
        <v>0.5</v>
      </c>
      <c r="K413">
        <v>0</v>
      </c>
    </row>
    <row r="414" spans="1:11" hidden="1" x14ac:dyDescent="0.35">
      <c r="A414" t="s">
        <v>127</v>
      </c>
      <c r="B414">
        <f t="shared" si="18"/>
        <v>2010</v>
      </c>
      <c r="C414">
        <f t="shared" si="19"/>
        <v>1</v>
      </c>
      <c r="D414">
        <f t="shared" si="20"/>
        <v>1</v>
      </c>
      <c r="E414" t="s">
        <v>322</v>
      </c>
      <c r="F414">
        <v>0</v>
      </c>
      <c r="G414">
        <v>0.5</v>
      </c>
      <c r="H414">
        <v>0.5</v>
      </c>
      <c r="I414">
        <v>-1</v>
      </c>
      <c r="J414">
        <v>0.5</v>
      </c>
      <c r="K414">
        <v>0</v>
      </c>
    </row>
    <row r="415" spans="1:11" hidden="1" x14ac:dyDescent="0.35">
      <c r="A415" t="s">
        <v>128</v>
      </c>
      <c r="B415">
        <f t="shared" si="18"/>
        <v>2010</v>
      </c>
      <c r="C415">
        <f t="shared" si="19"/>
        <v>2</v>
      </c>
      <c r="D415">
        <f t="shared" si="20"/>
        <v>1</v>
      </c>
      <c r="E415" t="s">
        <v>322</v>
      </c>
      <c r="F415">
        <v>0</v>
      </c>
      <c r="G415">
        <v>0.5</v>
      </c>
      <c r="H415">
        <v>0.5</v>
      </c>
      <c r="I415">
        <v>-3</v>
      </c>
      <c r="J415">
        <v>0.5</v>
      </c>
      <c r="K415">
        <v>0</v>
      </c>
    </row>
    <row r="416" spans="1:11" hidden="1" x14ac:dyDescent="0.35">
      <c r="A416" t="s">
        <v>129</v>
      </c>
      <c r="B416">
        <f t="shared" si="18"/>
        <v>2010</v>
      </c>
      <c r="C416">
        <f t="shared" si="19"/>
        <v>3</v>
      </c>
      <c r="D416">
        <f t="shared" si="20"/>
        <v>1</v>
      </c>
      <c r="E416" t="s">
        <v>322</v>
      </c>
      <c r="F416">
        <v>0</v>
      </c>
      <c r="G416">
        <v>0.5</v>
      </c>
      <c r="H416">
        <v>0.5</v>
      </c>
      <c r="I416">
        <v>-5</v>
      </c>
      <c r="J416">
        <v>0.5</v>
      </c>
      <c r="K416">
        <v>0</v>
      </c>
    </row>
    <row r="417" spans="1:11" hidden="1" x14ac:dyDescent="0.35">
      <c r="A417" t="s">
        <v>130</v>
      </c>
      <c r="B417">
        <f t="shared" si="18"/>
        <v>2010</v>
      </c>
      <c r="C417">
        <f t="shared" si="19"/>
        <v>4</v>
      </c>
      <c r="D417">
        <f t="shared" si="20"/>
        <v>2</v>
      </c>
      <c r="E417" t="s">
        <v>322</v>
      </c>
      <c r="F417">
        <v>0</v>
      </c>
      <c r="G417">
        <v>0.5</v>
      </c>
      <c r="H417">
        <v>0.5</v>
      </c>
      <c r="I417">
        <v>1</v>
      </c>
      <c r="J417">
        <v>0.5</v>
      </c>
      <c r="K417">
        <v>0</v>
      </c>
    </row>
    <row r="418" spans="1:11" hidden="1" x14ac:dyDescent="0.35">
      <c r="A418" t="s">
        <v>131</v>
      </c>
      <c r="B418">
        <f t="shared" si="18"/>
        <v>2010</v>
      </c>
      <c r="C418">
        <f t="shared" si="19"/>
        <v>5</v>
      </c>
      <c r="D418">
        <f t="shared" si="20"/>
        <v>2</v>
      </c>
      <c r="E418" t="s">
        <v>322</v>
      </c>
      <c r="F418">
        <v>0</v>
      </c>
      <c r="G418">
        <v>0.5</v>
      </c>
      <c r="H418">
        <v>0.5</v>
      </c>
      <c r="I418">
        <v>-7</v>
      </c>
      <c r="J418">
        <v>0.55000000000000004</v>
      </c>
      <c r="K418">
        <v>-5</v>
      </c>
    </row>
    <row r="419" spans="1:11" hidden="1" x14ac:dyDescent="0.35">
      <c r="A419" t="s">
        <v>132</v>
      </c>
      <c r="B419">
        <f t="shared" si="18"/>
        <v>2010</v>
      </c>
      <c r="C419">
        <f t="shared" si="19"/>
        <v>6</v>
      </c>
      <c r="D419">
        <f t="shared" si="20"/>
        <v>2</v>
      </c>
      <c r="E419" t="s">
        <v>322</v>
      </c>
      <c r="F419">
        <v>25</v>
      </c>
      <c r="G419">
        <v>0.75</v>
      </c>
      <c r="H419">
        <v>1</v>
      </c>
      <c r="I419">
        <v>25</v>
      </c>
      <c r="J419">
        <v>0.77083299999999999</v>
      </c>
      <c r="K419">
        <v>22.916699999999999</v>
      </c>
    </row>
    <row r="420" spans="1:11" hidden="1" x14ac:dyDescent="0.35">
      <c r="A420" t="s">
        <v>133</v>
      </c>
      <c r="B420">
        <f t="shared" si="18"/>
        <v>2010</v>
      </c>
      <c r="C420">
        <f t="shared" si="19"/>
        <v>7</v>
      </c>
      <c r="D420">
        <f t="shared" si="20"/>
        <v>3</v>
      </c>
      <c r="E420" t="s">
        <v>322</v>
      </c>
      <c r="F420">
        <v>0</v>
      </c>
      <c r="G420">
        <v>1.5</v>
      </c>
      <c r="H420">
        <v>1.5</v>
      </c>
      <c r="I420">
        <v>0</v>
      </c>
      <c r="J420">
        <v>1.48438</v>
      </c>
      <c r="K420">
        <v>1.5620000000000001</v>
      </c>
    </row>
    <row r="421" spans="1:11" hidden="1" x14ac:dyDescent="0.35">
      <c r="A421" t="s">
        <v>134</v>
      </c>
      <c r="B421">
        <f t="shared" si="18"/>
        <v>2010</v>
      </c>
      <c r="C421">
        <f t="shared" si="19"/>
        <v>8</v>
      </c>
      <c r="D421">
        <f t="shared" si="20"/>
        <v>3</v>
      </c>
      <c r="E421" t="s">
        <v>322</v>
      </c>
      <c r="F421">
        <v>0</v>
      </c>
      <c r="G421">
        <v>2</v>
      </c>
      <c r="H421">
        <v>2</v>
      </c>
      <c r="I421">
        <v>6</v>
      </c>
      <c r="J421">
        <v>2</v>
      </c>
      <c r="K421">
        <v>0</v>
      </c>
    </row>
    <row r="422" spans="1:11" hidden="1" x14ac:dyDescent="0.35">
      <c r="A422" t="s">
        <v>135</v>
      </c>
      <c r="B422">
        <f t="shared" si="18"/>
        <v>2010</v>
      </c>
      <c r="C422">
        <f t="shared" si="19"/>
        <v>9</v>
      </c>
      <c r="D422">
        <f t="shared" si="20"/>
        <v>3</v>
      </c>
      <c r="E422" t="s">
        <v>322</v>
      </c>
      <c r="F422">
        <v>0</v>
      </c>
      <c r="G422">
        <v>2.5</v>
      </c>
      <c r="H422">
        <v>2.5</v>
      </c>
      <c r="I422">
        <v>-5</v>
      </c>
      <c r="J422">
        <v>2.5</v>
      </c>
      <c r="K422">
        <v>0</v>
      </c>
    </row>
    <row r="423" spans="1:11" hidden="1" x14ac:dyDescent="0.35">
      <c r="A423" t="s">
        <v>136</v>
      </c>
      <c r="B423">
        <f t="shared" si="18"/>
        <v>2010</v>
      </c>
      <c r="C423">
        <f t="shared" si="19"/>
        <v>10</v>
      </c>
      <c r="D423">
        <f t="shared" si="20"/>
        <v>4</v>
      </c>
      <c r="E423" t="s">
        <v>322</v>
      </c>
      <c r="F423">
        <v>0</v>
      </c>
      <c r="G423">
        <v>2.75</v>
      </c>
      <c r="H423">
        <v>2.75</v>
      </c>
      <c r="I423">
        <v>-5</v>
      </c>
      <c r="J423">
        <v>2.8333300000000001</v>
      </c>
      <c r="K423">
        <v>-8.3330000000000002</v>
      </c>
    </row>
    <row r="424" spans="1:11" hidden="1" x14ac:dyDescent="0.35">
      <c r="A424" t="s">
        <v>137</v>
      </c>
      <c r="B424">
        <f t="shared" si="18"/>
        <v>2010</v>
      </c>
      <c r="C424">
        <f t="shared" si="19"/>
        <v>11</v>
      </c>
      <c r="D424">
        <f t="shared" si="20"/>
        <v>4</v>
      </c>
      <c r="E424" t="s">
        <v>322</v>
      </c>
      <c r="F424">
        <v>0</v>
      </c>
      <c r="G424">
        <v>3</v>
      </c>
      <c r="H424">
        <v>3</v>
      </c>
      <c r="I424">
        <v>2</v>
      </c>
      <c r="J424">
        <v>2.9705900000000001</v>
      </c>
      <c r="K424">
        <v>2.9409999999999998</v>
      </c>
    </row>
    <row r="425" spans="1:11" hidden="1" x14ac:dyDescent="0.35">
      <c r="A425" t="s">
        <v>138</v>
      </c>
      <c r="B425">
        <f t="shared" si="18"/>
        <v>2010</v>
      </c>
      <c r="C425">
        <f t="shared" si="19"/>
        <v>12</v>
      </c>
      <c r="D425">
        <f t="shared" si="20"/>
        <v>4</v>
      </c>
      <c r="E425" t="s">
        <v>322</v>
      </c>
      <c r="F425">
        <v>0</v>
      </c>
      <c r="G425">
        <v>3.25</v>
      </c>
      <c r="H425">
        <v>3.25</v>
      </c>
      <c r="I425">
        <v>1</v>
      </c>
      <c r="J425">
        <v>3.1931799999999999</v>
      </c>
      <c r="K425">
        <v>5.6820000000000004</v>
      </c>
    </row>
    <row r="426" spans="1:11" hidden="1" x14ac:dyDescent="0.35">
      <c r="A426" t="s">
        <v>139</v>
      </c>
      <c r="B426">
        <f t="shared" si="18"/>
        <v>2011</v>
      </c>
      <c r="C426">
        <f t="shared" si="19"/>
        <v>1</v>
      </c>
      <c r="D426">
        <f t="shared" si="20"/>
        <v>1</v>
      </c>
      <c r="E426" t="s">
        <v>322</v>
      </c>
      <c r="F426">
        <v>-25</v>
      </c>
      <c r="G426">
        <v>3.5</v>
      </c>
      <c r="H426">
        <v>3.25</v>
      </c>
      <c r="I426">
        <v>-2</v>
      </c>
      <c r="J426">
        <v>3.3809499999999999</v>
      </c>
      <c r="K426">
        <v>-13.095000000000001</v>
      </c>
    </row>
    <row r="427" spans="1:11" hidden="1" x14ac:dyDescent="0.35">
      <c r="A427" t="s">
        <v>140</v>
      </c>
      <c r="B427">
        <f t="shared" si="18"/>
        <v>2011</v>
      </c>
      <c r="C427">
        <f t="shared" si="19"/>
        <v>2</v>
      </c>
      <c r="D427">
        <f t="shared" si="20"/>
        <v>1</v>
      </c>
      <c r="E427" t="s">
        <v>322</v>
      </c>
      <c r="F427">
        <v>0</v>
      </c>
      <c r="G427">
        <v>3.5</v>
      </c>
      <c r="H427">
        <v>3.5</v>
      </c>
      <c r="I427">
        <v>3</v>
      </c>
      <c r="J427">
        <v>3.4642900000000001</v>
      </c>
      <c r="K427">
        <v>3.5710000000000002</v>
      </c>
    </row>
    <row r="428" spans="1:11" hidden="1" x14ac:dyDescent="0.35">
      <c r="A428" t="s">
        <v>141</v>
      </c>
      <c r="B428">
        <f t="shared" si="18"/>
        <v>2011</v>
      </c>
      <c r="C428">
        <f t="shared" si="19"/>
        <v>3</v>
      </c>
      <c r="D428">
        <f t="shared" si="20"/>
        <v>1</v>
      </c>
      <c r="E428" t="s">
        <v>322</v>
      </c>
      <c r="F428">
        <v>25</v>
      </c>
      <c r="G428">
        <v>3.75</v>
      </c>
      <c r="H428">
        <v>4</v>
      </c>
      <c r="I428">
        <v>30</v>
      </c>
      <c r="J428">
        <v>3.78409</v>
      </c>
      <c r="K428">
        <v>21.591000000000001</v>
      </c>
    </row>
    <row r="429" spans="1:11" hidden="1" x14ac:dyDescent="0.35">
      <c r="A429" t="s">
        <v>142</v>
      </c>
      <c r="B429">
        <f t="shared" si="18"/>
        <v>2011</v>
      </c>
      <c r="C429">
        <f t="shared" si="19"/>
        <v>4</v>
      </c>
      <c r="D429">
        <f t="shared" si="20"/>
        <v>2</v>
      </c>
      <c r="E429" t="s">
        <v>322</v>
      </c>
      <c r="F429">
        <v>0</v>
      </c>
      <c r="G429">
        <v>4.5</v>
      </c>
      <c r="H429">
        <v>4.5</v>
      </c>
      <c r="I429">
        <v>-1</v>
      </c>
      <c r="J429">
        <v>4.4761899999999999</v>
      </c>
      <c r="K429">
        <v>2.3809999999999998</v>
      </c>
    </row>
    <row r="430" spans="1:11" hidden="1" x14ac:dyDescent="0.35">
      <c r="A430" t="s">
        <v>143</v>
      </c>
      <c r="B430">
        <f t="shared" si="18"/>
        <v>2011</v>
      </c>
      <c r="C430">
        <f t="shared" si="19"/>
        <v>5</v>
      </c>
      <c r="D430">
        <f t="shared" si="20"/>
        <v>2</v>
      </c>
      <c r="E430" t="s">
        <v>322</v>
      </c>
      <c r="F430">
        <v>25</v>
      </c>
      <c r="G430">
        <v>4.75</v>
      </c>
      <c r="H430">
        <v>5</v>
      </c>
      <c r="I430">
        <v>8</v>
      </c>
      <c r="J430">
        <v>4.8055599999999998</v>
      </c>
      <c r="K430">
        <v>19.443999999999999</v>
      </c>
    </row>
    <row r="431" spans="1:11" hidden="1" x14ac:dyDescent="0.35">
      <c r="A431" t="s">
        <v>144</v>
      </c>
      <c r="B431">
        <f t="shared" si="18"/>
        <v>2011</v>
      </c>
      <c r="C431">
        <f t="shared" si="19"/>
        <v>6</v>
      </c>
      <c r="D431">
        <f t="shared" si="20"/>
        <v>2</v>
      </c>
      <c r="E431" t="s">
        <v>322</v>
      </c>
      <c r="F431">
        <v>0</v>
      </c>
      <c r="G431">
        <v>5.25</v>
      </c>
      <c r="H431">
        <v>5.25</v>
      </c>
      <c r="I431">
        <v>7</v>
      </c>
      <c r="J431">
        <v>5.2631600000000001</v>
      </c>
      <c r="K431">
        <v>-1.3160000000000001</v>
      </c>
    </row>
    <row r="432" spans="1:11" hidden="1" x14ac:dyDescent="0.35">
      <c r="A432" t="s">
        <v>145</v>
      </c>
      <c r="B432">
        <f t="shared" si="18"/>
        <v>2011</v>
      </c>
      <c r="C432">
        <f t="shared" si="19"/>
        <v>7</v>
      </c>
      <c r="D432">
        <f t="shared" si="20"/>
        <v>3</v>
      </c>
      <c r="E432" t="s">
        <v>322</v>
      </c>
      <c r="F432">
        <v>0</v>
      </c>
      <c r="G432">
        <v>5.25</v>
      </c>
      <c r="H432">
        <v>5.25</v>
      </c>
      <c r="I432">
        <v>5</v>
      </c>
      <c r="J432">
        <v>5.2916699999999999</v>
      </c>
      <c r="K432">
        <v>-4.1669999999999998</v>
      </c>
    </row>
    <row r="433" spans="1:11" hidden="1" x14ac:dyDescent="0.35">
      <c r="A433" t="s">
        <v>146</v>
      </c>
      <c r="B433">
        <f t="shared" si="18"/>
        <v>2011</v>
      </c>
      <c r="C433">
        <f t="shared" si="19"/>
        <v>8</v>
      </c>
      <c r="D433">
        <f t="shared" si="20"/>
        <v>3</v>
      </c>
      <c r="E433" t="s">
        <v>322</v>
      </c>
      <c r="F433">
        <v>0</v>
      </c>
      <c r="G433">
        <v>5.25</v>
      </c>
      <c r="H433">
        <v>5.25</v>
      </c>
      <c r="I433">
        <v>-15</v>
      </c>
      <c r="J433">
        <v>5.25</v>
      </c>
      <c r="K433">
        <v>0</v>
      </c>
    </row>
    <row r="434" spans="1:11" hidden="1" x14ac:dyDescent="0.35">
      <c r="A434" t="s">
        <v>147</v>
      </c>
      <c r="B434">
        <f t="shared" si="18"/>
        <v>2011</v>
      </c>
      <c r="C434">
        <f t="shared" si="19"/>
        <v>9</v>
      </c>
      <c r="D434">
        <f t="shared" si="20"/>
        <v>3</v>
      </c>
      <c r="E434" t="s">
        <v>322</v>
      </c>
      <c r="F434">
        <v>0</v>
      </c>
      <c r="G434">
        <v>5.25</v>
      </c>
      <c r="H434">
        <v>5.25</v>
      </c>
      <c r="I434">
        <v>2</v>
      </c>
      <c r="J434">
        <v>5.25</v>
      </c>
      <c r="K434">
        <v>0</v>
      </c>
    </row>
    <row r="435" spans="1:11" hidden="1" x14ac:dyDescent="0.35">
      <c r="A435" t="s">
        <v>148</v>
      </c>
      <c r="B435">
        <f t="shared" si="18"/>
        <v>2011</v>
      </c>
      <c r="C435">
        <f t="shared" si="19"/>
        <v>10</v>
      </c>
      <c r="D435">
        <f t="shared" si="20"/>
        <v>4</v>
      </c>
      <c r="E435" t="s">
        <v>322</v>
      </c>
      <c r="F435">
        <v>0</v>
      </c>
      <c r="G435">
        <v>5.25</v>
      </c>
      <c r="H435">
        <v>5.25</v>
      </c>
      <c r="I435">
        <v>3</v>
      </c>
      <c r="J435">
        <v>5.2</v>
      </c>
      <c r="K435">
        <v>5</v>
      </c>
    </row>
    <row r="436" spans="1:11" hidden="1" x14ac:dyDescent="0.35">
      <c r="A436" t="s">
        <v>149</v>
      </c>
      <c r="B436">
        <f t="shared" si="18"/>
        <v>2011</v>
      </c>
      <c r="C436">
        <f t="shared" si="19"/>
        <v>11</v>
      </c>
      <c r="D436">
        <f t="shared" si="20"/>
        <v>4</v>
      </c>
      <c r="E436" t="s">
        <v>322</v>
      </c>
      <c r="F436">
        <v>0</v>
      </c>
      <c r="G436">
        <v>5.25</v>
      </c>
      <c r="H436">
        <v>5.25</v>
      </c>
      <c r="I436">
        <v>0</v>
      </c>
      <c r="J436">
        <v>5.25</v>
      </c>
      <c r="K436">
        <v>0</v>
      </c>
    </row>
    <row r="437" spans="1:11" hidden="1" x14ac:dyDescent="0.35">
      <c r="A437" t="s">
        <v>150</v>
      </c>
      <c r="B437">
        <f t="shared" si="18"/>
        <v>2011</v>
      </c>
      <c r="C437">
        <f t="shared" si="19"/>
        <v>12</v>
      </c>
      <c r="D437">
        <f t="shared" si="20"/>
        <v>4</v>
      </c>
      <c r="E437" t="s">
        <v>322</v>
      </c>
      <c r="F437">
        <v>0</v>
      </c>
      <c r="G437">
        <v>5.25</v>
      </c>
      <c r="H437">
        <v>5.25</v>
      </c>
      <c r="I437">
        <v>-4</v>
      </c>
      <c r="J437">
        <v>5.2</v>
      </c>
      <c r="K437">
        <v>5</v>
      </c>
    </row>
    <row r="438" spans="1:11" hidden="1" x14ac:dyDescent="0.35">
      <c r="A438" t="s">
        <v>151</v>
      </c>
      <c r="B438">
        <f t="shared" si="18"/>
        <v>2012</v>
      </c>
      <c r="C438">
        <f t="shared" si="19"/>
        <v>1</v>
      </c>
      <c r="D438">
        <f t="shared" si="20"/>
        <v>1</v>
      </c>
      <c r="E438" t="s">
        <v>322</v>
      </c>
      <c r="F438">
        <v>-25</v>
      </c>
      <c r="G438">
        <v>5.25</v>
      </c>
      <c r="H438">
        <v>5</v>
      </c>
      <c r="I438">
        <v>-17</v>
      </c>
      <c r="J438">
        <v>5.2</v>
      </c>
      <c r="K438">
        <v>-20</v>
      </c>
    </row>
    <row r="439" spans="1:11" hidden="1" x14ac:dyDescent="0.35">
      <c r="A439" t="s">
        <v>152</v>
      </c>
      <c r="B439">
        <f t="shared" si="18"/>
        <v>2012</v>
      </c>
      <c r="C439">
        <f t="shared" si="19"/>
        <v>2</v>
      </c>
      <c r="D439">
        <f t="shared" si="20"/>
        <v>1</v>
      </c>
      <c r="E439" t="s">
        <v>322</v>
      </c>
      <c r="F439">
        <v>0</v>
      </c>
      <c r="G439">
        <v>5</v>
      </c>
      <c r="H439">
        <v>5</v>
      </c>
      <c r="I439">
        <v>12</v>
      </c>
      <c r="J439">
        <v>4.9000000000000004</v>
      </c>
      <c r="K439">
        <v>10</v>
      </c>
    </row>
    <row r="440" spans="1:11" hidden="1" x14ac:dyDescent="0.35">
      <c r="A440" t="s">
        <v>153</v>
      </c>
      <c r="B440">
        <f t="shared" si="18"/>
        <v>2012</v>
      </c>
      <c r="C440">
        <f t="shared" si="19"/>
        <v>3</v>
      </c>
      <c r="D440">
        <f t="shared" si="20"/>
        <v>1</v>
      </c>
      <c r="E440" t="s">
        <v>322</v>
      </c>
      <c r="F440">
        <v>0</v>
      </c>
      <c r="G440">
        <v>5</v>
      </c>
      <c r="H440">
        <v>5</v>
      </c>
      <c r="I440">
        <v>3</v>
      </c>
      <c r="J440">
        <v>5</v>
      </c>
      <c r="K440">
        <v>0</v>
      </c>
    </row>
    <row r="441" spans="1:11" hidden="1" x14ac:dyDescent="0.35">
      <c r="A441" t="s">
        <v>154</v>
      </c>
      <c r="B441">
        <f t="shared" si="18"/>
        <v>2012</v>
      </c>
      <c r="C441">
        <f t="shared" si="19"/>
        <v>4</v>
      </c>
      <c r="D441">
        <f t="shared" si="20"/>
        <v>2</v>
      </c>
      <c r="E441" t="s">
        <v>322</v>
      </c>
      <c r="F441">
        <v>0</v>
      </c>
      <c r="G441">
        <v>5</v>
      </c>
      <c r="H441">
        <v>5</v>
      </c>
      <c r="I441">
        <v>0</v>
      </c>
      <c r="J441">
        <v>5.0125000000000002</v>
      </c>
      <c r="K441">
        <v>-1.25</v>
      </c>
    </row>
    <row r="442" spans="1:11" hidden="1" x14ac:dyDescent="0.35">
      <c r="A442" t="s">
        <v>155</v>
      </c>
      <c r="B442">
        <f t="shared" si="18"/>
        <v>2012</v>
      </c>
      <c r="C442">
        <f t="shared" si="19"/>
        <v>5</v>
      </c>
      <c r="D442">
        <f t="shared" si="20"/>
        <v>2</v>
      </c>
      <c r="E442" t="s">
        <v>322</v>
      </c>
      <c r="F442">
        <v>0</v>
      </c>
      <c r="G442">
        <v>5</v>
      </c>
      <c r="H442">
        <v>5</v>
      </c>
      <c r="I442">
        <v>0</v>
      </c>
      <c r="J442">
        <v>5</v>
      </c>
      <c r="K442">
        <v>0</v>
      </c>
    </row>
    <row r="443" spans="1:11" hidden="1" x14ac:dyDescent="0.35">
      <c r="A443" t="s">
        <v>156</v>
      </c>
      <c r="B443">
        <f t="shared" si="18"/>
        <v>2012</v>
      </c>
      <c r="C443">
        <f t="shared" si="19"/>
        <v>6</v>
      </c>
      <c r="D443">
        <f t="shared" si="20"/>
        <v>2</v>
      </c>
      <c r="E443" t="s">
        <v>322</v>
      </c>
      <c r="F443">
        <v>0</v>
      </c>
      <c r="G443">
        <v>5</v>
      </c>
      <c r="H443">
        <v>5</v>
      </c>
      <c r="I443">
        <v>6</v>
      </c>
      <c r="J443">
        <v>5</v>
      </c>
      <c r="K443">
        <v>0</v>
      </c>
    </row>
    <row r="444" spans="1:11" hidden="1" x14ac:dyDescent="0.35">
      <c r="A444" t="s">
        <v>157</v>
      </c>
      <c r="B444">
        <f t="shared" si="18"/>
        <v>2012</v>
      </c>
      <c r="C444">
        <f t="shared" si="19"/>
        <v>7</v>
      </c>
      <c r="D444">
        <f t="shared" si="20"/>
        <v>3</v>
      </c>
      <c r="E444" t="s">
        <v>322</v>
      </c>
      <c r="F444">
        <v>0</v>
      </c>
      <c r="G444">
        <v>5</v>
      </c>
      <c r="H444">
        <v>5</v>
      </c>
      <c r="I444">
        <v>1</v>
      </c>
      <c r="J444">
        <v>5</v>
      </c>
      <c r="K444">
        <v>0</v>
      </c>
    </row>
    <row r="445" spans="1:11" hidden="1" x14ac:dyDescent="0.35">
      <c r="A445" t="s">
        <v>158</v>
      </c>
      <c r="B445">
        <f t="shared" si="18"/>
        <v>2012</v>
      </c>
      <c r="C445">
        <f t="shared" si="19"/>
        <v>8</v>
      </c>
      <c r="D445">
        <f t="shared" si="20"/>
        <v>3</v>
      </c>
      <c r="E445" t="s">
        <v>322</v>
      </c>
      <c r="F445">
        <v>0</v>
      </c>
      <c r="G445">
        <v>5</v>
      </c>
      <c r="H445">
        <v>5</v>
      </c>
      <c r="I445">
        <v>0</v>
      </c>
      <c r="J445">
        <v>5</v>
      </c>
      <c r="K445">
        <v>0</v>
      </c>
    </row>
    <row r="446" spans="1:11" hidden="1" x14ac:dyDescent="0.35">
      <c r="A446" t="s">
        <v>159</v>
      </c>
      <c r="B446">
        <f t="shared" si="18"/>
        <v>2012</v>
      </c>
      <c r="C446">
        <f t="shared" si="19"/>
        <v>9</v>
      </c>
      <c r="D446">
        <f t="shared" si="20"/>
        <v>3</v>
      </c>
      <c r="E446" t="s">
        <v>322</v>
      </c>
      <c r="F446">
        <v>0</v>
      </c>
      <c r="G446">
        <v>5</v>
      </c>
      <c r="H446">
        <v>5</v>
      </c>
      <c r="I446">
        <v>6</v>
      </c>
      <c r="J446">
        <v>5</v>
      </c>
      <c r="K446">
        <v>0</v>
      </c>
    </row>
    <row r="447" spans="1:11" hidden="1" x14ac:dyDescent="0.35">
      <c r="A447" t="s">
        <v>160</v>
      </c>
      <c r="B447">
        <f t="shared" si="18"/>
        <v>2012</v>
      </c>
      <c r="C447">
        <f t="shared" si="19"/>
        <v>10</v>
      </c>
      <c r="D447">
        <f t="shared" si="20"/>
        <v>4</v>
      </c>
      <c r="E447" t="s">
        <v>322</v>
      </c>
      <c r="F447">
        <v>0</v>
      </c>
      <c r="G447">
        <v>5</v>
      </c>
      <c r="H447">
        <v>5</v>
      </c>
      <c r="I447">
        <v>2</v>
      </c>
      <c r="J447">
        <v>5</v>
      </c>
      <c r="K447">
        <v>0</v>
      </c>
    </row>
    <row r="448" spans="1:11" hidden="1" x14ac:dyDescent="0.35">
      <c r="A448" t="s">
        <v>161</v>
      </c>
      <c r="B448">
        <f t="shared" si="18"/>
        <v>2012</v>
      </c>
      <c r="C448">
        <f t="shared" si="19"/>
        <v>11</v>
      </c>
      <c r="D448">
        <f t="shared" si="20"/>
        <v>4</v>
      </c>
      <c r="E448" t="s">
        <v>322</v>
      </c>
      <c r="F448">
        <v>0</v>
      </c>
      <c r="G448">
        <v>5</v>
      </c>
      <c r="H448">
        <v>5</v>
      </c>
      <c r="I448">
        <v>-4</v>
      </c>
      <c r="J448">
        <v>5</v>
      </c>
      <c r="K448">
        <v>0</v>
      </c>
    </row>
    <row r="449" spans="1:11" hidden="1" x14ac:dyDescent="0.35">
      <c r="A449" t="s">
        <v>162</v>
      </c>
      <c r="B449">
        <f t="shared" si="18"/>
        <v>2012</v>
      </c>
      <c r="C449">
        <f t="shared" si="19"/>
        <v>12</v>
      </c>
      <c r="D449">
        <f t="shared" si="20"/>
        <v>4</v>
      </c>
      <c r="E449" t="s">
        <v>322</v>
      </c>
      <c r="F449">
        <v>0</v>
      </c>
      <c r="G449">
        <v>5</v>
      </c>
      <c r="H449">
        <v>5</v>
      </c>
      <c r="I449">
        <v>-2</v>
      </c>
      <c r="J449">
        <v>5</v>
      </c>
      <c r="K449">
        <v>0</v>
      </c>
    </row>
    <row r="450" spans="1:11" hidden="1" x14ac:dyDescent="0.35">
      <c r="A450" t="s">
        <v>163</v>
      </c>
      <c r="B450">
        <f t="shared" si="18"/>
        <v>2013</v>
      </c>
      <c r="C450">
        <f t="shared" si="19"/>
        <v>1</v>
      </c>
      <c r="D450">
        <f t="shared" si="20"/>
        <v>1</v>
      </c>
      <c r="E450" t="s">
        <v>322</v>
      </c>
      <c r="F450">
        <v>0</v>
      </c>
      <c r="G450">
        <v>5</v>
      </c>
      <c r="H450">
        <v>5</v>
      </c>
      <c r="I450">
        <v>0</v>
      </c>
      <c r="J450">
        <v>5</v>
      </c>
      <c r="K450">
        <v>0</v>
      </c>
    </row>
    <row r="451" spans="1:11" hidden="1" x14ac:dyDescent="0.35">
      <c r="A451" t="s">
        <v>164</v>
      </c>
      <c r="B451">
        <f t="shared" ref="B451:B514" si="21">LEFT(A451,4)*1</f>
        <v>2013</v>
      </c>
      <c r="C451">
        <f t="shared" ref="C451:C514" si="22">MID(A451,6,2)*1</f>
        <v>2</v>
      </c>
      <c r="D451">
        <f t="shared" ref="D451:D514" si="23">ROUNDUP(C451/3,0)</f>
        <v>1</v>
      </c>
      <c r="E451" t="s">
        <v>322</v>
      </c>
      <c r="F451">
        <v>0</v>
      </c>
      <c r="G451">
        <v>5</v>
      </c>
      <c r="H451">
        <v>5</v>
      </c>
      <c r="I451">
        <v>3</v>
      </c>
      <c r="J451">
        <v>5</v>
      </c>
      <c r="K451">
        <v>0</v>
      </c>
    </row>
    <row r="452" spans="1:11" hidden="1" x14ac:dyDescent="0.35">
      <c r="A452" t="s">
        <v>165</v>
      </c>
      <c r="B452">
        <f t="shared" si="21"/>
        <v>2013</v>
      </c>
      <c r="C452">
        <f t="shared" si="22"/>
        <v>3</v>
      </c>
      <c r="D452">
        <f t="shared" si="23"/>
        <v>1</v>
      </c>
      <c r="E452" t="s">
        <v>322</v>
      </c>
      <c r="F452">
        <v>0</v>
      </c>
      <c r="G452">
        <v>5</v>
      </c>
      <c r="H452">
        <v>5</v>
      </c>
      <c r="I452">
        <v>1</v>
      </c>
      <c r="J452">
        <v>5</v>
      </c>
      <c r="K452">
        <v>0</v>
      </c>
    </row>
    <row r="453" spans="1:11" hidden="1" x14ac:dyDescent="0.35">
      <c r="A453" t="s">
        <v>166</v>
      </c>
      <c r="B453">
        <f t="shared" si="21"/>
        <v>2013</v>
      </c>
      <c r="C453">
        <f t="shared" si="22"/>
        <v>4</v>
      </c>
      <c r="D453">
        <f t="shared" si="23"/>
        <v>2</v>
      </c>
      <c r="E453" t="s">
        <v>322</v>
      </c>
      <c r="F453">
        <v>0</v>
      </c>
      <c r="G453">
        <v>5</v>
      </c>
      <c r="H453">
        <v>5</v>
      </c>
      <c r="I453">
        <v>-11</v>
      </c>
      <c r="J453">
        <v>5</v>
      </c>
      <c r="K453">
        <v>0</v>
      </c>
    </row>
    <row r="454" spans="1:11" hidden="1" x14ac:dyDescent="0.35">
      <c r="A454" t="s">
        <v>167</v>
      </c>
      <c r="B454">
        <f t="shared" si="21"/>
        <v>2013</v>
      </c>
      <c r="C454">
        <f t="shared" si="22"/>
        <v>5</v>
      </c>
      <c r="D454">
        <f t="shared" si="23"/>
        <v>2</v>
      </c>
      <c r="E454" t="s">
        <v>322</v>
      </c>
      <c r="F454">
        <v>0</v>
      </c>
      <c r="G454">
        <v>5</v>
      </c>
      <c r="H454">
        <v>5</v>
      </c>
      <c r="I454">
        <v>1</v>
      </c>
      <c r="J454">
        <v>5</v>
      </c>
      <c r="K454">
        <v>0</v>
      </c>
    </row>
    <row r="455" spans="1:11" hidden="1" x14ac:dyDescent="0.35">
      <c r="A455" t="s">
        <v>168</v>
      </c>
      <c r="B455">
        <f t="shared" si="21"/>
        <v>2013</v>
      </c>
      <c r="C455">
        <f t="shared" si="22"/>
        <v>6</v>
      </c>
      <c r="D455">
        <f t="shared" si="23"/>
        <v>2</v>
      </c>
      <c r="E455" t="s">
        <v>322</v>
      </c>
      <c r="F455">
        <v>0</v>
      </c>
      <c r="G455">
        <v>5</v>
      </c>
      <c r="H455">
        <v>5</v>
      </c>
      <c r="I455">
        <v>4</v>
      </c>
      <c r="J455">
        <v>4.9473700000000003</v>
      </c>
      <c r="K455">
        <v>5.2629999999999999</v>
      </c>
    </row>
    <row r="456" spans="1:11" hidden="1" x14ac:dyDescent="0.35">
      <c r="A456" t="s">
        <v>169</v>
      </c>
      <c r="B456">
        <f t="shared" si="21"/>
        <v>2013</v>
      </c>
      <c r="C456">
        <f t="shared" si="22"/>
        <v>7</v>
      </c>
      <c r="D456">
        <f t="shared" si="23"/>
        <v>3</v>
      </c>
      <c r="E456" t="s">
        <v>322</v>
      </c>
      <c r="F456">
        <v>0</v>
      </c>
      <c r="G456">
        <v>5</v>
      </c>
      <c r="H456">
        <v>5</v>
      </c>
      <c r="I456">
        <v>-1</v>
      </c>
      <c r="J456">
        <v>4.9264700000000001</v>
      </c>
      <c r="K456">
        <v>7.3529999999999998</v>
      </c>
    </row>
    <row r="457" spans="1:11" hidden="1" x14ac:dyDescent="0.35">
      <c r="A457" t="s">
        <v>170</v>
      </c>
      <c r="B457">
        <f t="shared" si="21"/>
        <v>2013</v>
      </c>
      <c r="C457">
        <f t="shared" si="22"/>
        <v>8</v>
      </c>
      <c r="D457">
        <f t="shared" si="23"/>
        <v>3</v>
      </c>
      <c r="E457" t="s">
        <v>322</v>
      </c>
      <c r="F457">
        <v>0</v>
      </c>
      <c r="G457">
        <v>5</v>
      </c>
      <c r="H457">
        <v>5</v>
      </c>
      <c r="I457">
        <v>7</v>
      </c>
      <c r="J457">
        <v>4.8947399999999996</v>
      </c>
      <c r="K457">
        <v>10.526</v>
      </c>
    </row>
    <row r="458" spans="1:11" hidden="1" x14ac:dyDescent="0.35">
      <c r="A458" t="s">
        <v>171</v>
      </c>
      <c r="B458">
        <f t="shared" si="21"/>
        <v>2013</v>
      </c>
      <c r="C458">
        <f t="shared" si="22"/>
        <v>9</v>
      </c>
      <c r="D458">
        <f t="shared" si="23"/>
        <v>3</v>
      </c>
      <c r="E458" t="s">
        <v>322</v>
      </c>
      <c r="F458">
        <v>0</v>
      </c>
      <c r="G458">
        <v>5</v>
      </c>
      <c r="H458">
        <v>5</v>
      </c>
      <c r="I458">
        <v>4</v>
      </c>
      <c r="J458">
        <v>4.9473700000000003</v>
      </c>
      <c r="K458">
        <v>5.2629999999999999</v>
      </c>
    </row>
    <row r="459" spans="1:11" hidden="1" x14ac:dyDescent="0.35">
      <c r="A459" t="s">
        <v>172</v>
      </c>
      <c r="B459">
        <f t="shared" si="21"/>
        <v>2013</v>
      </c>
      <c r="C459">
        <f t="shared" si="22"/>
        <v>10</v>
      </c>
      <c r="D459">
        <f t="shared" si="23"/>
        <v>4</v>
      </c>
      <c r="E459" t="s">
        <v>322</v>
      </c>
      <c r="F459">
        <v>-25</v>
      </c>
      <c r="G459">
        <v>5</v>
      </c>
      <c r="H459">
        <v>4.75</v>
      </c>
      <c r="I459">
        <v>-18</v>
      </c>
      <c r="J459">
        <v>4.9736799999999999</v>
      </c>
      <c r="K459">
        <v>-22.367999999999999</v>
      </c>
    </row>
    <row r="460" spans="1:11" hidden="1" x14ac:dyDescent="0.35">
      <c r="A460" t="s">
        <v>173</v>
      </c>
      <c r="B460">
        <f t="shared" si="21"/>
        <v>2013</v>
      </c>
      <c r="C460">
        <f t="shared" si="22"/>
        <v>11</v>
      </c>
      <c r="D460">
        <f t="shared" si="23"/>
        <v>4</v>
      </c>
      <c r="E460" t="s">
        <v>322</v>
      </c>
      <c r="F460">
        <v>0</v>
      </c>
      <c r="G460">
        <v>4.5</v>
      </c>
      <c r="H460">
        <v>4.5</v>
      </c>
      <c r="I460">
        <v>1</v>
      </c>
      <c r="J460">
        <v>4.5952400000000004</v>
      </c>
      <c r="K460">
        <v>-9.5239999999999991</v>
      </c>
    </row>
    <row r="461" spans="1:11" hidden="1" x14ac:dyDescent="0.35">
      <c r="A461" t="s">
        <v>174</v>
      </c>
      <c r="B461">
        <f t="shared" si="21"/>
        <v>2013</v>
      </c>
      <c r="C461">
        <f t="shared" si="22"/>
        <v>12</v>
      </c>
      <c r="D461">
        <f t="shared" si="23"/>
        <v>4</v>
      </c>
      <c r="E461" t="s">
        <v>322</v>
      </c>
      <c r="F461">
        <v>0</v>
      </c>
      <c r="G461">
        <v>4.5</v>
      </c>
      <c r="H461">
        <v>4.5</v>
      </c>
      <c r="I461">
        <v>0</v>
      </c>
      <c r="J461">
        <v>4.4800000000000004</v>
      </c>
      <c r="K461">
        <v>2</v>
      </c>
    </row>
    <row r="462" spans="1:11" hidden="1" x14ac:dyDescent="0.35">
      <c r="A462" t="s">
        <v>175</v>
      </c>
      <c r="B462">
        <f t="shared" si="21"/>
        <v>2014</v>
      </c>
      <c r="C462">
        <f t="shared" si="22"/>
        <v>1</v>
      </c>
      <c r="D462">
        <f t="shared" si="23"/>
        <v>1</v>
      </c>
      <c r="E462" t="s">
        <v>322</v>
      </c>
      <c r="F462">
        <v>0</v>
      </c>
      <c r="G462">
        <v>4.5</v>
      </c>
      <c r="H462">
        <v>4.5</v>
      </c>
      <c r="I462">
        <v>-2</v>
      </c>
      <c r="J462">
        <v>4.4318200000000001</v>
      </c>
      <c r="K462">
        <v>6.8179999999999996</v>
      </c>
    </row>
    <row r="463" spans="1:11" hidden="1" x14ac:dyDescent="0.35">
      <c r="A463" t="s">
        <v>176</v>
      </c>
      <c r="B463">
        <f t="shared" si="21"/>
        <v>2014</v>
      </c>
      <c r="C463">
        <f t="shared" si="22"/>
        <v>2</v>
      </c>
      <c r="D463">
        <f t="shared" si="23"/>
        <v>1</v>
      </c>
      <c r="E463" t="s">
        <v>322</v>
      </c>
      <c r="F463">
        <v>0</v>
      </c>
      <c r="G463">
        <v>4.25</v>
      </c>
      <c r="H463">
        <v>4.25</v>
      </c>
      <c r="I463">
        <v>-5</v>
      </c>
      <c r="J463">
        <v>4.2727300000000001</v>
      </c>
      <c r="K463">
        <v>-2.2730000000000001</v>
      </c>
    </row>
    <row r="464" spans="1:11" hidden="1" x14ac:dyDescent="0.35">
      <c r="A464" t="s">
        <v>177</v>
      </c>
      <c r="B464">
        <f t="shared" si="21"/>
        <v>2014</v>
      </c>
      <c r="C464">
        <f t="shared" si="22"/>
        <v>3</v>
      </c>
      <c r="D464">
        <f t="shared" si="23"/>
        <v>1</v>
      </c>
      <c r="E464" t="s">
        <v>322</v>
      </c>
      <c r="F464">
        <v>0</v>
      </c>
      <c r="G464">
        <v>4</v>
      </c>
      <c r="H464">
        <v>4</v>
      </c>
      <c r="I464">
        <v>-1</v>
      </c>
      <c r="J464">
        <v>4.03125</v>
      </c>
      <c r="K464">
        <v>-3.125</v>
      </c>
    </row>
    <row r="465" spans="1:11" hidden="1" x14ac:dyDescent="0.35">
      <c r="A465" t="s">
        <v>178</v>
      </c>
      <c r="B465">
        <f t="shared" si="21"/>
        <v>2014</v>
      </c>
      <c r="C465">
        <f t="shared" si="22"/>
        <v>4</v>
      </c>
      <c r="D465">
        <f t="shared" si="23"/>
        <v>2</v>
      </c>
      <c r="E465" t="s">
        <v>322</v>
      </c>
      <c r="F465">
        <v>0</v>
      </c>
      <c r="G465">
        <v>4</v>
      </c>
      <c r="H465">
        <v>4</v>
      </c>
      <c r="I465">
        <v>0</v>
      </c>
      <c r="J465">
        <v>3.9473699999999998</v>
      </c>
      <c r="K465">
        <v>5.2629999999999999</v>
      </c>
    </row>
    <row r="466" spans="1:11" hidden="1" x14ac:dyDescent="0.35">
      <c r="A466" t="s">
        <v>179</v>
      </c>
      <c r="B466">
        <f t="shared" si="21"/>
        <v>2014</v>
      </c>
      <c r="C466">
        <f t="shared" si="22"/>
        <v>5</v>
      </c>
      <c r="D466">
        <f t="shared" si="23"/>
        <v>2</v>
      </c>
      <c r="E466" t="s">
        <v>322</v>
      </c>
      <c r="F466">
        <v>0</v>
      </c>
      <c r="G466">
        <v>4</v>
      </c>
      <c r="H466">
        <v>4</v>
      </c>
      <c r="I466">
        <v>4</v>
      </c>
      <c r="J466">
        <v>3.96739</v>
      </c>
      <c r="K466">
        <v>3.2610000000000001</v>
      </c>
    </row>
    <row r="467" spans="1:11" hidden="1" x14ac:dyDescent="0.35">
      <c r="A467" t="s">
        <v>180</v>
      </c>
      <c r="B467">
        <f t="shared" si="21"/>
        <v>2014</v>
      </c>
      <c r="C467">
        <f t="shared" si="22"/>
        <v>6</v>
      </c>
      <c r="D467">
        <f t="shared" si="23"/>
        <v>2</v>
      </c>
      <c r="E467" t="s">
        <v>322</v>
      </c>
      <c r="F467">
        <v>0</v>
      </c>
      <c r="G467">
        <v>4</v>
      </c>
      <c r="H467">
        <v>4</v>
      </c>
      <c r="I467">
        <v>0</v>
      </c>
      <c r="J467">
        <v>3.98529</v>
      </c>
      <c r="K467">
        <v>1.4710000000000001</v>
      </c>
    </row>
    <row r="468" spans="1:11" hidden="1" x14ac:dyDescent="0.35">
      <c r="A468" t="s">
        <v>181</v>
      </c>
      <c r="B468">
        <f t="shared" si="21"/>
        <v>2014</v>
      </c>
      <c r="C468">
        <f t="shared" si="22"/>
        <v>7</v>
      </c>
      <c r="D468">
        <f t="shared" si="23"/>
        <v>3</v>
      </c>
      <c r="E468" t="s">
        <v>322</v>
      </c>
      <c r="F468">
        <v>0</v>
      </c>
      <c r="G468">
        <v>3.75</v>
      </c>
      <c r="H468">
        <v>3.75</v>
      </c>
      <c r="I468">
        <v>0</v>
      </c>
      <c r="J468">
        <v>3.8541699999999999</v>
      </c>
      <c r="K468">
        <v>-10.417</v>
      </c>
    </row>
    <row r="469" spans="1:11" hidden="1" x14ac:dyDescent="0.35">
      <c r="A469" t="s">
        <v>182</v>
      </c>
      <c r="B469">
        <f t="shared" si="21"/>
        <v>2014</v>
      </c>
      <c r="C469">
        <f t="shared" si="22"/>
        <v>8</v>
      </c>
      <c r="D469">
        <f t="shared" si="23"/>
        <v>3</v>
      </c>
      <c r="E469" t="s">
        <v>322</v>
      </c>
      <c r="F469">
        <v>0</v>
      </c>
      <c r="G469">
        <v>3.5</v>
      </c>
      <c r="H469">
        <v>3.5</v>
      </c>
      <c r="I469">
        <v>0</v>
      </c>
      <c r="J469">
        <v>3.4886400000000002</v>
      </c>
      <c r="K469">
        <v>1.1359999999999999</v>
      </c>
    </row>
    <row r="470" spans="1:11" hidden="1" x14ac:dyDescent="0.35">
      <c r="A470" t="s">
        <v>183</v>
      </c>
      <c r="B470">
        <f t="shared" si="21"/>
        <v>2014</v>
      </c>
      <c r="C470">
        <f t="shared" si="22"/>
        <v>9</v>
      </c>
      <c r="D470">
        <f t="shared" si="23"/>
        <v>3</v>
      </c>
      <c r="E470" t="s">
        <v>322</v>
      </c>
      <c r="F470">
        <v>0</v>
      </c>
      <c r="G470">
        <v>3.25</v>
      </c>
      <c r="H470">
        <v>3.25</v>
      </c>
      <c r="I470">
        <v>0</v>
      </c>
      <c r="J470">
        <v>3.25</v>
      </c>
      <c r="K470">
        <v>0</v>
      </c>
    </row>
    <row r="471" spans="1:11" hidden="1" x14ac:dyDescent="0.35">
      <c r="A471" t="s">
        <v>184</v>
      </c>
      <c r="B471">
        <f t="shared" si="21"/>
        <v>2014</v>
      </c>
      <c r="C471">
        <f t="shared" si="22"/>
        <v>10</v>
      </c>
      <c r="D471">
        <f t="shared" si="23"/>
        <v>4</v>
      </c>
      <c r="E471" t="s">
        <v>322</v>
      </c>
      <c r="F471">
        <v>0</v>
      </c>
      <c r="G471">
        <v>3</v>
      </c>
      <c r="H471">
        <v>3</v>
      </c>
      <c r="I471">
        <v>6</v>
      </c>
      <c r="J471">
        <v>3.03409</v>
      </c>
      <c r="K471">
        <v>-3.4089999999999998</v>
      </c>
    </row>
    <row r="472" spans="1:11" hidden="1" x14ac:dyDescent="0.35">
      <c r="A472" t="s">
        <v>185</v>
      </c>
      <c r="B472">
        <f t="shared" si="21"/>
        <v>2014</v>
      </c>
      <c r="C472">
        <f t="shared" si="22"/>
        <v>11</v>
      </c>
      <c r="D472">
        <f t="shared" si="23"/>
        <v>4</v>
      </c>
      <c r="E472" t="s">
        <v>322</v>
      </c>
      <c r="F472">
        <v>0</v>
      </c>
      <c r="G472">
        <v>3</v>
      </c>
      <c r="H472">
        <v>3</v>
      </c>
      <c r="I472">
        <v>-4</v>
      </c>
      <c r="J472">
        <v>3</v>
      </c>
      <c r="K472">
        <v>0</v>
      </c>
    </row>
    <row r="473" spans="1:11" hidden="1" x14ac:dyDescent="0.35">
      <c r="A473" t="s">
        <v>186</v>
      </c>
      <c r="B473">
        <f t="shared" si="21"/>
        <v>2014</v>
      </c>
      <c r="C473">
        <f t="shared" si="22"/>
        <v>12</v>
      </c>
      <c r="D473">
        <f t="shared" si="23"/>
        <v>4</v>
      </c>
      <c r="E473" t="s">
        <v>322</v>
      </c>
      <c r="F473">
        <v>0</v>
      </c>
      <c r="G473">
        <v>3</v>
      </c>
      <c r="H473">
        <v>3</v>
      </c>
      <c r="I473">
        <v>-6</v>
      </c>
      <c r="J473">
        <v>3</v>
      </c>
      <c r="K473">
        <v>0</v>
      </c>
    </row>
    <row r="474" spans="1:11" hidden="1" x14ac:dyDescent="0.35">
      <c r="A474" t="s">
        <v>187</v>
      </c>
      <c r="B474">
        <f t="shared" si="21"/>
        <v>2015</v>
      </c>
      <c r="C474">
        <f t="shared" si="22"/>
        <v>1</v>
      </c>
      <c r="D474">
        <f t="shared" si="23"/>
        <v>1</v>
      </c>
      <c r="E474" t="s">
        <v>322</v>
      </c>
      <c r="F474">
        <v>0</v>
      </c>
      <c r="G474">
        <v>3</v>
      </c>
      <c r="H474">
        <v>3</v>
      </c>
      <c r="I474">
        <v>1</v>
      </c>
      <c r="J474">
        <v>3</v>
      </c>
      <c r="K474">
        <v>0</v>
      </c>
    </row>
    <row r="475" spans="1:11" hidden="1" x14ac:dyDescent="0.35">
      <c r="A475" t="s">
        <v>188</v>
      </c>
      <c r="B475">
        <f t="shared" si="21"/>
        <v>2015</v>
      </c>
      <c r="C475">
        <f t="shared" si="22"/>
        <v>2</v>
      </c>
      <c r="D475">
        <f t="shared" si="23"/>
        <v>1</v>
      </c>
      <c r="E475" t="s">
        <v>322</v>
      </c>
      <c r="F475">
        <v>0</v>
      </c>
      <c r="G475">
        <v>3</v>
      </c>
      <c r="H475">
        <v>3</v>
      </c>
      <c r="I475">
        <v>2</v>
      </c>
      <c r="J475">
        <v>3</v>
      </c>
      <c r="K475">
        <v>0</v>
      </c>
    </row>
    <row r="476" spans="1:11" hidden="1" x14ac:dyDescent="0.35">
      <c r="A476" t="s">
        <v>189</v>
      </c>
      <c r="B476">
        <f t="shared" si="21"/>
        <v>2015</v>
      </c>
      <c r="C476">
        <f t="shared" si="22"/>
        <v>3</v>
      </c>
      <c r="D476">
        <f t="shared" si="23"/>
        <v>1</v>
      </c>
      <c r="E476" t="s">
        <v>322</v>
      </c>
      <c r="F476">
        <v>0</v>
      </c>
      <c r="G476">
        <v>3</v>
      </c>
      <c r="H476">
        <v>3</v>
      </c>
      <c r="I476">
        <v>-1</v>
      </c>
      <c r="J476">
        <v>3</v>
      </c>
      <c r="K476">
        <v>0</v>
      </c>
    </row>
    <row r="477" spans="1:11" hidden="1" x14ac:dyDescent="0.35">
      <c r="A477" t="s">
        <v>190</v>
      </c>
      <c r="B477">
        <f t="shared" si="21"/>
        <v>2015</v>
      </c>
      <c r="C477">
        <f t="shared" si="22"/>
        <v>4</v>
      </c>
      <c r="D477">
        <f t="shared" si="23"/>
        <v>2</v>
      </c>
      <c r="E477" t="s">
        <v>322</v>
      </c>
      <c r="F477">
        <v>0</v>
      </c>
      <c r="G477">
        <v>3</v>
      </c>
      <c r="H477">
        <v>3</v>
      </c>
      <c r="I477">
        <v>1</v>
      </c>
      <c r="J477">
        <v>3</v>
      </c>
      <c r="K477">
        <v>0</v>
      </c>
    </row>
    <row r="478" spans="1:11" hidden="1" x14ac:dyDescent="0.35">
      <c r="A478" t="s">
        <v>191</v>
      </c>
      <c r="B478">
        <f t="shared" si="21"/>
        <v>2015</v>
      </c>
      <c r="C478">
        <f t="shared" si="22"/>
        <v>5</v>
      </c>
      <c r="D478">
        <f t="shared" si="23"/>
        <v>2</v>
      </c>
      <c r="E478" t="s">
        <v>322</v>
      </c>
      <c r="F478">
        <v>0</v>
      </c>
      <c r="G478">
        <v>3</v>
      </c>
      <c r="H478">
        <v>3</v>
      </c>
      <c r="I478">
        <v>-2</v>
      </c>
      <c r="J478">
        <v>3</v>
      </c>
      <c r="K478">
        <v>0</v>
      </c>
    </row>
    <row r="479" spans="1:11" hidden="1" x14ac:dyDescent="0.35">
      <c r="A479" t="s">
        <v>192</v>
      </c>
      <c r="B479">
        <f t="shared" si="21"/>
        <v>2015</v>
      </c>
      <c r="C479">
        <f t="shared" si="22"/>
        <v>6</v>
      </c>
      <c r="D479">
        <f t="shared" si="23"/>
        <v>2</v>
      </c>
      <c r="E479" t="s">
        <v>322</v>
      </c>
      <c r="F479">
        <v>0</v>
      </c>
      <c r="G479">
        <v>3</v>
      </c>
      <c r="H479">
        <v>3</v>
      </c>
      <c r="I479">
        <v>0</v>
      </c>
      <c r="J479">
        <v>3</v>
      </c>
      <c r="K479">
        <v>0</v>
      </c>
    </row>
    <row r="480" spans="1:11" hidden="1" x14ac:dyDescent="0.35">
      <c r="A480" t="s">
        <v>193</v>
      </c>
      <c r="B480">
        <f t="shared" si="21"/>
        <v>2015</v>
      </c>
      <c r="C480">
        <f t="shared" si="22"/>
        <v>7</v>
      </c>
      <c r="D480">
        <f t="shared" si="23"/>
        <v>3</v>
      </c>
      <c r="E480" t="s">
        <v>322</v>
      </c>
      <c r="F480">
        <v>0</v>
      </c>
      <c r="G480">
        <v>3</v>
      </c>
      <c r="H480">
        <v>3</v>
      </c>
      <c r="I480">
        <v>-1</v>
      </c>
      <c r="J480">
        <v>3</v>
      </c>
      <c r="K480">
        <v>0</v>
      </c>
    </row>
    <row r="481" spans="1:11" hidden="1" x14ac:dyDescent="0.35">
      <c r="A481" t="s">
        <v>194</v>
      </c>
      <c r="B481">
        <f t="shared" si="21"/>
        <v>2015</v>
      </c>
      <c r="C481">
        <f t="shared" si="22"/>
        <v>8</v>
      </c>
      <c r="D481">
        <f t="shared" si="23"/>
        <v>3</v>
      </c>
      <c r="E481" t="s">
        <v>322</v>
      </c>
      <c r="F481">
        <v>0</v>
      </c>
      <c r="G481">
        <v>3</v>
      </c>
      <c r="H481">
        <v>3</v>
      </c>
      <c r="I481">
        <v>-3</v>
      </c>
      <c r="J481">
        <v>3</v>
      </c>
      <c r="K481">
        <v>0</v>
      </c>
    </row>
    <row r="482" spans="1:11" hidden="1" x14ac:dyDescent="0.35">
      <c r="A482" t="s">
        <v>195</v>
      </c>
      <c r="B482">
        <f t="shared" si="21"/>
        <v>2015</v>
      </c>
      <c r="C482">
        <f t="shared" si="22"/>
        <v>9</v>
      </c>
      <c r="D482">
        <f t="shared" si="23"/>
        <v>3</v>
      </c>
      <c r="E482" t="s">
        <v>322</v>
      </c>
      <c r="F482">
        <v>0</v>
      </c>
      <c r="G482">
        <v>3</v>
      </c>
      <c r="H482">
        <v>3</v>
      </c>
      <c r="I482">
        <v>2</v>
      </c>
      <c r="J482">
        <v>3.0416699999999999</v>
      </c>
      <c r="K482">
        <v>-4.1669999999999998</v>
      </c>
    </row>
    <row r="483" spans="1:11" hidden="1" x14ac:dyDescent="0.35">
      <c r="A483" t="s">
        <v>196</v>
      </c>
      <c r="B483">
        <f t="shared" si="21"/>
        <v>2015</v>
      </c>
      <c r="C483">
        <f t="shared" si="22"/>
        <v>10</v>
      </c>
      <c r="D483">
        <f t="shared" si="23"/>
        <v>4</v>
      </c>
      <c r="E483" t="s">
        <v>322</v>
      </c>
      <c r="F483">
        <v>0</v>
      </c>
      <c r="G483">
        <v>3.25</v>
      </c>
      <c r="H483">
        <v>3.25</v>
      </c>
      <c r="I483">
        <v>8</v>
      </c>
      <c r="J483">
        <v>3.1759300000000001</v>
      </c>
      <c r="K483">
        <v>7.407</v>
      </c>
    </row>
    <row r="484" spans="1:11" hidden="1" x14ac:dyDescent="0.35">
      <c r="A484" t="s">
        <v>197</v>
      </c>
      <c r="B484">
        <f t="shared" si="21"/>
        <v>2015</v>
      </c>
      <c r="C484">
        <f t="shared" si="22"/>
        <v>11</v>
      </c>
      <c r="D484">
        <f t="shared" si="23"/>
        <v>4</v>
      </c>
      <c r="E484" t="s">
        <v>322</v>
      </c>
      <c r="F484">
        <v>0</v>
      </c>
      <c r="G484">
        <v>3.25</v>
      </c>
      <c r="H484">
        <v>3.25</v>
      </c>
      <c r="I484">
        <v>-6</v>
      </c>
      <c r="J484">
        <v>3.3214299999999999</v>
      </c>
      <c r="K484">
        <v>-7.1429999999999998</v>
      </c>
    </row>
    <row r="485" spans="1:11" hidden="1" x14ac:dyDescent="0.35">
      <c r="A485" t="s">
        <v>198</v>
      </c>
      <c r="B485">
        <f t="shared" si="21"/>
        <v>2015</v>
      </c>
      <c r="C485">
        <f t="shared" si="22"/>
        <v>12</v>
      </c>
      <c r="D485">
        <f t="shared" si="23"/>
        <v>4</v>
      </c>
      <c r="E485" t="s">
        <v>322</v>
      </c>
      <c r="F485">
        <v>25</v>
      </c>
      <c r="G485">
        <v>3.25</v>
      </c>
      <c r="H485">
        <v>3.5</v>
      </c>
      <c r="I485">
        <v>0</v>
      </c>
      <c r="J485">
        <v>3.36538</v>
      </c>
      <c r="K485">
        <v>13.462</v>
      </c>
    </row>
    <row r="486" spans="1:11" hidden="1" x14ac:dyDescent="0.35">
      <c r="A486" t="s">
        <v>199</v>
      </c>
      <c r="B486">
        <f t="shared" si="21"/>
        <v>2016</v>
      </c>
      <c r="C486">
        <f t="shared" si="22"/>
        <v>1</v>
      </c>
      <c r="D486">
        <f t="shared" si="23"/>
        <v>1</v>
      </c>
      <c r="E486" t="s">
        <v>322</v>
      </c>
      <c r="F486">
        <v>0</v>
      </c>
      <c r="G486">
        <v>3.5</v>
      </c>
      <c r="H486">
        <v>3.5</v>
      </c>
      <c r="I486">
        <v>-5</v>
      </c>
      <c r="J486">
        <v>3.5</v>
      </c>
      <c r="K486">
        <v>0</v>
      </c>
    </row>
    <row r="487" spans="1:11" hidden="1" x14ac:dyDescent="0.35">
      <c r="A487" t="s">
        <v>200</v>
      </c>
      <c r="B487">
        <f t="shared" si="21"/>
        <v>2016</v>
      </c>
      <c r="C487">
        <f t="shared" si="22"/>
        <v>2</v>
      </c>
      <c r="D487">
        <f t="shared" si="23"/>
        <v>1</v>
      </c>
      <c r="E487" t="s">
        <v>322</v>
      </c>
      <c r="F487">
        <v>0</v>
      </c>
      <c r="G487">
        <v>3.5</v>
      </c>
      <c r="H487">
        <v>3.5</v>
      </c>
      <c r="I487">
        <v>0</v>
      </c>
      <c r="J487">
        <v>3.5</v>
      </c>
      <c r="K487">
        <v>0</v>
      </c>
    </row>
    <row r="488" spans="1:11" hidden="1" x14ac:dyDescent="0.35">
      <c r="A488" t="s">
        <v>201</v>
      </c>
      <c r="B488">
        <f t="shared" si="21"/>
        <v>2016</v>
      </c>
      <c r="C488">
        <f t="shared" si="22"/>
        <v>3</v>
      </c>
      <c r="D488">
        <f t="shared" si="23"/>
        <v>1</v>
      </c>
      <c r="E488" t="s">
        <v>322</v>
      </c>
      <c r="F488">
        <v>0</v>
      </c>
      <c r="G488">
        <v>3.5</v>
      </c>
      <c r="H488">
        <v>3.5</v>
      </c>
      <c r="I488">
        <v>-7</v>
      </c>
      <c r="J488">
        <v>3.5125000000000002</v>
      </c>
      <c r="K488">
        <v>-1.25</v>
      </c>
    </row>
    <row r="489" spans="1:11" hidden="1" x14ac:dyDescent="0.35">
      <c r="A489" t="s">
        <v>202</v>
      </c>
      <c r="B489">
        <f t="shared" si="21"/>
        <v>2016</v>
      </c>
      <c r="C489">
        <f t="shared" si="22"/>
        <v>4</v>
      </c>
      <c r="D489">
        <f t="shared" si="23"/>
        <v>2</v>
      </c>
      <c r="E489" t="s">
        <v>322</v>
      </c>
      <c r="F489">
        <v>0</v>
      </c>
      <c r="G489">
        <v>3.5</v>
      </c>
      <c r="H489">
        <v>3.5</v>
      </c>
      <c r="I489">
        <v>-1</v>
      </c>
      <c r="J489">
        <v>3.5</v>
      </c>
      <c r="K489">
        <v>0</v>
      </c>
    </row>
    <row r="490" spans="1:11" hidden="1" x14ac:dyDescent="0.35">
      <c r="A490" t="s">
        <v>203</v>
      </c>
      <c r="B490">
        <f t="shared" si="21"/>
        <v>2016</v>
      </c>
      <c r="C490">
        <f t="shared" si="22"/>
        <v>5</v>
      </c>
      <c r="D490">
        <f t="shared" si="23"/>
        <v>2</v>
      </c>
      <c r="E490" t="s">
        <v>322</v>
      </c>
      <c r="F490">
        <v>0</v>
      </c>
      <c r="G490">
        <v>3.5</v>
      </c>
      <c r="H490">
        <v>3.5</v>
      </c>
      <c r="I490">
        <v>1</v>
      </c>
      <c r="J490">
        <v>3.5</v>
      </c>
      <c r="K490">
        <v>0</v>
      </c>
    </row>
    <row r="491" spans="1:11" hidden="1" x14ac:dyDescent="0.35">
      <c r="A491" t="s">
        <v>204</v>
      </c>
      <c r="B491">
        <f t="shared" si="21"/>
        <v>2016</v>
      </c>
      <c r="C491">
        <f t="shared" si="22"/>
        <v>6</v>
      </c>
      <c r="D491">
        <f t="shared" si="23"/>
        <v>2</v>
      </c>
      <c r="E491" t="s">
        <v>322</v>
      </c>
      <c r="F491">
        <v>0</v>
      </c>
      <c r="G491">
        <v>3.5</v>
      </c>
      <c r="H491">
        <v>3.5</v>
      </c>
      <c r="I491">
        <v>-1</v>
      </c>
      <c r="J491">
        <v>3.5</v>
      </c>
      <c r="K491">
        <v>0</v>
      </c>
    </row>
    <row r="492" spans="1:11" hidden="1" x14ac:dyDescent="0.35">
      <c r="A492" t="s">
        <v>205</v>
      </c>
      <c r="B492">
        <f t="shared" si="21"/>
        <v>2016</v>
      </c>
      <c r="C492">
        <f t="shared" si="22"/>
        <v>7</v>
      </c>
      <c r="D492">
        <f t="shared" si="23"/>
        <v>3</v>
      </c>
      <c r="E492" t="s">
        <v>322</v>
      </c>
      <c r="F492">
        <v>0</v>
      </c>
      <c r="G492">
        <v>3.5</v>
      </c>
      <c r="H492">
        <v>3.5</v>
      </c>
      <c r="I492">
        <v>2</v>
      </c>
      <c r="J492">
        <v>3.5</v>
      </c>
      <c r="K492">
        <v>0</v>
      </c>
    </row>
    <row r="493" spans="1:11" hidden="1" x14ac:dyDescent="0.35">
      <c r="A493" t="s">
        <v>206</v>
      </c>
      <c r="B493">
        <f t="shared" si="21"/>
        <v>2016</v>
      </c>
      <c r="C493">
        <f t="shared" si="22"/>
        <v>8</v>
      </c>
      <c r="D493">
        <f t="shared" si="23"/>
        <v>3</v>
      </c>
      <c r="E493" t="s">
        <v>322</v>
      </c>
      <c r="F493">
        <v>0</v>
      </c>
      <c r="G493">
        <v>3.5</v>
      </c>
      <c r="H493">
        <v>3.5</v>
      </c>
      <c r="I493">
        <v>-5</v>
      </c>
      <c r="J493">
        <v>3.5</v>
      </c>
      <c r="K493">
        <v>0</v>
      </c>
    </row>
    <row r="494" spans="1:11" hidden="1" x14ac:dyDescent="0.35">
      <c r="A494" t="s">
        <v>207</v>
      </c>
      <c r="B494">
        <f t="shared" si="21"/>
        <v>2016</v>
      </c>
      <c r="C494">
        <f t="shared" si="22"/>
        <v>9</v>
      </c>
      <c r="D494">
        <f t="shared" si="23"/>
        <v>3</v>
      </c>
      <c r="E494" t="s">
        <v>322</v>
      </c>
      <c r="F494">
        <v>0</v>
      </c>
      <c r="G494">
        <v>3.5</v>
      </c>
      <c r="H494">
        <v>3.5</v>
      </c>
      <c r="I494">
        <v>1</v>
      </c>
      <c r="J494">
        <v>3.5</v>
      </c>
      <c r="K494">
        <v>0</v>
      </c>
    </row>
    <row r="495" spans="1:11" hidden="1" x14ac:dyDescent="0.35">
      <c r="A495" t="s">
        <v>208</v>
      </c>
      <c r="B495">
        <f t="shared" si="21"/>
        <v>2016</v>
      </c>
      <c r="C495">
        <f t="shared" si="22"/>
        <v>10</v>
      </c>
      <c r="D495">
        <f t="shared" si="23"/>
        <v>4</v>
      </c>
      <c r="E495" t="s">
        <v>322</v>
      </c>
      <c r="F495">
        <v>0</v>
      </c>
      <c r="G495">
        <v>3.5</v>
      </c>
      <c r="H495">
        <v>3.5</v>
      </c>
      <c r="I495">
        <v>1</v>
      </c>
      <c r="J495">
        <v>3.5</v>
      </c>
      <c r="K495">
        <v>0</v>
      </c>
    </row>
    <row r="496" spans="1:11" hidden="1" x14ac:dyDescent="0.35">
      <c r="A496" t="s">
        <v>209</v>
      </c>
      <c r="B496">
        <f t="shared" si="21"/>
        <v>2016</v>
      </c>
      <c r="C496">
        <f t="shared" si="22"/>
        <v>11</v>
      </c>
      <c r="D496">
        <f t="shared" si="23"/>
        <v>4</v>
      </c>
      <c r="E496" t="s">
        <v>322</v>
      </c>
      <c r="F496">
        <v>0</v>
      </c>
      <c r="G496">
        <v>3.5</v>
      </c>
      <c r="H496">
        <v>3.5</v>
      </c>
      <c r="I496">
        <v>7</v>
      </c>
      <c r="J496">
        <v>3.5</v>
      </c>
      <c r="K496">
        <v>0</v>
      </c>
    </row>
    <row r="497" spans="1:11" hidden="1" x14ac:dyDescent="0.35">
      <c r="A497" t="s">
        <v>210</v>
      </c>
      <c r="B497">
        <f t="shared" si="21"/>
        <v>2016</v>
      </c>
      <c r="C497">
        <f t="shared" si="22"/>
        <v>12</v>
      </c>
      <c r="D497">
        <f t="shared" si="23"/>
        <v>4</v>
      </c>
      <c r="E497" t="s">
        <v>322</v>
      </c>
      <c r="F497">
        <v>0</v>
      </c>
      <c r="G497">
        <v>3.5</v>
      </c>
      <c r="H497">
        <v>3.5</v>
      </c>
      <c r="I497">
        <v>-2</v>
      </c>
      <c r="J497">
        <v>3.4891299999999998</v>
      </c>
      <c r="K497">
        <v>1.087</v>
      </c>
    </row>
    <row r="498" spans="1:11" hidden="1" x14ac:dyDescent="0.35">
      <c r="A498" t="s">
        <v>211</v>
      </c>
      <c r="B498">
        <f t="shared" si="21"/>
        <v>2017</v>
      </c>
      <c r="C498">
        <f t="shared" si="22"/>
        <v>1</v>
      </c>
      <c r="D498">
        <f t="shared" si="23"/>
        <v>1</v>
      </c>
      <c r="E498" t="s">
        <v>322</v>
      </c>
      <c r="F498">
        <v>0</v>
      </c>
      <c r="G498">
        <v>3.25</v>
      </c>
      <c r="H498">
        <v>3.25</v>
      </c>
      <c r="I498">
        <v>-1</v>
      </c>
      <c r="J498">
        <v>3.2727300000000001</v>
      </c>
      <c r="K498">
        <v>-2.2730000000000001</v>
      </c>
    </row>
    <row r="499" spans="1:11" hidden="1" x14ac:dyDescent="0.35">
      <c r="A499" t="s">
        <v>212</v>
      </c>
      <c r="B499">
        <f t="shared" si="21"/>
        <v>2017</v>
      </c>
      <c r="C499">
        <f t="shared" si="22"/>
        <v>2</v>
      </c>
      <c r="D499">
        <f t="shared" si="23"/>
        <v>1</v>
      </c>
      <c r="E499" t="s">
        <v>322</v>
      </c>
      <c r="F499">
        <v>0</v>
      </c>
      <c r="G499">
        <v>3.25</v>
      </c>
      <c r="H499">
        <v>3.25</v>
      </c>
      <c r="I499">
        <v>2</v>
      </c>
      <c r="J499">
        <v>3.1363599999999998</v>
      </c>
      <c r="K499">
        <v>11.364000000000001</v>
      </c>
    </row>
    <row r="500" spans="1:11" hidden="1" x14ac:dyDescent="0.35">
      <c r="A500" t="s">
        <v>213</v>
      </c>
      <c r="B500">
        <f t="shared" si="21"/>
        <v>2017</v>
      </c>
      <c r="C500">
        <f t="shared" si="22"/>
        <v>3</v>
      </c>
      <c r="D500">
        <f t="shared" si="23"/>
        <v>1</v>
      </c>
      <c r="E500" t="s">
        <v>322</v>
      </c>
      <c r="F500">
        <v>0</v>
      </c>
      <c r="G500">
        <v>3</v>
      </c>
      <c r="H500">
        <v>3</v>
      </c>
      <c r="I500">
        <v>2</v>
      </c>
      <c r="J500">
        <v>3.01</v>
      </c>
      <c r="K500">
        <v>-1</v>
      </c>
    </row>
    <row r="501" spans="1:11" hidden="1" x14ac:dyDescent="0.35">
      <c r="A501" t="s">
        <v>214</v>
      </c>
      <c r="B501">
        <f t="shared" si="21"/>
        <v>2017</v>
      </c>
      <c r="C501">
        <f t="shared" si="22"/>
        <v>4</v>
      </c>
      <c r="D501">
        <f t="shared" si="23"/>
        <v>2</v>
      </c>
      <c r="E501" t="s">
        <v>322</v>
      </c>
      <c r="F501">
        <v>-25</v>
      </c>
      <c r="G501">
        <v>3</v>
      </c>
      <c r="H501">
        <v>2.75</v>
      </c>
      <c r="I501">
        <v>0</v>
      </c>
      <c r="J501">
        <v>2.93269</v>
      </c>
      <c r="K501">
        <v>-18.268999999999998</v>
      </c>
    </row>
    <row r="502" spans="1:11" hidden="1" x14ac:dyDescent="0.35">
      <c r="A502" t="s">
        <v>215</v>
      </c>
      <c r="B502">
        <f t="shared" si="21"/>
        <v>2017</v>
      </c>
      <c r="C502">
        <f t="shared" si="22"/>
        <v>5</v>
      </c>
      <c r="D502">
        <f t="shared" si="23"/>
        <v>2</v>
      </c>
      <c r="E502" t="s">
        <v>322</v>
      </c>
      <c r="F502">
        <v>-25</v>
      </c>
      <c r="G502">
        <v>2.75</v>
      </c>
      <c r="H502">
        <v>2.5</v>
      </c>
      <c r="I502">
        <v>0</v>
      </c>
      <c r="J502">
        <v>2.6607099999999999</v>
      </c>
      <c r="K502">
        <v>-16.071000000000002</v>
      </c>
    </row>
    <row r="503" spans="1:11" hidden="1" x14ac:dyDescent="0.35">
      <c r="A503" t="s">
        <v>216</v>
      </c>
      <c r="B503">
        <f t="shared" si="21"/>
        <v>2017</v>
      </c>
      <c r="C503">
        <f t="shared" si="22"/>
        <v>6</v>
      </c>
      <c r="D503">
        <f t="shared" si="23"/>
        <v>2</v>
      </c>
      <c r="E503" t="s">
        <v>322</v>
      </c>
      <c r="F503">
        <v>0</v>
      </c>
      <c r="G503">
        <v>2.5</v>
      </c>
      <c r="H503">
        <v>2.5</v>
      </c>
      <c r="I503">
        <v>1</v>
      </c>
      <c r="J503">
        <v>2.5</v>
      </c>
      <c r="K503">
        <v>0</v>
      </c>
    </row>
    <row r="504" spans="1:11" hidden="1" x14ac:dyDescent="0.35">
      <c r="A504" t="s">
        <v>217</v>
      </c>
      <c r="B504">
        <f t="shared" si="21"/>
        <v>2017</v>
      </c>
      <c r="C504">
        <f t="shared" si="22"/>
        <v>7</v>
      </c>
      <c r="D504">
        <f t="shared" si="23"/>
        <v>3</v>
      </c>
      <c r="E504" t="s">
        <v>322</v>
      </c>
      <c r="F504">
        <v>0</v>
      </c>
      <c r="G504">
        <v>2.5</v>
      </c>
      <c r="H504">
        <v>2.5</v>
      </c>
      <c r="I504">
        <v>2</v>
      </c>
      <c r="J504">
        <v>2.5</v>
      </c>
      <c r="K504">
        <v>0</v>
      </c>
    </row>
    <row r="505" spans="1:11" hidden="1" x14ac:dyDescent="0.35">
      <c r="A505" t="s">
        <v>218</v>
      </c>
      <c r="B505">
        <f t="shared" si="21"/>
        <v>2017</v>
      </c>
      <c r="C505">
        <f t="shared" si="22"/>
        <v>8</v>
      </c>
      <c r="D505">
        <f t="shared" si="23"/>
        <v>3</v>
      </c>
      <c r="E505" t="s">
        <v>322</v>
      </c>
      <c r="F505">
        <v>0</v>
      </c>
      <c r="G505">
        <v>2.5</v>
      </c>
      <c r="H505">
        <v>2.5</v>
      </c>
      <c r="I505">
        <v>0</v>
      </c>
      <c r="J505">
        <v>2.4874999999999998</v>
      </c>
      <c r="K505">
        <v>1.25</v>
      </c>
    </row>
    <row r="506" spans="1:11" hidden="1" x14ac:dyDescent="0.35">
      <c r="A506" t="s">
        <v>219</v>
      </c>
      <c r="B506">
        <f t="shared" si="21"/>
        <v>2017</v>
      </c>
      <c r="C506">
        <f t="shared" si="22"/>
        <v>9</v>
      </c>
      <c r="D506">
        <f t="shared" si="23"/>
        <v>3</v>
      </c>
      <c r="E506" t="s">
        <v>322</v>
      </c>
      <c r="F506">
        <v>0</v>
      </c>
      <c r="G506">
        <v>2.5</v>
      </c>
      <c r="H506">
        <v>2.5</v>
      </c>
      <c r="I506">
        <v>2</v>
      </c>
      <c r="J506">
        <v>2.5</v>
      </c>
      <c r="K506">
        <v>0</v>
      </c>
    </row>
    <row r="507" spans="1:11" hidden="1" x14ac:dyDescent="0.35">
      <c r="A507" t="s">
        <v>220</v>
      </c>
      <c r="B507">
        <f t="shared" si="21"/>
        <v>2017</v>
      </c>
      <c r="C507">
        <f t="shared" si="22"/>
        <v>10</v>
      </c>
      <c r="D507">
        <f t="shared" si="23"/>
        <v>4</v>
      </c>
      <c r="E507" t="s">
        <v>322</v>
      </c>
      <c r="F507">
        <v>0</v>
      </c>
      <c r="G507">
        <v>2.5</v>
      </c>
      <c r="H507">
        <v>2.5</v>
      </c>
      <c r="I507">
        <v>1</v>
      </c>
      <c r="J507">
        <v>2.5</v>
      </c>
      <c r="K507">
        <v>0</v>
      </c>
    </row>
    <row r="508" spans="1:11" hidden="1" x14ac:dyDescent="0.35">
      <c r="A508" t="s">
        <v>221</v>
      </c>
      <c r="B508">
        <f t="shared" si="21"/>
        <v>2017</v>
      </c>
      <c r="C508">
        <f t="shared" si="22"/>
        <v>11</v>
      </c>
      <c r="D508">
        <f t="shared" si="23"/>
        <v>4</v>
      </c>
      <c r="E508" t="s">
        <v>322</v>
      </c>
      <c r="F508">
        <v>0</v>
      </c>
      <c r="G508">
        <v>2.5</v>
      </c>
      <c r="H508">
        <v>2.5</v>
      </c>
      <c r="I508">
        <v>-1</v>
      </c>
      <c r="J508">
        <v>2.5</v>
      </c>
      <c r="K508">
        <v>0</v>
      </c>
    </row>
    <row r="509" spans="1:11" hidden="1" x14ac:dyDescent="0.35">
      <c r="A509" t="s">
        <v>222</v>
      </c>
      <c r="B509">
        <f t="shared" si="21"/>
        <v>2017</v>
      </c>
      <c r="C509">
        <f t="shared" si="22"/>
        <v>12</v>
      </c>
      <c r="D509">
        <f t="shared" si="23"/>
        <v>4</v>
      </c>
      <c r="E509" t="s">
        <v>322</v>
      </c>
      <c r="F509">
        <v>0</v>
      </c>
      <c r="G509">
        <v>2.5</v>
      </c>
      <c r="H509">
        <v>2.5</v>
      </c>
      <c r="I509">
        <v>0</v>
      </c>
      <c r="J509">
        <v>2.5</v>
      </c>
      <c r="K509">
        <v>0</v>
      </c>
    </row>
    <row r="510" spans="1:11" hidden="1" x14ac:dyDescent="0.35">
      <c r="A510" t="s">
        <v>223</v>
      </c>
      <c r="B510">
        <f t="shared" si="21"/>
        <v>2018</v>
      </c>
      <c r="C510">
        <f t="shared" si="22"/>
        <v>1</v>
      </c>
      <c r="D510">
        <f t="shared" si="23"/>
        <v>1</v>
      </c>
      <c r="E510" t="s">
        <v>322</v>
      </c>
      <c r="F510">
        <v>0</v>
      </c>
      <c r="G510">
        <v>2.5</v>
      </c>
      <c r="H510">
        <v>2.5</v>
      </c>
      <c r="I510">
        <v>0</v>
      </c>
      <c r="J510">
        <v>2.5</v>
      </c>
      <c r="K510">
        <v>0</v>
      </c>
    </row>
    <row r="511" spans="1:11" hidden="1" x14ac:dyDescent="0.35">
      <c r="A511" t="s">
        <v>224</v>
      </c>
      <c r="B511">
        <f t="shared" si="21"/>
        <v>2018</v>
      </c>
      <c r="C511">
        <f t="shared" si="22"/>
        <v>2</v>
      </c>
      <c r="D511">
        <f t="shared" si="23"/>
        <v>1</v>
      </c>
      <c r="E511" t="s">
        <v>322</v>
      </c>
      <c r="F511">
        <v>0</v>
      </c>
      <c r="G511">
        <v>2.5</v>
      </c>
      <c r="H511">
        <v>2.5</v>
      </c>
      <c r="I511">
        <v>13</v>
      </c>
      <c r="J511">
        <v>2.5</v>
      </c>
      <c r="K511">
        <v>0</v>
      </c>
    </row>
    <row r="512" spans="1:11" hidden="1" x14ac:dyDescent="0.35">
      <c r="A512" t="s">
        <v>225</v>
      </c>
      <c r="B512">
        <f t="shared" si="21"/>
        <v>2018</v>
      </c>
      <c r="C512">
        <f t="shared" si="22"/>
        <v>3</v>
      </c>
      <c r="D512">
        <f t="shared" si="23"/>
        <v>1</v>
      </c>
      <c r="E512" t="s">
        <v>322</v>
      </c>
      <c r="F512">
        <v>0</v>
      </c>
      <c r="G512">
        <v>2.5</v>
      </c>
      <c r="H512">
        <v>2.5</v>
      </c>
      <c r="I512">
        <v>-2</v>
      </c>
      <c r="J512">
        <v>2.5</v>
      </c>
      <c r="K512">
        <v>0</v>
      </c>
    </row>
    <row r="513" spans="1:11" hidden="1" x14ac:dyDescent="0.35">
      <c r="A513" t="s">
        <v>226</v>
      </c>
      <c r="B513">
        <f t="shared" si="21"/>
        <v>2018</v>
      </c>
      <c r="C513">
        <f t="shared" si="22"/>
        <v>4</v>
      </c>
      <c r="D513">
        <f t="shared" si="23"/>
        <v>2</v>
      </c>
      <c r="E513" t="s">
        <v>322</v>
      </c>
      <c r="F513">
        <v>0</v>
      </c>
      <c r="G513">
        <v>2.5</v>
      </c>
      <c r="H513">
        <v>2.5</v>
      </c>
      <c r="I513">
        <v>0</v>
      </c>
      <c r="J513">
        <v>2.5</v>
      </c>
      <c r="K513">
        <v>0</v>
      </c>
    </row>
    <row r="514" spans="1:11" hidden="1" x14ac:dyDescent="0.35">
      <c r="A514" t="s">
        <v>227</v>
      </c>
      <c r="B514">
        <f t="shared" si="21"/>
        <v>2018</v>
      </c>
      <c r="C514">
        <f t="shared" si="22"/>
        <v>5</v>
      </c>
      <c r="D514">
        <f t="shared" si="23"/>
        <v>2</v>
      </c>
      <c r="E514" t="s">
        <v>322</v>
      </c>
      <c r="F514">
        <v>0</v>
      </c>
      <c r="G514">
        <v>2.5</v>
      </c>
      <c r="H514">
        <v>2.5</v>
      </c>
      <c r="I514">
        <v>0</v>
      </c>
      <c r="J514">
        <v>2.4886400000000002</v>
      </c>
      <c r="K514">
        <v>1.1359999999999999</v>
      </c>
    </row>
    <row r="515" spans="1:11" hidden="1" x14ac:dyDescent="0.35">
      <c r="A515" t="s">
        <v>228</v>
      </c>
      <c r="B515">
        <f t="shared" ref="B515:B578" si="24">LEFT(A515,4)*1</f>
        <v>2018</v>
      </c>
      <c r="C515">
        <f t="shared" ref="C515:C578" si="25">MID(A515,6,2)*1</f>
        <v>6</v>
      </c>
      <c r="D515">
        <f t="shared" ref="D515:D578" si="26">ROUNDUP(C515/3,0)</f>
        <v>2</v>
      </c>
      <c r="E515" t="s">
        <v>322</v>
      </c>
      <c r="F515">
        <v>0</v>
      </c>
      <c r="G515">
        <v>2.5</v>
      </c>
      <c r="H515">
        <v>2.5</v>
      </c>
      <c r="I515">
        <v>-1</v>
      </c>
      <c r="J515">
        <v>2.5</v>
      </c>
      <c r="K515">
        <v>0</v>
      </c>
    </row>
    <row r="516" spans="1:11" hidden="1" x14ac:dyDescent="0.35">
      <c r="A516" t="s">
        <v>229</v>
      </c>
      <c r="B516">
        <f t="shared" si="24"/>
        <v>2018</v>
      </c>
      <c r="C516">
        <f t="shared" si="25"/>
        <v>7</v>
      </c>
      <c r="D516">
        <f t="shared" si="26"/>
        <v>3</v>
      </c>
      <c r="E516" t="s">
        <v>322</v>
      </c>
      <c r="F516">
        <v>0</v>
      </c>
      <c r="G516">
        <v>2.5</v>
      </c>
      <c r="H516">
        <v>2.5</v>
      </c>
      <c r="I516">
        <v>2</v>
      </c>
      <c r="J516">
        <v>2.5</v>
      </c>
      <c r="K516">
        <v>0</v>
      </c>
    </row>
    <row r="517" spans="1:11" hidden="1" x14ac:dyDescent="0.35">
      <c r="A517" t="s">
        <v>230</v>
      </c>
      <c r="B517">
        <f t="shared" si="24"/>
        <v>2018</v>
      </c>
      <c r="C517">
        <f t="shared" si="25"/>
        <v>8</v>
      </c>
      <c r="D517">
        <f t="shared" si="26"/>
        <v>3</v>
      </c>
      <c r="E517" t="s">
        <v>322</v>
      </c>
      <c r="F517">
        <v>0</v>
      </c>
      <c r="G517">
        <v>2.5</v>
      </c>
      <c r="H517">
        <v>2.5</v>
      </c>
      <c r="I517">
        <v>0</v>
      </c>
      <c r="J517">
        <v>2.5</v>
      </c>
      <c r="K517">
        <v>0</v>
      </c>
    </row>
    <row r="518" spans="1:11" hidden="1" x14ac:dyDescent="0.35">
      <c r="A518" t="s">
        <v>231</v>
      </c>
      <c r="B518">
        <f t="shared" si="24"/>
        <v>2018</v>
      </c>
      <c r="C518">
        <f t="shared" si="25"/>
        <v>9</v>
      </c>
      <c r="D518">
        <f t="shared" si="26"/>
        <v>3</v>
      </c>
      <c r="E518" t="s">
        <v>322</v>
      </c>
      <c r="F518">
        <v>0</v>
      </c>
      <c r="G518">
        <v>2.5</v>
      </c>
      <c r="H518">
        <v>2.5</v>
      </c>
      <c r="I518">
        <v>14</v>
      </c>
      <c r="J518">
        <v>2.5118999999999998</v>
      </c>
      <c r="K518">
        <v>-1.19</v>
      </c>
    </row>
    <row r="519" spans="1:11" hidden="1" x14ac:dyDescent="0.35">
      <c r="A519" t="s">
        <v>232</v>
      </c>
      <c r="B519">
        <f t="shared" si="24"/>
        <v>2018</v>
      </c>
      <c r="C519">
        <f t="shared" si="25"/>
        <v>10</v>
      </c>
      <c r="D519">
        <f t="shared" si="26"/>
        <v>4</v>
      </c>
      <c r="E519" t="s">
        <v>322</v>
      </c>
      <c r="F519">
        <v>0</v>
      </c>
      <c r="G519">
        <v>2.75</v>
      </c>
      <c r="H519">
        <v>2.75</v>
      </c>
      <c r="I519">
        <v>-1</v>
      </c>
      <c r="J519">
        <v>2.63043</v>
      </c>
      <c r="K519">
        <v>11.957000000000001</v>
      </c>
    </row>
    <row r="520" spans="1:11" hidden="1" x14ac:dyDescent="0.35">
      <c r="A520" t="s">
        <v>233</v>
      </c>
      <c r="B520">
        <f t="shared" si="24"/>
        <v>2018</v>
      </c>
      <c r="C520">
        <f t="shared" si="25"/>
        <v>11</v>
      </c>
      <c r="D520">
        <f t="shared" si="26"/>
        <v>4</v>
      </c>
      <c r="E520" t="s">
        <v>322</v>
      </c>
      <c r="F520">
        <v>0</v>
      </c>
      <c r="G520">
        <v>2.75</v>
      </c>
      <c r="H520">
        <v>2.75</v>
      </c>
      <c r="I520">
        <v>0</v>
      </c>
      <c r="J520">
        <v>2.75</v>
      </c>
      <c r="K520">
        <v>0</v>
      </c>
    </row>
    <row r="521" spans="1:11" hidden="1" x14ac:dyDescent="0.35">
      <c r="A521" t="s">
        <v>234</v>
      </c>
      <c r="B521">
        <f t="shared" si="24"/>
        <v>2018</v>
      </c>
      <c r="C521">
        <f t="shared" si="25"/>
        <v>12</v>
      </c>
      <c r="D521">
        <f t="shared" si="26"/>
        <v>4</v>
      </c>
      <c r="E521" t="s">
        <v>322</v>
      </c>
      <c r="F521">
        <v>0</v>
      </c>
      <c r="G521">
        <v>2.75</v>
      </c>
      <c r="H521">
        <v>2.75</v>
      </c>
      <c r="I521">
        <v>-7</v>
      </c>
      <c r="J521">
        <v>2.8229199999999999</v>
      </c>
      <c r="K521">
        <v>-7.2919999999999998</v>
      </c>
    </row>
    <row r="522" spans="1:11" hidden="1" x14ac:dyDescent="0.35">
      <c r="A522" t="s">
        <v>235</v>
      </c>
      <c r="B522">
        <f t="shared" si="24"/>
        <v>2019</v>
      </c>
      <c r="C522">
        <f t="shared" si="25"/>
        <v>1</v>
      </c>
      <c r="D522">
        <f t="shared" si="26"/>
        <v>1</v>
      </c>
      <c r="E522" t="s">
        <v>322</v>
      </c>
      <c r="F522">
        <v>0</v>
      </c>
      <c r="G522">
        <v>3</v>
      </c>
      <c r="H522">
        <v>3</v>
      </c>
      <c r="I522">
        <v>-2</v>
      </c>
      <c r="J522">
        <v>3</v>
      </c>
      <c r="K522">
        <v>0</v>
      </c>
    </row>
    <row r="523" spans="1:11" hidden="1" x14ac:dyDescent="0.35">
      <c r="A523" t="s">
        <v>236</v>
      </c>
      <c r="B523">
        <f t="shared" si="24"/>
        <v>2019</v>
      </c>
      <c r="C523">
        <f t="shared" si="25"/>
        <v>2</v>
      </c>
      <c r="D523">
        <f t="shared" si="26"/>
        <v>1</v>
      </c>
      <c r="E523" t="s">
        <v>322</v>
      </c>
      <c r="F523">
        <v>0</v>
      </c>
      <c r="G523">
        <v>3</v>
      </c>
      <c r="H523">
        <v>3</v>
      </c>
      <c r="I523">
        <v>0</v>
      </c>
      <c r="J523">
        <v>3</v>
      </c>
      <c r="K523">
        <v>0</v>
      </c>
    </row>
    <row r="524" spans="1:11" hidden="1" x14ac:dyDescent="0.35">
      <c r="A524" t="s">
        <v>237</v>
      </c>
      <c r="B524">
        <f t="shared" si="24"/>
        <v>2019</v>
      </c>
      <c r="C524">
        <f t="shared" si="25"/>
        <v>3</v>
      </c>
      <c r="D524">
        <f t="shared" si="26"/>
        <v>1</v>
      </c>
      <c r="E524" t="s">
        <v>322</v>
      </c>
      <c r="F524">
        <v>0</v>
      </c>
      <c r="G524">
        <v>3</v>
      </c>
      <c r="H524">
        <v>3</v>
      </c>
      <c r="I524">
        <v>0</v>
      </c>
      <c r="J524">
        <v>3</v>
      </c>
      <c r="K524">
        <v>0</v>
      </c>
    </row>
    <row r="525" spans="1:11" hidden="1" x14ac:dyDescent="0.35">
      <c r="A525" t="s">
        <v>238</v>
      </c>
      <c r="B525">
        <f t="shared" si="24"/>
        <v>2019</v>
      </c>
      <c r="C525">
        <f t="shared" si="25"/>
        <v>4</v>
      </c>
      <c r="D525">
        <f t="shared" si="26"/>
        <v>2</v>
      </c>
      <c r="E525" t="s">
        <v>322</v>
      </c>
      <c r="F525">
        <v>0</v>
      </c>
      <c r="G525">
        <v>3</v>
      </c>
      <c r="H525">
        <v>3</v>
      </c>
      <c r="I525">
        <v>0</v>
      </c>
      <c r="J525">
        <v>3</v>
      </c>
      <c r="K525">
        <v>0</v>
      </c>
    </row>
    <row r="526" spans="1:11" hidden="1" x14ac:dyDescent="0.35">
      <c r="A526" t="s">
        <v>239</v>
      </c>
      <c r="B526">
        <f t="shared" si="24"/>
        <v>2019</v>
      </c>
      <c r="C526">
        <f t="shared" si="25"/>
        <v>5</v>
      </c>
      <c r="D526">
        <f t="shared" si="26"/>
        <v>2</v>
      </c>
      <c r="E526" t="s">
        <v>322</v>
      </c>
      <c r="F526">
        <v>0</v>
      </c>
      <c r="G526">
        <v>3</v>
      </c>
      <c r="H526">
        <v>3</v>
      </c>
      <c r="I526">
        <v>-1</v>
      </c>
      <c r="J526">
        <v>3</v>
      </c>
      <c r="K526">
        <v>0</v>
      </c>
    </row>
    <row r="527" spans="1:11" hidden="1" x14ac:dyDescent="0.35">
      <c r="A527" t="s">
        <v>240</v>
      </c>
      <c r="B527">
        <f t="shared" si="24"/>
        <v>2019</v>
      </c>
      <c r="C527">
        <f t="shared" si="25"/>
        <v>6</v>
      </c>
      <c r="D527">
        <f t="shared" si="26"/>
        <v>2</v>
      </c>
      <c r="E527" t="s">
        <v>322</v>
      </c>
      <c r="F527">
        <v>-50</v>
      </c>
      <c r="G527">
        <v>3</v>
      </c>
      <c r="H527">
        <v>2.5</v>
      </c>
      <c r="I527">
        <v>0</v>
      </c>
      <c r="J527">
        <v>3</v>
      </c>
      <c r="K527">
        <v>-50</v>
      </c>
    </row>
    <row r="528" spans="1:11" hidden="1" x14ac:dyDescent="0.35">
      <c r="A528" t="s">
        <v>241</v>
      </c>
      <c r="B528">
        <f t="shared" si="24"/>
        <v>2019</v>
      </c>
      <c r="C528">
        <f t="shared" si="25"/>
        <v>7</v>
      </c>
      <c r="D528">
        <f t="shared" si="26"/>
        <v>3</v>
      </c>
      <c r="E528" t="s">
        <v>322</v>
      </c>
      <c r="F528">
        <v>0</v>
      </c>
      <c r="G528">
        <v>2.5</v>
      </c>
      <c r="H528">
        <v>2.5</v>
      </c>
      <c r="I528">
        <v>-13</v>
      </c>
      <c r="J528">
        <v>2.5</v>
      </c>
      <c r="K528">
        <v>0</v>
      </c>
    </row>
    <row r="529" spans="1:11" hidden="1" x14ac:dyDescent="0.35">
      <c r="A529" t="s">
        <v>242</v>
      </c>
      <c r="B529">
        <f t="shared" si="24"/>
        <v>2019</v>
      </c>
      <c r="C529">
        <f t="shared" si="25"/>
        <v>8</v>
      </c>
      <c r="D529">
        <f t="shared" si="26"/>
        <v>3</v>
      </c>
      <c r="E529" t="s">
        <v>322</v>
      </c>
      <c r="F529">
        <v>0</v>
      </c>
      <c r="G529">
        <v>2.5</v>
      </c>
      <c r="H529">
        <v>2.5</v>
      </c>
      <c r="I529">
        <v>0</v>
      </c>
      <c r="J529">
        <v>2.5</v>
      </c>
      <c r="K529">
        <v>0</v>
      </c>
    </row>
    <row r="530" spans="1:11" hidden="1" x14ac:dyDescent="0.35">
      <c r="A530" t="s">
        <v>243</v>
      </c>
      <c r="B530">
        <f t="shared" si="24"/>
        <v>2019</v>
      </c>
      <c r="C530">
        <f t="shared" si="25"/>
        <v>9</v>
      </c>
      <c r="D530">
        <f t="shared" si="26"/>
        <v>3</v>
      </c>
      <c r="E530" t="s">
        <v>322</v>
      </c>
      <c r="F530">
        <v>0</v>
      </c>
      <c r="G530">
        <v>2</v>
      </c>
      <c r="H530">
        <v>2</v>
      </c>
      <c r="I530">
        <v>-18</v>
      </c>
      <c r="J530">
        <v>2.0714299999999999</v>
      </c>
      <c r="K530">
        <v>-7.1429999999999998</v>
      </c>
    </row>
    <row r="531" spans="1:11" hidden="1" x14ac:dyDescent="0.35">
      <c r="A531" t="s">
        <v>244</v>
      </c>
      <c r="B531">
        <f t="shared" si="24"/>
        <v>2019</v>
      </c>
      <c r="C531">
        <f t="shared" si="25"/>
        <v>10</v>
      </c>
      <c r="D531">
        <f t="shared" si="26"/>
        <v>4</v>
      </c>
      <c r="E531" t="s">
        <v>322</v>
      </c>
      <c r="F531">
        <v>0</v>
      </c>
      <c r="G531">
        <v>1.75</v>
      </c>
      <c r="H531">
        <v>1.75</v>
      </c>
      <c r="I531">
        <v>-4</v>
      </c>
      <c r="J531">
        <v>1.7261899999999999</v>
      </c>
      <c r="K531">
        <v>2.3809999999999998</v>
      </c>
    </row>
    <row r="532" spans="1:11" hidden="1" x14ac:dyDescent="0.35">
      <c r="A532" t="s">
        <v>245</v>
      </c>
      <c r="B532">
        <f t="shared" si="24"/>
        <v>2019</v>
      </c>
      <c r="C532">
        <f t="shared" si="25"/>
        <v>11</v>
      </c>
      <c r="D532">
        <f t="shared" si="26"/>
        <v>4</v>
      </c>
      <c r="E532" t="s">
        <v>322</v>
      </c>
      <c r="F532">
        <v>0</v>
      </c>
      <c r="G532">
        <v>1.75</v>
      </c>
      <c r="H532">
        <v>1.75</v>
      </c>
      <c r="I532">
        <v>0</v>
      </c>
      <c r="J532">
        <v>1.75</v>
      </c>
      <c r="K532">
        <v>0</v>
      </c>
    </row>
    <row r="533" spans="1:11" hidden="1" x14ac:dyDescent="0.35">
      <c r="A533" t="s">
        <v>246</v>
      </c>
      <c r="B533">
        <f t="shared" si="24"/>
        <v>2019</v>
      </c>
      <c r="C533">
        <f t="shared" si="25"/>
        <v>12</v>
      </c>
      <c r="D533">
        <f t="shared" si="26"/>
        <v>4</v>
      </c>
      <c r="E533" t="s">
        <v>322</v>
      </c>
      <c r="F533">
        <v>25</v>
      </c>
      <c r="G533">
        <v>1.5</v>
      </c>
      <c r="H533">
        <v>1.75</v>
      </c>
      <c r="I533">
        <v>16</v>
      </c>
      <c r="J533">
        <v>1.61111</v>
      </c>
      <c r="K533">
        <v>13.888999999999999</v>
      </c>
    </row>
    <row r="534" spans="1:11" hidden="1" x14ac:dyDescent="0.35">
      <c r="A534" t="s">
        <v>247</v>
      </c>
      <c r="B534">
        <f t="shared" si="24"/>
        <v>2020</v>
      </c>
      <c r="C534">
        <f t="shared" si="25"/>
        <v>1</v>
      </c>
      <c r="D534">
        <f t="shared" si="26"/>
        <v>1</v>
      </c>
      <c r="E534" t="s">
        <v>322</v>
      </c>
      <c r="F534">
        <v>0</v>
      </c>
      <c r="G534">
        <v>1.75</v>
      </c>
      <c r="H534">
        <v>1.75</v>
      </c>
      <c r="I534">
        <v>2</v>
      </c>
      <c r="J534">
        <v>1.75</v>
      </c>
      <c r="K534">
        <v>0</v>
      </c>
    </row>
    <row r="535" spans="1:11" hidden="1" x14ac:dyDescent="0.35">
      <c r="A535" t="s">
        <v>248</v>
      </c>
      <c r="B535">
        <f t="shared" si="24"/>
        <v>2020</v>
      </c>
      <c r="C535">
        <f t="shared" si="25"/>
        <v>2</v>
      </c>
      <c r="D535">
        <f t="shared" si="26"/>
        <v>1</v>
      </c>
      <c r="E535" t="s">
        <v>322</v>
      </c>
      <c r="F535">
        <v>0</v>
      </c>
      <c r="G535">
        <v>1.75</v>
      </c>
      <c r="H535">
        <v>1.75</v>
      </c>
      <c r="I535">
        <v>0</v>
      </c>
      <c r="J535">
        <v>1.75</v>
      </c>
      <c r="K535">
        <v>0</v>
      </c>
    </row>
    <row r="536" spans="1:11" hidden="1" x14ac:dyDescent="0.35">
      <c r="A536" t="s">
        <v>249</v>
      </c>
      <c r="B536">
        <f t="shared" si="24"/>
        <v>2020</v>
      </c>
      <c r="C536">
        <f t="shared" si="25"/>
        <v>3</v>
      </c>
      <c r="D536">
        <f t="shared" si="26"/>
        <v>1</v>
      </c>
      <c r="E536" t="s">
        <v>322</v>
      </c>
      <c r="F536">
        <v>0</v>
      </c>
      <c r="G536">
        <v>1</v>
      </c>
      <c r="H536">
        <v>1</v>
      </c>
      <c r="I536">
        <v>-19</v>
      </c>
      <c r="J536">
        <v>1</v>
      </c>
      <c r="K536">
        <v>0</v>
      </c>
    </row>
    <row r="537" spans="1:11" hidden="1" x14ac:dyDescent="0.35">
      <c r="A537" t="s">
        <v>250</v>
      </c>
      <c r="B537">
        <f t="shared" si="24"/>
        <v>2020</v>
      </c>
      <c r="C537">
        <f t="shared" si="25"/>
        <v>4</v>
      </c>
      <c r="D537">
        <f t="shared" si="26"/>
        <v>2</v>
      </c>
      <c r="E537" t="s">
        <v>322</v>
      </c>
      <c r="F537">
        <v>0</v>
      </c>
      <c r="G537">
        <v>0.5</v>
      </c>
      <c r="H537">
        <v>0.5</v>
      </c>
      <c r="I537">
        <v>2</v>
      </c>
      <c r="J537">
        <v>0.55000000000000004</v>
      </c>
      <c r="K537">
        <v>-5</v>
      </c>
    </row>
    <row r="538" spans="1:11" hidden="1" x14ac:dyDescent="0.35">
      <c r="A538" t="s">
        <v>251</v>
      </c>
      <c r="B538">
        <f t="shared" si="24"/>
        <v>2020</v>
      </c>
      <c r="C538">
        <f t="shared" si="25"/>
        <v>5</v>
      </c>
      <c r="D538">
        <f t="shared" si="26"/>
        <v>2</v>
      </c>
      <c r="E538" t="s">
        <v>322</v>
      </c>
      <c r="F538">
        <v>0</v>
      </c>
      <c r="G538">
        <v>0.5</v>
      </c>
      <c r="H538">
        <v>0.5</v>
      </c>
      <c r="I538">
        <v>1</v>
      </c>
      <c r="J538">
        <v>0.5</v>
      </c>
      <c r="K538">
        <v>0</v>
      </c>
    </row>
    <row r="539" spans="1:11" hidden="1" x14ac:dyDescent="0.35">
      <c r="A539" t="s">
        <v>252</v>
      </c>
      <c r="B539">
        <f t="shared" si="24"/>
        <v>2020</v>
      </c>
      <c r="C539">
        <f t="shared" si="25"/>
        <v>6</v>
      </c>
      <c r="D539">
        <f t="shared" si="26"/>
        <v>2</v>
      </c>
      <c r="E539" t="s">
        <v>322</v>
      </c>
      <c r="F539">
        <v>0</v>
      </c>
      <c r="G539">
        <v>0.5</v>
      </c>
      <c r="H539">
        <v>0.5</v>
      </c>
      <c r="I539">
        <v>-1</v>
      </c>
      <c r="J539">
        <v>0.5</v>
      </c>
      <c r="K539">
        <v>0</v>
      </c>
    </row>
    <row r="540" spans="1:11" hidden="1" x14ac:dyDescent="0.35">
      <c r="A540" t="s">
        <v>253</v>
      </c>
      <c r="B540">
        <f t="shared" si="24"/>
        <v>2020</v>
      </c>
      <c r="C540">
        <f t="shared" si="25"/>
        <v>7</v>
      </c>
      <c r="D540">
        <f t="shared" si="26"/>
        <v>3</v>
      </c>
      <c r="E540" t="s">
        <v>322</v>
      </c>
      <c r="F540">
        <v>0</v>
      </c>
      <c r="G540">
        <v>0.5</v>
      </c>
      <c r="H540">
        <v>0.5</v>
      </c>
      <c r="I540">
        <v>0</v>
      </c>
      <c r="J540">
        <v>0.5</v>
      </c>
      <c r="K540">
        <v>0</v>
      </c>
    </row>
    <row r="541" spans="1:11" hidden="1" x14ac:dyDescent="0.35">
      <c r="A541" t="s">
        <v>254</v>
      </c>
      <c r="B541">
        <f t="shared" si="24"/>
        <v>2020</v>
      </c>
      <c r="C541">
        <f t="shared" si="25"/>
        <v>8</v>
      </c>
      <c r="D541">
        <f t="shared" si="26"/>
        <v>3</v>
      </c>
      <c r="E541" t="s">
        <v>322</v>
      </c>
      <c r="F541">
        <v>0</v>
      </c>
      <c r="G541">
        <v>0.5</v>
      </c>
      <c r="H541">
        <v>0.5</v>
      </c>
      <c r="I541">
        <v>0</v>
      </c>
      <c r="J541">
        <v>0.5</v>
      </c>
      <c r="K541">
        <v>0</v>
      </c>
    </row>
    <row r="542" spans="1:11" hidden="1" x14ac:dyDescent="0.35">
      <c r="A542" t="s">
        <v>255</v>
      </c>
      <c r="B542">
        <f t="shared" si="24"/>
        <v>2020</v>
      </c>
      <c r="C542">
        <f t="shared" si="25"/>
        <v>9</v>
      </c>
      <c r="D542">
        <f t="shared" si="26"/>
        <v>3</v>
      </c>
      <c r="E542" t="s">
        <v>322</v>
      </c>
      <c r="F542">
        <v>0</v>
      </c>
      <c r="G542">
        <v>0.5</v>
      </c>
      <c r="H542">
        <v>0.5</v>
      </c>
      <c r="I542">
        <v>7</v>
      </c>
      <c r="J542">
        <v>0.5</v>
      </c>
      <c r="K542">
        <v>0</v>
      </c>
    </row>
    <row r="543" spans="1:11" hidden="1" x14ac:dyDescent="0.35">
      <c r="A543" t="s">
        <v>256</v>
      </c>
      <c r="B543">
        <f t="shared" si="24"/>
        <v>2020</v>
      </c>
      <c r="C543">
        <f t="shared" si="25"/>
        <v>10</v>
      </c>
      <c r="D543">
        <f t="shared" si="26"/>
        <v>4</v>
      </c>
      <c r="E543" t="s">
        <v>322</v>
      </c>
      <c r="F543">
        <v>0</v>
      </c>
      <c r="G543">
        <v>0.5</v>
      </c>
      <c r="H543">
        <v>0.5</v>
      </c>
      <c r="I543">
        <v>0</v>
      </c>
      <c r="J543">
        <v>0.5</v>
      </c>
      <c r="K543">
        <v>0</v>
      </c>
    </row>
    <row r="544" spans="1:11" hidden="1" x14ac:dyDescent="0.35">
      <c r="A544" t="s">
        <v>257</v>
      </c>
      <c r="B544">
        <f t="shared" si="24"/>
        <v>2020</v>
      </c>
      <c r="C544">
        <f t="shared" si="25"/>
        <v>11</v>
      </c>
      <c r="D544">
        <f t="shared" si="26"/>
        <v>4</v>
      </c>
      <c r="E544" t="s">
        <v>322</v>
      </c>
      <c r="F544">
        <v>0</v>
      </c>
      <c r="G544">
        <v>0.5</v>
      </c>
      <c r="H544">
        <v>0.5</v>
      </c>
      <c r="I544">
        <v>0</v>
      </c>
      <c r="J544">
        <v>0.5</v>
      </c>
      <c r="K544">
        <v>0</v>
      </c>
    </row>
    <row r="545" spans="1:11" hidden="1" x14ac:dyDescent="0.35">
      <c r="A545" t="s">
        <v>258</v>
      </c>
      <c r="B545">
        <f t="shared" si="24"/>
        <v>2020</v>
      </c>
      <c r="C545">
        <f t="shared" si="25"/>
        <v>12</v>
      </c>
      <c r="D545">
        <f t="shared" si="26"/>
        <v>4</v>
      </c>
      <c r="E545" t="s">
        <v>322</v>
      </c>
      <c r="F545">
        <v>0</v>
      </c>
      <c r="G545">
        <v>0.5</v>
      </c>
      <c r="H545">
        <v>0.5</v>
      </c>
      <c r="I545">
        <v>0</v>
      </c>
      <c r="J545">
        <v>0.5</v>
      </c>
      <c r="K545">
        <v>0</v>
      </c>
    </row>
    <row r="546" spans="1:11" hidden="1" x14ac:dyDescent="0.35">
      <c r="A546" t="s">
        <v>259</v>
      </c>
      <c r="B546">
        <f t="shared" si="24"/>
        <v>2021</v>
      </c>
      <c r="C546">
        <f t="shared" si="25"/>
        <v>1</v>
      </c>
      <c r="D546">
        <f t="shared" si="26"/>
        <v>1</v>
      </c>
      <c r="E546" t="s">
        <v>322</v>
      </c>
      <c r="F546">
        <v>0</v>
      </c>
      <c r="G546">
        <v>0.5</v>
      </c>
      <c r="H546">
        <v>0.5</v>
      </c>
      <c r="I546">
        <v>-2</v>
      </c>
      <c r="J546">
        <v>0.5</v>
      </c>
      <c r="K546">
        <v>0</v>
      </c>
    </row>
    <row r="547" spans="1:11" hidden="1" x14ac:dyDescent="0.35">
      <c r="A547" t="s">
        <v>260</v>
      </c>
      <c r="B547">
        <f t="shared" si="24"/>
        <v>2021</v>
      </c>
      <c r="C547">
        <f t="shared" si="25"/>
        <v>2</v>
      </c>
      <c r="D547">
        <f t="shared" si="26"/>
        <v>1</v>
      </c>
      <c r="E547" t="s">
        <v>322</v>
      </c>
      <c r="F547">
        <v>0</v>
      </c>
      <c r="G547">
        <v>0.5</v>
      </c>
      <c r="H547">
        <v>0.5</v>
      </c>
      <c r="I547">
        <v>0</v>
      </c>
      <c r="J547">
        <v>0.5</v>
      </c>
      <c r="K547">
        <v>0</v>
      </c>
    </row>
    <row r="548" spans="1:11" hidden="1" x14ac:dyDescent="0.35">
      <c r="A548" t="s">
        <v>261</v>
      </c>
      <c r="B548">
        <f t="shared" si="24"/>
        <v>2021</v>
      </c>
      <c r="C548">
        <f t="shared" si="25"/>
        <v>3</v>
      </c>
      <c r="D548">
        <f t="shared" si="26"/>
        <v>1</v>
      </c>
      <c r="E548" t="s">
        <v>322</v>
      </c>
      <c r="F548">
        <v>0</v>
      </c>
      <c r="G548">
        <v>0.5</v>
      </c>
      <c r="H548">
        <v>0.5</v>
      </c>
      <c r="I548">
        <v>8</v>
      </c>
      <c r="J548">
        <v>0.5</v>
      </c>
      <c r="K548">
        <v>0</v>
      </c>
    </row>
    <row r="549" spans="1:11" hidden="1" x14ac:dyDescent="0.35">
      <c r="A549" t="s">
        <v>262</v>
      </c>
      <c r="B549">
        <f t="shared" si="24"/>
        <v>2021</v>
      </c>
      <c r="C549">
        <f t="shared" si="25"/>
        <v>4</v>
      </c>
      <c r="D549">
        <f t="shared" si="26"/>
        <v>2</v>
      </c>
      <c r="E549" t="s">
        <v>322</v>
      </c>
      <c r="F549">
        <v>0</v>
      </c>
      <c r="G549">
        <v>0.5</v>
      </c>
      <c r="H549">
        <v>0.5</v>
      </c>
      <c r="I549">
        <v>0</v>
      </c>
      <c r="J549">
        <v>0.5</v>
      </c>
      <c r="K549">
        <v>0</v>
      </c>
    </row>
    <row r="550" spans="1:11" hidden="1" x14ac:dyDescent="0.35">
      <c r="A550" t="s">
        <v>263</v>
      </c>
      <c r="B550">
        <f t="shared" si="24"/>
        <v>2021</v>
      </c>
      <c r="C550">
        <f t="shared" si="25"/>
        <v>5</v>
      </c>
      <c r="D550">
        <f t="shared" si="26"/>
        <v>2</v>
      </c>
      <c r="E550" t="s">
        <v>322</v>
      </c>
      <c r="F550">
        <v>0</v>
      </c>
      <c r="G550">
        <v>0.5</v>
      </c>
      <c r="H550">
        <v>0.5</v>
      </c>
      <c r="I550">
        <v>13</v>
      </c>
      <c r="J550">
        <v>0.5</v>
      </c>
      <c r="K550">
        <v>0</v>
      </c>
    </row>
    <row r="551" spans="1:11" hidden="1" x14ac:dyDescent="0.35">
      <c r="A551" t="s">
        <v>264</v>
      </c>
      <c r="B551">
        <f t="shared" si="24"/>
        <v>2021</v>
      </c>
      <c r="C551">
        <f t="shared" si="25"/>
        <v>6</v>
      </c>
      <c r="D551">
        <f t="shared" si="26"/>
        <v>2</v>
      </c>
      <c r="E551" t="s">
        <v>322</v>
      </c>
      <c r="F551">
        <v>0</v>
      </c>
      <c r="G551">
        <v>0.5</v>
      </c>
      <c r="H551">
        <v>0.5</v>
      </c>
      <c r="I551">
        <v>25</v>
      </c>
      <c r="J551">
        <v>0.5</v>
      </c>
      <c r="K551">
        <v>0</v>
      </c>
    </row>
    <row r="552" spans="1:11" hidden="1" x14ac:dyDescent="0.35">
      <c r="A552" t="s">
        <v>265</v>
      </c>
      <c r="B552">
        <f t="shared" si="24"/>
        <v>2021</v>
      </c>
      <c r="C552">
        <f t="shared" si="25"/>
        <v>7</v>
      </c>
      <c r="D552">
        <f t="shared" si="26"/>
        <v>3</v>
      </c>
      <c r="E552" t="s">
        <v>322</v>
      </c>
      <c r="F552">
        <v>0</v>
      </c>
      <c r="G552">
        <v>0.75</v>
      </c>
      <c r="H552">
        <v>0.75</v>
      </c>
      <c r="I552">
        <v>-9</v>
      </c>
      <c r="J552">
        <v>0.734375</v>
      </c>
      <c r="K552">
        <v>1.5625</v>
      </c>
    </row>
    <row r="553" spans="1:11" hidden="1" x14ac:dyDescent="0.35">
      <c r="A553" t="s">
        <v>266</v>
      </c>
      <c r="B553">
        <f t="shared" si="24"/>
        <v>2021</v>
      </c>
      <c r="C553">
        <f t="shared" si="25"/>
        <v>8</v>
      </c>
      <c r="D553">
        <f t="shared" si="26"/>
        <v>3</v>
      </c>
      <c r="E553" t="s">
        <v>322</v>
      </c>
      <c r="F553">
        <v>0</v>
      </c>
      <c r="G553">
        <v>0.75</v>
      </c>
      <c r="H553">
        <v>0.75</v>
      </c>
      <c r="I553">
        <v>0</v>
      </c>
      <c r="J553">
        <v>0.75</v>
      </c>
      <c r="K553">
        <v>0</v>
      </c>
    </row>
    <row r="554" spans="1:11" hidden="1" x14ac:dyDescent="0.35">
      <c r="A554" t="s">
        <v>267</v>
      </c>
      <c r="B554">
        <f t="shared" si="24"/>
        <v>2021</v>
      </c>
      <c r="C554">
        <f t="shared" si="25"/>
        <v>9</v>
      </c>
      <c r="D554">
        <f t="shared" si="26"/>
        <v>3</v>
      </c>
      <c r="E554" t="s">
        <v>322</v>
      </c>
      <c r="F554">
        <v>25</v>
      </c>
      <c r="G554">
        <v>1.25</v>
      </c>
      <c r="H554">
        <v>1.5</v>
      </c>
      <c r="I554">
        <v>72</v>
      </c>
      <c r="J554">
        <v>1.1764699999999999</v>
      </c>
      <c r="K554">
        <v>32.353000000000002</v>
      </c>
    </row>
    <row r="555" spans="1:11" hidden="1" x14ac:dyDescent="0.35">
      <c r="A555" t="s">
        <v>268</v>
      </c>
      <c r="B555">
        <f t="shared" si="24"/>
        <v>2021</v>
      </c>
      <c r="C555">
        <f t="shared" si="25"/>
        <v>10</v>
      </c>
      <c r="D555">
        <f t="shared" si="26"/>
        <v>4</v>
      </c>
      <c r="E555" t="s">
        <v>322</v>
      </c>
      <c r="F555">
        <v>25</v>
      </c>
      <c r="G555">
        <v>2.5</v>
      </c>
      <c r="H555">
        <v>2.75</v>
      </c>
      <c r="I555">
        <v>36</v>
      </c>
      <c r="J555">
        <v>2.4464299999999999</v>
      </c>
      <c r="K555">
        <v>30.356999999999999</v>
      </c>
    </row>
    <row r="556" spans="1:11" hidden="1" x14ac:dyDescent="0.35">
      <c r="A556" t="s">
        <v>269</v>
      </c>
      <c r="B556">
        <f t="shared" si="24"/>
        <v>2021</v>
      </c>
      <c r="C556">
        <f t="shared" si="25"/>
        <v>11</v>
      </c>
      <c r="D556">
        <f t="shared" si="26"/>
        <v>4</v>
      </c>
      <c r="E556" t="s">
        <v>322</v>
      </c>
      <c r="F556">
        <v>0</v>
      </c>
      <c r="G556">
        <v>2.75</v>
      </c>
      <c r="H556">
        <v>2.75</v>
      </c>
      <c r="I556">
        <v>0</v>
      </c>
      <c r="J556">
        <v>2.75</v>
      </c>
      <c r="K556">
        <v>0</v>
      </c>
    </row>
    <row r="557" spans="1:11" hidden="1" x14ac:dyDescent="0.35">
      <c r="A557" t="s">
        <v>270</v>
      </c>
      <c r="B557">
        <f t="shared" si="24"/>
        <v>2021</v>
      </c>
      <c r="C557">
        <f t="shared" si="25"/>
        <v>12</v>
      </c>
      <c r="D557">
        <f t="shared" si="26"/>
        <v>4</v>
      </c>
      <c r="E557" t="s">
        <v>322</v>
      </c>
      <c r="F557">
        <v>0</v>
      </c>
      <c r="G557">
        <v>4</v>
      </c>
      <c r="H557">
        <v>4</v>
      </c>
      <c r="I557">
        <v>7</v>
      </c>
      <c r="J557">
        <v>3.9843799999999998</v>
      </c>
      <c r="K557">
        <v>1.5620000000000001</v>
      </c>
    </row>
    <row r="558" spans="1:11" hidden="1" x14ac:dyDescent="0.35">
      <c r="A558" t="s">
        <v>271</v>
      </c>
      <c r="B558">
        <f t="shared" si="24"/>
        <v>2022</v>
      </c>
      <c r="C558">
        <f t="shared" si="25"/>
        <v>1</v>
      </c>
      <c r="D558">
        <f t="shared" si="26"/>
        <v>1</v>
      </c>
      <c r="E558" t="s">
        <v>322</v>
      </c>
      <c r="F558">
        <v>25</v>
      </c>
      <c r="G558">
        <v>5.25</v>
      </c>
      <c r="H558">
        <v>5.5</v>
      </c>
      <c r="I558">
        <v>39</v>
      </c>
      <c r="J558">
        <v>5.3166700000000002</v>
      </c>
      <c r="K558">
        <v>18.332999999999998</v>
      </c>
    </row>
    <row r="559" spans="1:11" hidden="1" x14ac:dyDescent="0.35">
      <c r="A559" t="s">
        <v>272</v>
      </c>
      <c r="B559">
        <f t="shared" si="24"/>
        <v>2022</v>
      </c>
      <c r="C559">
        <f t="shared" si="25"/>
        <v>2</v>
      </c>
      <c r="D559">
        <f t="shared" si="26"/>
        <v>1</v>
      </c>
      <c r="E559" t="s">
        <v>322</v>
      </c>
      <c r="F559">
        <v>0</v>
      </c>
      <c r="G559">
        <v>5.5</v>
      </c>
      <c r="H559">
        <v>5.5</v>
      </c>
      <c r="I559">
        <v>0</v>
      </c>
      <c r="J559">
        <v>5.5</v>
      </c>
      <c r="K559">
        <v>0</v>
      </c>
    </row>
    <row r="560" spans="1:11" hidden="1" x14ac:dyDescent="0.35">
      <c r="A560" t="s">
        <v>273</v>
      </c>
      <c r="B560">
        <f t="shared" si="24"/>
        <v>2022</v>
      </c>
      <c r="C560">
        <f t="shared" si="25"/>
        <v>3</v>
      </c>
      <c r="D560">
        <f t="shared" si="26"/>
        <v>1</v>
      </c>
      <c r="E560" t="s">
        <v>322</v>
      </c>
      <c r="F560">
        <v>-50</v>
      </c>
      <c r="G560">
        <v>7.5</v>
      </c>
      <c r="H560">
        <v>7</v>
      </c>
      <c r="I560">
        <v>-93</v>
      </c>
      <c r="J560">
        <v>7.3026299999999997</v>
      </c>
      <c r="K560">
        <v>-30.263000000000002</v>
      </c>
    </row>
    <row r="561" spans="1:11" hidden="1" x14ac:dyDescent="0.35">
      <c r="A561" t="s">
        <v>274</v>
      </c>
      <c r="B561">
        <f t="shared" si="24"/>
        <v>2022</v>
      </c>
      <c r="C561">
        <f t="shared" si="25"/>
        <v>4</v>
      </c>
      <c r="D561">
        <f t="shared" si="26"/>
        <v>2</v>
      </c>
      <c r="E561" t="s">
        <v>322</v>
      </c>
      <c r="F561">
        <v>0</v>
      </c>
      <c r="G561">
        <v>7</v>
      </c>
      <c r="H561">
        <v>7</v>
      </c>
      <c r="I561">
        <v>0</v>
      </c>
      <c r="J561">
        <v>7</v>
      </c>
      <c r="K561">
        <v>0</v>
      </c>
    </row>
    <row r="562" spans="1:11" hidden="1" x14ac:dyDescent="0.35">
      <c r="A562" t="s">
        <v>275</v>
      </c>
      <c r="B562">
        <f t="shared" si="24"/>
        <v>2022</v>
      </c>
      <c r="C562">
        <f t="shared" si="25"/>
        <v>5</v>
      </c>
      <c r="D562">
        <f t="shared" si="26"/>
        <v>2</v>
      </c>
      <c r="E562" t="s">
        <v>322</v>
      </c>
      <c r="F562">
        <v>25</v>
      </c>
      <c r="G562">
        <v>8</v>
      </c>
      <c r="H562">
        <v>8.25</v>
      </c>
      <c r="I562">
        <v>51</v>
      </c>
      <c r="J562">
        <v>7.9411800000000001</v>
      </c>
      <c r="K562">
        <v>30.882000000000001</v>
      </c>
    </row>
    <row r="563" spans="1:11" hidden="1" x14ac:dyDescent="0.35">
      <c r="A563" t="s">
        <v>276</v>
      </c>
      <c r="B563">
        <f t="shared" si="24"/>
        <v>2022</v>
      </c>
      <c r="C563">
        <f t="shared" si="25"/>
        <v>6</v>
      </c>
      <c r="D563">
        <f t="shared" si="26"/>
        <v>2</v>
      </c>
      <c r="E563" t="s">
        <v>322</v>
      </c>
      <c r="F563">
        <v>0</v>
      </c>
      <c r="G563">
        <v>9</v>
      </c>
      <c r="H563">
        <v>9</v>
      </c>
      <c r="I563">
        <v>9</v>
      </c>
      <c r="J563">
        <v>9.09375</v>
      </c>
      <c r="K563">
        <v>-9.375</v>
      </c>
    </row>
    <row r="564" spans="1:11" hidden="1" x14ac:dyDescent="0.35">
      <c r="A564" t="s">
        <v>277</v>
      </c>
      <c r="B564">
        <f t="shared" si="24"/>
        <v>2022</v>
      </c>
      <c r="C564">
        <f t="shared" si="25"/>
        <v>7</v>
      </c>
      <c r="D564">
        <f t="shared" si="26"/>
        <v>3</v>
      </c>
      <c r="E564" t="s">
        <v>322</v>
      </c>
      <c r="F564">
        <v>25</v>
      </c>
      <c r="G564">
        <v>9.5</v>
      </c>
      <c r="H564">
        <v>9.75</v>
      </c>
      <c r="I564">
        <v>37</v>
      </c>
      <c r="J564">
        <v>9.6785700000000006</v>
      </c>
      <c r="K564">
        <v>7.1429999999999998</v>
      </c>
    </row>
    <row r="565" spans="1:11" hidden="1" x14ac:dyDescent="0.35">
      <c r="A565" t="s">
        <v>278</v>
      </c>
      <c r="B565">
        <f t="shared" si="24"/>
        <v>2022</v>
      </c>
      <c r="C565">
        <f t="shared" si="25"/>
        <v>8</v>
      </c>
      <c r="D565">
        <f t="shared" si="26"/>
        <v>3</v>
      </c>
      <c r="E565" t="s">
        <v>322</v>
      </c>
      <c r="F565">
        <v>0</v>
      </c>
      <c r="G565">
        <v>9.75</v>
      </c>
      <c r="H565">
        <v>9.75</v>
      </c>
      <c r="I565">
        <v>0</v>
      </c>
      <c r="J565">
        <v>9.75</v>
      </c>
      <c r="K565">
        <v>0</v>
      </c>
    </row>
    <row r="566" spans="1:11" hidden="1" x14ac:dyDescent="0.35">
      <c r="A566" t="s">
        <v>279</v>
      </c>
      <c r="B566">
        <f t="shared" si="24"/>
        <v>2022</v>
      </c>
      <c r="C566">
        <f t="shared" si="25"/>
        <v>9</v>
      </c>
      <c r="D566">
        <f t="shared" si="26"/>
        <v>3</v>
      </c>
      <c r="E566" t="s">
        <v>322</v>
      </c>
      <c r="F566">
        <v>25</v>
      </c>
      <c r="G566">
        <v>10.5</v>
      </c>
      <c r="H566">
        <v>10.75</v>
      </c>
      <c r="I566">
        <v>17</v>
      </c>
      <c r="J566">
        <v>10.4062</v>
      </c>
      <c r="K566">
        <v>34.380000000000003</v>
      </c>
    </row>
    <row r="567" spans="1:11" hidden="1" x14ac:dyDescent="0.35">
      <c r="A567" t="s">
        <v>280</v>
      </c>
      <c r="B567">
        <f t="shared" si="24"/>
        <v>2022</v>
      </c>
      <c r="C567">
        <f t="shared" si="25"/>
        <v>10</v>
      </c>
      <c r="D567">
        <f t="shared" si="26"/>
        <v>4</v>
      </c>
      <c r="E567" t="s">
        <v>322</v>
      </c>
      <c r="F567">
        <v>0</v>
      </c>
      <c r="G567">
        <v>11.25</v>
      </c>
      <c r="H567">
        <v>11.25</v>
      </c>
      <c r="I567">
        <v>-30</v>
      </c>
      <c r="J567">
        <v>11.1579</v>
      </c>
      <c r="K567">
        <v>9.2100000000000009</v>
      </c>
    </row>
    <row r="568" spans="1:11" hidden="1" x14ac:dyDescent="0.35">
      <c r="A568" t="s">
        <v>281</v>
      </c>
      <c r="B568">
        <f t="shared" si="24"/>
        <v>2022</v>
      </c>
      <c r="C568">
        <f t="shared" si="25"/>
        <v>11</v>
      </c>
      <c r="D568">
        <f t="shared" si="26"/>
        <v>4</v>
      </c>
      <c r="E568" t="s">
        <v>322</v>
      </c>
      <c r="F568">
        <v>0</v>
      </c>
      <c r="G568">
        <v>11.25</v>
      </c>
      <c r="H568">
        <v>11.25</v>
      </c>
      <c r="I568">
        <v>0</v>
      </c>
      <c r="J568">
        <v>11.25</v>
      </c>
      <c r="K568">
        <v>0</v>
      </c>
    </row>
    <row r="569" spans="1:11" hidden="1" x14ac:dyDescent="0.35">
      <c r="A569" t="s">
        <v>282</v>
      </c>
      <c r="B569">
        <f t="shared" si="24"/>
        <v>2022</v>
      </c>
      <c r="C569">
        <f t="shared" si="25"/>
        <v>12</v>
      </c>
      <c r="D569">
        <f t="shared" si="26"/>
        <v>4</v>
      </c>
      <c r="E569" t="s">
        <v>322</v>
      </c>
      <c r="F569">
        <v>0</v>
      </c>
      <c r="G569">
        <v>11.25</v>
      </c>
      <c r="H569">
        <v>11.25</v>
      </c>
      <c r="I569">
        <v>45</v>
      </c>
      <c r="J569">
        <v>11.25</v>
      </c>
      <c r="K569">
        <v>0</v>
      </c>
    </row>
    <row r="570" spans="1:11" hidden="1" x14ac:dyDescent="0.35">
      <c r="A570" t="s">
        <v>283</v>
      </c>
      <c r="B570">
        <f t="shared" si="24"/>
        <v>2023</v>
      </c>
      <c r="C570">
        <f t="shared" si="25"/>
        <v>1</v>
      </c>
      <c r="D570">
        <f t="shared" si="26"/>
        <v>1</v>
      </c>
      <c r="E570" t="s">
        <v>322</v>
      </c>
      <c r="F570">
        <v>0</v>
      </c>
      <c r="G570">
        <v>11.25</v>
      </c>
      <c r="H570">
        <v>11.25</v>
      </c>
      <c r="J570">
        <v>11.25</v>
      </c>
      <c r="K570">
        <v>0</v>
      </c>
    </row>
    <row r="571" spans="1:11" hidden="1" x14ac:dyDescent="0.35">
      <c r="A571" t="s">
        <v>284</v>
      </c>
      <c r="B571">
        <f t="shared" si="24"/>
        <v>2023</v>
      </c>
      <c r="C571">
        <f t="shared" si="25"/>
        <v>2</v>
      </c>
      <c r="D571">
        <f t="shared" si="26"/>
        <v>1</v>
      </c>
      <c r="E571" t="s">
        <v>322</v>
      </c>
      <c r="F571">
        <v>0</v>
      </c>
      <c r="G571">
        <v>11.25</v>
      </c>
      <c r="H571">
        <v>11.25</v>
      </c>
      <c r="J571">
        <v>11.25</v>
      </c>
      <c r="K571">
        <v>0</v>
      </c>
    </row>
    <row r="572" spans="1:11" hidden="1" x14ac:dyDescent="0.35">
      <c r="A572" t="s">
        <v>285</v>
      </c>
      <c r="B572">
        <f t="shared" si="24"/>
        <v>2023</v>
      </c>
      <c r="C572">
        <f t="shared" si="25"/>
        <v>3</v>
      </c>
      <c r="D572">
        <f t="shared" si="26"/>
        <v>1</v>
      </c>
      <c r="E572" t="s">
        <v>322</v>
      </c>
      <c r="F572">
        <v>0</v>
      </c>
      <c r="G572">
        <v>11.25</v>
      </c>
      <c r="H572">
        <v>11.25</v>
      </c>
      <c r="J572">
        <v>11.25</v>
      </c>
      <c r="K572">
        <v>0</v>
      </c>
    </row>
    <row r="573" spans="1:11" hidden="1" x14ac:dyDescent="0.35">
      <c r="A573" t="s">
        <v>286</v>
      </c>
      <c r="B573">
        <f t="shared" si="24"/>
        <v>2023</v>
      </c>
      <c r="C573">
        <f t="shared" si="25"/>
        <v>4</v>
      </c>
      <c r="D573">
        <f t="shared" si="26"/>
        <v>2</v>
      </c>
      <c r="E573" t="s">
        <v>322</v>
      </c>
      <c r="F573">
        <v>0</v>
      </c>
      <c r="G573">
        <v>11.25</v>
      </c>
      <c r="H573">
        <v>11.25</v>
      </c>
      <c r="J573">
        <v>11.25</v>
      </c>
      <c r="K573">
        <v>0</v>
      </c>
    </row>
    <row r="574" spans="1:11" hidden="1" x14ac:dyDescent="0.35">
      <c r="A574" t="s">
        <v>287</v>
      </c>
      <c r="B574">
        <f t="shared" si="24"/>
        <v>2023</v>
      </c>
      <c r="C574">
        <f t="shared" si="25"/>
        <v>5</v>
      </c>
      <c r="D574">
        <f t="shared" si="26"/>
        <v>2</v>
      </c>
      <c r="E574" t="s">
        <v>322</v>
      </c>
      <c r="F574">
        <v>0</v>
      </c>
      <c r="G574">
        <v>11.25</v>
      </c>
      <c r="H574">
        <v>11.25</v>
      </c>
      <c r="J574">
        <v>11.25</v>
      </c>
      <c r="K574">
        <v>0</v>
      </c>
    </row>
    <row r="575" spans="1:11" hidden="1" x14ac:dyDescent="0.35">
      <c r="A575" t="s">
        <v>288</v>
      </c>
      <c r="B575">
        <f t="shared" si="24"/>
        <v>2023</v>
      </c>
      <c r="C575">
        <f t="shared" si="25"/>
        <v>6</v>
      </c>
      <c r="D575">
        <f t="shared" si="26"/>
        <v>2</v>
      </c>
      <c r="E575" t="s">
        <v>322</v>
      </c>
      <c r="F575">
        <v>0</v>
      </c>
      <c r="G575">
        <v>11.25</v>
      </c>
      <c r="H575">
        <v>11.25</v>
      </c>
      <c r="J575">
        <v>11.237500000000001</v>
      </c>
      <c r="K575">
        <v>1.25</v>
      </c>
    </row>
    <row r="576" spans="1:11" hidden="1" x14ac:dyDescent="0.35">
      <c r="A576" t="s">
        <v>289</v>
      </c>
      <c r="B576">
        <f t="shared" si="24"/>
        <v>2023</v>
      </c>
      <c r="C576">
        <f t="shared" si="25"/>
        <v>7</v>
      </c>
      <c r="D576">
        <f t="shared" si="26"/>
        <v>3</v>
      </c>
      <c r="E576" t="s">
        <v>322</v>
      </c>
      <c r="F576">
        <v>-25</v>
      </c>
      <c r="G576">
        <v>10.5</v>
      </c>
      <c r="H576">
        <v>10.25</v>
      </c>
      <c r="J576">
        <v>10.509600000000001</v>
      </c>
      <c r="K576">
        <v>-25.96</v>
      </c>
    </row>
    <row r="577" spans="1:11" hidden="1" x14ac:dyDescent="0.35">
      <c r="A577" t="s">
        <v>290</v>
      </c>
      <c r="B577">
        <f t="shared" si="24"/>
        <v>2023</v>
      </c>
      <c r="C577">
        <f t="shared" si="25"/>
        <v>8</v>
      </c>
      <c r="D577">
        <f t="shared" si="26"/>
        <v>3</v>
      </c>
      <c r="E577" t="s">
        <v>322</v>
      </c>
      <c r="F577">
        <v>0</v>
      </c>
      <c r="G577">
        <v>10.25</v>
      </c>
      <c r="H577">
        <v>10.25</v>
      </c>
      <c r="J577">
        <v>10.25</v>
      </c>
      <c r="K577">
        <v>0</v>
      </c>
    </row>
    <row r="578" spans="1:11" hidden="1" x14ac:dyDescent="0.35">
      <c r="A578" t="s">
        <v>291</v>
      </c>
      <c r="B578">
        <f t="shared" si="24"/>
        <v>2023</v>
      </c>
      <c r="C578">
        <f t="shared" si="25"/>
        <v>9</v>
      </c>
      <c r="D578">
        <f t="shared" si="26"/>
        <v>3</v>
      </c>
      <c r="E578" t="s">
        <v>322</v>
      </c>
      <c r="F578">
        <v>0</v>
      </c>
      <c r="G578">
        <v>9.5</v>
      </c>
      <c r="H578">
        <v>9.5</v>
      </c>
      <c r="J578">
        <v>9.3977299999999993</v>
      </c>
      <c r="K578">
        <v>10.227</v>
      </c>
    </row>
    <row r="579" spans="1:11" hidden="1" x14ac:dyDescent="0.35">
      <c r="A579" t="s">
        <v>292</v>
      </c>
      <c r="B579">
        <f t="shared" ref="B579:B642" si="27">LEFT(A579,4)*1</f>
        <v>2023</v>
      </c>
      <c r="C579">
        <f t="shared" ref="C579:C642" si="28">MID(A579,6,2)*1</f>
        <v>10</v>
      </c>
      <c r="D579">
        <f t="shared" ref="D579:D642" si="29">ROUNDUP(C579/3,0)</f>
        <v>4</v>
      </c>
      <c r="E579" t="s">
        <v>322</v>
      </c>
      <c r="F579">
        <v>25</v>
      </c>
      <c r="G579">
        <v>8.75</v>
      </c>
      <c r="H579">
        <v>9</v>
      </c>
      <c r="J579">
        <v>8.7954500000000007</v>
      </c>
      <c r="K579">
        <v>20.454999999999998</v>
      </c>
    </row>
    <row r="580" spans="1:11" hidden="1" x14ac:dyDescent="0.35">
      <c r="A580" t="s">
        <v>293</v>
      </c>
      <c r="B580">
        <f t="shared" si="27"/>
        <v>2023</v>
      </c>
      <c r="C580">
        <f t="shared" si="28"/>
        <v>11</v>
      </c>
      <c r="D580">
        <f t="shared" si="29"/>
        <v>4</v>
      </c>
      <c r="E580" t="s">
        <v>322</v>
      </c>
      <c r="F580">
        <v>0</v>
      </c>
      <c r="G580">
        <v>9</v>
      </c>
      <c r="H580">
        <v>9</v>
      </c>
      <c r="J580">
        <v>9</v>
      </c>
      <c r="K580">
        <v>0</v>
      </c>
    </row>
    <row r="581" spans="1:11" hidden="1" x14ac:dyDescent="0.35">
      <c r="A581" t="s">
        <v>294</v>
      </c>
      <c r="B581">
        <f t="shared" si="27"/>
        <v>2023</v>
      </c>
      <c r="C581">
        <f t="shared" si="28"/>
        <v>12</v>
      </c>
      <c r="D581">
        <f t="shared" si="29"/>
        <v>4</v>
      </c>
      <c r="E581" t="s">
        <v>322</v>
      </c>
      <c r="F581">
        <v>0</v>
      </c>
      <c r="G581">
        <v>8.25</v>
      </c>
      <c r="H581">
        <v>8.25</v>
      </c>
      <c r="J581">
        <v>8.35</v>
      </c>
      <c r="K581">
        <v>-10</v>
      </c>
    </row>
    <row r="582" spans="1:11" hidden="1" x14ac:dyDescent="0.35">
      <c r="A582" t="s">
        <v>295</v>
      </c>
      <c r="B582">
        <f t="shared" si="27"/>
        <v>2024</v>
      </c>
      <c r="C582">
        <f t="shared" si="28"/>
        <v>1</v>
      </c>
      <c r="D582">
        <f t="shared" si="29"/>
        <v>1</v>
      </c>
      <c r="E582" t="s">
        <v>322</v>
      </c>
      <c r="F582">
        <v>0</v>
      </c>
      <c r="G582">
        <v>8.25</v>
      </c>
      <c r="H582">
        <v>8.25</v>
      </c>
      <c r="J582">
        <v>8.25</v>
      </c>
      <c r="K582">
        <v>0</v>
      </c>
    </row>
    <row r="583" spans="1:11" hidden="1" x14ac:dyDescent="0.35">
      <c r="A583" t="s">
        <v>296</v>
      </c>
      <c r="B583">
        <f t="shared" si="27"/>
        <v>2024</v>
      </c>
      <c r="C583">
        <f t="shared" si="28"/>
        <v>2</v>
      </c>
      <c r="D583">
        <f t="shared" si="29"/>
        <v>1</v>
      </c>
      <c r="E583" t="s">
        <v>322</v>
      </c>
      <c r="F583">
        <v>0</v>
      </c>
      <c r="G583">
        <v>7.25</v>
      </c>
      <c r="H583">
        <v>7.25</v>
      </c>
      <c r="J583">
        <v>7.2738100000000001</v>
      </c>
      <c r="K583">
        <v>-2.3809999999999998</v>
      </c>
    </row>
    <row r="584" spans="1:11" hidden="1" x14ac:dyDescent="0.35">
      <c r="A584" t="s">
        <v>297</v>
      </c>
      <c r="B584">
        <f t="shared" si="27"/>
        <v>2024</v>
      </c>
      <c r="C584">
        <f t="shared" si="28"/>
        <v>3</v>
      </c>
      <c r="D584">
        <f t="shared" si="29"/>
        <v>1</v>
      </c>
      <c r="E584" t="s">
        <v>322</v>
      </c>
      <c r="F584">
        <v>0</v>
      </c>
      <c r="G584">
        <v>7.25</v>
      </c>
      <c r="H584">
        <v>7.25</v>
      </c>
      <c r="J584">
        <v>7.25</v>
      </c>
      <c r="K584">
        <v>0</v>
      </c>
    </row>
    <row r="585" spans="1:11" hidden="1" x14ac:dyDescent="0.35">
      <c r="A585" t="s">
        <v>298</v>
      </c>
      <c r="B585">
        <f t="shared" si="27"/>
        <v>2024</v>
      </c>
      <c r="C585">
        <f t="shared" si="28"/>
        <v>4</v>
      </c>
      <c r="D585">
        <f t="shared" si="29"/>
        <v>2</v>
      </c>
      <c r="E585" t="s">
        <v>322</v>
      </c>
      <c r="F585">
        <v>0</v>
      </c>
      <c r="G585">
        <v>6.5</v>
      </c>
      <c r="H585">
        <v>6.5</v>
      </c>
      <c r="J585">
        <v>6.46739</v>
      </c>
      <c r="K585">
        <v>3.2610000000000001</v>
      </c>
    </row>
    <row r="586" spans="1:11" hidden="1" x14ac:dyDescent="0.35">
      <c r="A586" t="s">
        <v>299</v>
      </c>
      <c r="B586">
        <f t="shared" si="27"/>
        <v>2024</v>
      </c>
      <c r="C586">
        <f t="shared" si="28"/>
        <v>5</v>
      </c>
      <c r="D586">
        <f t="shared" si="29"/>
        <v>2</v>
      </c>
      <c r="E586" t="s">
        <v>322</v>
      </c>
      <c r="F586">
        <v>0</v>
      </c>
      <c r="G586">
        <v>6</v>
      </c>
      <c r="H586">
        <v>6</v>
      </c>
      <c r="J586">
        <v>6</v>
      </c>
      <c r="K586">
        <v>0</v>
      </c>
    </row>
    <row r="587" spans="1:11" hidden="1" x14ac:dyDescent="0.35">
      <c r="A587" t="s">
        <v>300</v>
      </c>
      <c r="B587">
        <f t="shared" si="27"/>
        <v>2024</v>
      </c>
      <c r="C587">
        <f t="shared" si="28"/>
        <v>6</v>
      </c>
      <c r="D587">
        <f t="shared" si="29"/>
        <v>2</v>
      </c>
      <c r="E587" t="s">
        <v>322</v>
      </c>
      <c r="F587">
        <v>0</v>
      </c>
      <c r="G587">
        <v>5.75</v>
      </c>
      <c r="H587">
        <v>5.75</v>
      </c>
      <c r="J587">
        <v>5.7023799999999998</v>
      </c>
      <c r="K587">
        <v>4.7619999999999996</v>
      </c>
    </row>
    <row r="588" spans="1:11" hidden="1" x14ac:dyDescent="0.35">
      <c r="A588" t="s">
        <v>301</v>
      </c>
      <c r="B588">
        <f t="shared" si="27"/>
        <v>2024</v>
      </c>
      <c r="C588">
        <f t="shared" si="28"/>
        <v>7</v>
      </c>
      <c r="D588">
        <f t="shared" si="29"/>
        <v>3</v>
      </c>
      <c r="E588" t="s">
        <v>322</v>
      </c>
      <c r="F588">
        <v>25</v>
      </c>
      <c r="G588">
        <v>5.5</v>
      </c>
      <c r="H588">
        <v>5.75</v>
      </c>
      <c r="J588">
        <v>5.55</v>
      </c>
      <c r="K588">
        <v>20</v>
      </c>
    </row>
    <row r="589" spans="1:11" hidden="1" x14ac:dyDescent="0.35">
      <c r="A589" t="s">
        <v>302</v>
      </c>
      <c r="B589">
        <f t="shared" si="27"/>
        <v>2024</v>
      </c>
      <c r="C589">
        <f t="shared" si="28"/>
        <v>8</v>
      </c>
      <c r="D589">
        <f t="shared" si="29"/>
        <v>3</v>
      </c>
      <c r="E589" t="s">
        <v>322</v>
      </c>
      <c r="F589">
        <v>0</v>
      </c>
      <c r="G589">
        <v>5.75</v>
      </c>
      <c r="H589">
        <v>5.75</v>
      </c>
      <c r="J589">
        <v>5.75</v>
      </c>
      <c r="K589">
        <v>0</v>
      </c>
    </row>
    <row r="590" spans="1:11" hidden="1" x14ac:dyDescent="0.35">
      <c r="A590" t="s">
        <v>303</v>
      </c>
      <c r="B590">
        <f t="shared" si="27"/>
        <v>2024</v>
      </c>
      <c r="C590">
        <f t="shared" si="28"/>
        <v>9</v>
      </c>
      <c r="D590">
        <f t="shared" si="29"/>
        <v>3</v>
      </c>
      <c r="E590" t="s">
        <v>322</v>
      </c>
      <c r="F590">
        <v>0</v>
      </c>
      <c r="G590">
        <v>5.5</v>
      </c>
      <c r="H590">
        <v>5.5</v>
      </c>
      <c r="J590">
        <v>5.53409</v>
      </c>
      <c r="K590">
        <v>-3.4089999999999998</v>
      </c>
    </row>
    <row r="591" spans="1:11" hidden="1" x14ac:dyDescent="0.35">
      <c r="A591" t="s">
        <v>304</v>
      </c>
      <c r="B591">
        <f t="shared" si="27"/>
        <v>2024</v>
      </c>
      <c r="C591">
        <f t="shared" si="28"/>
        <v>10</v>
      </c>
      <c r="D591">
        <f t="shared" si="29"/>
        <v>4</v>
      </c>
      <c r="E591" t="s">
        <v>322</v>
      </c>
      <c r="F591">
        <v>0</v>
      </c>
      <c r="G591">
        <v>5.25</v>
      </c>
      <c r="H591">
        <v>5.25</v>
      </c>
      <c r="J591">
        <v>5.25</v>
      </c>
      <c r="K591">
        <v>0</v>
      </c>
    </row>
    <row r="592" spans="1:11" hidden="1" x14ac:dyDescent="0.35">
      <c r="A592" t="s">
        <v>305</v>
      </c>
      <c r="B592">
        <f t="shared" si="27"/>
        <v>2024</v>
      </c>
      <c r="C592">
        <f t="shared" si="28"/>
        <v>11</v>
      </c>
      <c r="D592">
        <f t="shared" si="29"/>
        <v>4</v>
      </c>
      <c r="E592" t="s">
        <v>322</v>
      </c>
      <c r="F592">
        <v>0</v>
      </c>
      <c r="G592">
        <v>5.25</v>
      </c>
      <c r="H592">
        <v>5.25</v>
      </c>
      <c r="J592">
        <v>5.25</v>
      </c>
      <c r="K592">
        <v>0</v>
      </c>
    </row>
    <row r="593" spans="1:12" hidden="1" x14ac:dyDescent="0.35">
      <c r="A593" t="s">
        <v>306</v>
      </c>
      <c r="B593">
        <f t="shared" si="27"/>
        <v>2024</v>
      </c>
      <c r="C593">
        <f t="shared" si="28"/>
        <v>12</v>
      </c>
      <c r="D593">
        <f t="shared" si="29"/>
        <v>4</v>
      </c>
      <c r="E593" t="s">
        <v>322</v>
      </c>
      <c r="F593">
        <v>0</v>
      </c>
      <c r="G593">
        <v>5</v>
      </c>
      <c r="H593">
        <v>5</v>
      </c>
      <c r="J593">
        <v>5.03409</v>
      </c>
      <c r="K593">
        <v>-3.4089999999999998</v>
      </c>
    </row>
    <row r="594" spans="1:12" hidden="1" x14ac:dyDescent="0.35">
      <c r="A594" t="s">
        <v>307</v>
      </c>
      <c r="B594">
        <f t="shared" si="27"/>
        <v>2025</v>
      </c>
      <c r="C594">
        <f t="shared" si="28"/>
        <v>1</v>
      </c>
      <c r="D594">
        <f t="shared" si="29"/>
        <v>1</v>
      </c>
      <c r="E594" t="s">
        <v>322</v>
      </c>
      <c r="F594">
        <v>0</v>
      </c>
      <c r="G594">
        <v>5</v>
      </c>
      <c r="H594">
        <v>5</v>
      </c>
      <c r="J594">
        <v>5</v>
      </c>
      <c r="K594">
        <v>0</v>
      </c>
    </row>
    <row r="595" spans="1:12" hidden="1" x14ac:dyDescent="0.35">
      <c r="A595" t="s">
        <v>308</v>
      </c>
      <c r="B595">
        <f t="shared" si="27"/>
        <v>2025</v>
      </c>
      <c r="C595">
        <f t="shared" si="28"/>
        <v>2</v>
      </c>
      <c r="D595">
        <f t="shared" si="29"/>
        <v>1</v>
      </c>
      <c r="E595" t="s">
        <v>322</v>
      </c>
      <c r="F595">
        <v>0</v>
      </c>
      <c r="G595">
        <v>5</v>
      </c>
      <c r="H595">
        <v>5</v>
      </c>
      <c r="J595">
        <v>5</v>
      </c>
      <c r="K595">
        <v>0</v>
      </c>
    </row>
    <row r="596" spans="1:12" hidden="1" x14ac:dyDescent="0.35">
      <c r="A596" t="s">
        <v>309</v>
      </c>
      <c r="B596">
        <f t="shared" si="27"/>
        <v>2025</v>
      </c>
      <c r="C596">
        <f t="shared" si="28"/>
        <v>3</v>
      </c>
      <c r="D596">
        <f t="shared" si="29"/>
        <v>1</v>
      </c>
      <c r="E596" t="s">
        <v>322</v>
      </c>
      <c r="F596">
        <v>0</v>
      </c>
      <c r="G596">
        <v>5</v>
      </c>
      <c r="H596">
        <v>5</v>
      </c>
      <c r="J596">
        <v>5</v>
      </c>
      <c r="K596">
        <v>0</v>
      </c>
    </row>
    <row r="597" spans="1:12" hidden="1" x14ac:dyDescent="0.35">
      <c r="A597" t="s">
        <v>310</v>
      </c>
      <c r="B597">
        <f t="shared" si="27"/>
        <v>2025</v>
      </c>
      <c r="C597">
        <f t="shared" si="28"/>
        <v>4</v>
      </c>
      <c r="D597">
        <f t="shared" si="29"/>
        <v>2</v>
      </c>
      <c r="E597" t="s">
        <v>322</v>
      </c>
      <c r="F597">
        <v>0</v>
      </c>
      <c r="G597">
        <v>5</v>
      </c>
      <c r="H597">
        <v>5</v>
      </c>
      <c r="J597">
        <v>5</v>
      </c>
      <c r="K597">
        <v>0</v>
      </c>
    </row>
    <row r="598" spans="1:12" x14ac:dyDescent="0.35">
      <c r="A598" t="s">
        <v>33</v>
      </c>
      <c r="B598">
        <f t="shared" si="27"/>
        <v>2002</v>
      </c>
      <c r="C598">
        <f t="shared" si="28"/>
        <v>3</v>
      </c>
      <c r="D598">
        <f t="shared" si="29"/>
        <v>1</v>
      </c>
      <c r="E598" t="s">
        <v>323</v>
      </c>
      <c r="F598">
        <v>-0.25</v>
      </c>
      <c r="G598">
        <v>7.5</v>
      </c>
      <c r="H598">
        <v>7.25</v>
      </c>
      <c r="J598">
        <v>7.5333300000000003</v>
      </c>
      <c r="K598">
        <v>-0.28333000000000003</v>
      </c>
      <c r="L598">
        <v>-0.6885</v>
      </c>
    </row>
    <row r="599" spans="1:12" x14ac:dyDescent="0.35">
      <c r="A599" t="s">
        <v>34</v>
      </c>
      <c r="B599">
        <f t="shared" si="27"/>
        <v>2002</v>
      </c>
      <c r="C599">
        <f t="shared" si="28"/>
        <v>4</v>
      </c>
      <c r="D599">
        <f t="shared" si="29"/>
        <v>2</v>
      </c>
      <c r="E599" t="s">
        <v>323</v>
      </c>
      <c r="F599">
        <v>-0.5</v>
      </c>
      <c r="G599">
        <v>6.75</v>
      </c>
      <c r="H599">
        <v>6.25</v>
      </c>
      <c r="J599">
        <v>6.75</v>
      </c>
      <c r="K599">
        <v>-0.5</v>
      </c>
      <c r="L599">
        <v>-0.57296999999999998</v>
      </c>
    </row>
    <row r="600" spans="1:12" x14ac:dyDescent="0.35">
      <c r="A600" t="s">
        <v>35</v>
      </c>
      <c r="B600">
        <f t="shared" si="27"/>
        <v>2002</v>
      </c>
      <c r="C600">
        <f t="shared" si="28"/>
        <v>5</v>
      </c>
      <c r="D600">
        <f t="shared" si="29"/>
        <v>2</v>
      </c>
      <c r="E600" t="s">
        <v>323</v>
      </c>
      <c r="F600">
        <v>-0.25</v>
      </c>
      <c r="G600">
        <v>6</v>
      </c>
      <c r="H600">
        <v>5.75</v>
      </c>
      <c r="J600">
        <v>6.0555599999999998</v>
      </c>
      <c r="K600">
        <v>-0.30556</v>
      </c>
      <c r="L600">
        <v>-0.49603999999999998</v>
      </c>
    </row>
    <row r="601" spans="1:12" x14ac:dyDescent="0.35">
      <c r="A601" t="s">
        <v>36</v>
      </c>
      <c r="B601">
        <f t="shared" si="27"/>
        <v>2002</v>
      </c>
      <c r="C601">
        <f t="shared" si="28"/>
        <v>6</v>
      </c>
      <c r="D601">
        <f t="shared" si="29"/>
        <v>2</v>
      </c>
      <c r="E601" t="s">
        <v>323</v>
      </c>
      <c r="F601">
        <v>0</v>
      </c>
      <c r="G601">
        <v>5.25</v>
      </c>
      <c r="H601">
        <v>5.25</v>
      </c>
      <c r="J601">
        <v>5.3958300000000001</v>
      </c>
      <c r="K601">
        <v>-0.14582999999999999</v>
      </c>
      <c r="L601">
        <v>-0.31707999999999997</v>
      </c>
    </row>
    <row r="602" spans="1:12" x14ac:dyDescent="0.35">
      <c r="A602" t="s">
        <v>37</v>
      </c>
      <c r="B602">
        <f t="shared" si="27"/>
        <v>2002</v>
      </c>
      <c r="C602">
        <f t="shared" si="28"/>
        <v>7</v>
      </c>
      <c r="D602">
        <f t="shared" si="29"/>
        <v>3</v>
      </c>
      <c r="E602" t="s">
        <v>323</v>
      </c>
      <c r="F602">
        <v>0</v>
      </c>
      <c r="G602">
        <v>5.25</v>
      </c>
      <c r="H602">
        <v>5.25</v>
      </c>
      <c r="J602">
        <v>5.25</v>
      </c>
      <c r="K602">
        <v>0</v>
      </c>
      <c r="L602">
        <v>-0.37217</v>
      </c>
    </row>
    <row r="603" spans="1:12" x14ac:dyDescent="0.35">
      <c r="A603" t="s">
        <v>38</v>
      </c>
      <c r="B603">
        <f t="shared" si="27"/>
        <v>2002</v>
      </c>
      <c r="C603">
        <f t="shared" si="28"/>
        <v>8</v>
      </c>
      <c r="D603">
        <f t="shared" si="29"/>
        <v>3</v>
      </c>
      <c r="E603" t="s">
        <v>323</v>
      </c>
      <c r="F603">
        <v>0</v>
      </c>
      <c r="G603">
        <v>5.25</v>
      </c>
      <c r="H603">
        <v>5.25</v>
      </c>
      <c r="J603">
        <v>5.25</v>
      </c>
      <c r="K603">
        <v>0</v>
      </c>
      <c r="L603">
        <v>-4.7213999999999999E-2</v>
      </c>
    </row>
    <row r="604" spans="1:12" x14ac:dyDescent="0.35">
      <c r="A604" t="s">
        <v>39</v>
      </c>
      <c r="B604">
        <f t="shared" si="27"/>
        <v>2002</v>
      </c>
      <c r="C604">
        <f t="shared" si="28"/>
        <v>9</v>
      </c>
      <c r="D604">
        <f t="shared" si="29"/>
        <v>3</v>
      </c>
      <c r="E604" t="s">
        <v>323</v>
      </c>
      <c r="F604">
        <v>0</v>
      </c>
      <c r="G604">
        <v>5.25</v>
      </c>
      <c r="H604">
        <v>5.25</v>
      </c>
      <c r="J604">
        <v>5.25</v>
      </c>
      <c r="K604">
        <v>0</v>
      </c>
      <c r="L604">
        <v>-8.2170000000000007E-2</v>
      </c>
    </row>
    <row r="605" spans="1:12" x14ac:dyDescent="0.35">
      <c r="A605" t="s">
        <v>40</v>
      </c>
      <c r="B605">
        <f t="shared" si="27"/>
        <v>2002</v>
      </c>
      <c r="C605">
        <f t="shared" si="28"/>
        <v>10</v>
      </c>
      <c r="D605">
        <f t="shared" si="29"/>
        <v>4</v>
      </c>
      <c r="E605" t="s">
        <v>323</v>
      </c>
      <c r="F605">
        <v>0</v>
      </c>
      <c r="G605">
        <v>5.25</v>
      </c>
      <c r="H605">
        <v>5.25</v>
      </c>
      <c r="J605">
        <v>5.25</v>
      </c>
      <c r="K605">
        <v>0</v>
      </c>
      <c r="L605">
        <v>-0.17102000000000001</v>
      </c>
    </row>
    <row r="606" spans="1:12" x14ac:dyDescent="0.35">
      <c r="A606" t="s">
        <v>41</v>
      </c>
      <c r="B606">
        <f t="shared" si="27"/>
        <v>2002</v>
      </c>
      <c r="C606">
        <f t="shared" si="28"/>
        <v>11</v>
      </c>
      <c r="D606">
        <f t="shared" si="29"/>
        <v>4</v>
      </c>
      <c r="E606" t="s">
        <v>323</v>
      </c>
      <c r="F606">
        <v>0</v>
      </c>
      <c r="G606">
        <v>5.25</v>
      </c>
      <c r="H606">
        <v>5.25</v>
      </c>
      <c r="J606">
        <v>5.25</v>
      </c>
      <c r="K606">
        <v>0</v>
      </c>
      <c r="L606">
        <v>-9.4044000000000003E-2</v>
      </c>
    </row>
    <row r="607" spans="1:12" x14ac:dyDescent="0.35">
      <c r="A607" t="s">
        <v>42</v>
      </c>
      <c r="B607">
        <f t="shared" si="27"/>
        <v>2002</v>
      </c>
      <c r="C607">
        <f t="shared" si="28"/>
        <v>12</v>
      </c>
      <c r="D607">
        <f t="shared" si="29"/>
        <v>4</v>
      </c>
      <c r="E607" t="s">
        <v>323</v>
      </c>
      <c r="F607">
        <v>0</v>
      </c>
      <c r="G607">
        <v>5.25</v>
      </c>
      <c r="H607">
        <v>5.25</v>
      </c>
      <c r="J607">
        <v>5.25</v>
      </c>
      <c r="K607">
        <v>0</v>
      </c>
      <c r="L607">
        <v>-0.12640000000000001</v>
      </c>
    </row>
    <row r="608" spans="1:12" x14ac:dyDescent="0.35">
      <c r="A608" t="s">
        <v>43</v>
      </c>
      <c r="B608">
        <f t="shared" si="27"/>
        <v>2003</v>
      </c>
      <c r="C608">
        <f t="shared" si="28"/>
        <v>1</v>
      </c>
      <c r="D608">
        <f t="shared" si="29"/>
        <v>1</v>
      </c>
      <c r="E608" t="s">
        <v>323</v>
      </c>
      <c r="F608">
        <v>0</v>
      </c>
      <c r="G608">
        <v>6.25</v>
      </c>
      <c r="H608">
        <v>6.25</v>
      </c>
      <c r="J608">
        <v>6.25</v>
      </c>
      <c r="K608">
        <v>0</v>
      </c>
      <c r="L608">
        <v>0.54706999999999995</v>
      </c>
    </row>
    <row r="609" spans="1:12" x14ac:dyDescent="0.35">
      <c r="A609" t="s">
        <v>44</v>
      </c>
      <c r="B609">
        <f t="shared" si="27"/>
        <v>2003</v>
      </c>
      <c r="C609">
        <f t="shared" si="28"/>
        <v>2</v>
      </c>
      <c r="D609">
        <f t="shared" si="29"/>
        <v>1</v>
      </c>
      <c r="E609" t="s">
        <v>323</v>
      </c>
      <c r="F609">
        <v>0</v>
      </c>
      <c r="G609">
        <v>6.25</v>
      </c>
      <c r="H609">
        <v>6.25</v>
      </c>
      <c r="J609">
        <v>6.25</v>
      </c>
      <c r="K609">
        <v>0</v>
      </c>
      <c r="L609">
        <v>-0.10251</v>
      </c>
    </row>
    <row r="610" spans="1:12" x14ac:dyDescent="0.35">
      <c r="A610" t="s">
        <v>45</v>
      </c>
      <c r="B610">
        <f t="shared" si="27"/>
        <v>2003</v>
      </c>
      <c r="C610">
        <f t="shared" si="28"/>
        <v>3</v>
      </c>
      <c r="D610">
        <f t="shared" si="29"/>
        <v>1</v>
      </c>
      <c r="E610" t="s">
        <v>323</v>
      </c>
      <c r="F610">
        <v>0</v>
      </c>
      <c r="G610">
        <v>6.25</v>
      </c>
      <c r="H610">
        <v>6.25</v>
      </c>
      <c r="J610">
        <v>6.25</v>
      </c>
      <c r="K610">
        <v>0</v>
      </c>
      <c r="L610">
        <v>-0.12884999999999999</v>
      </c>
    </row>
    <row r="611" spans="1:12" x14ac:dyDescent="0.35">
      <c r="A611" t="s">
        <v>46</v>
      </c>
      <c r="B611">
        <f t="shared" si="27"/>
        <v>2003</v>
      </c>
      <c r="C611">
        <f t="shared" si="28"/>
        <v>4</v>
      </c>
      <c r="D611">
        <f t="shared" si="29"/>
        <v>2</v>
      </c>
      <c r="E611" t="s">
        <v>323</v>
      </c>
      <c r="F611">
        <v>0.25</v>
      </c>
      <c r="G611">
        <v>7</v>
      </c>
      <c r="H611">
        <v>7.25</v>
      </c>
      <c r="J611">
        <v>7</v>
      </c>
      <c r="K611">
        <v>0.25</v>
      </c>
      <c r="L611">
        <v>0.37785000000000002</v>
      </c>
    </row>
    <row r="612" spans="1:12" x14ac:dyDescent="0.35">
      <c r="A612" t="s">
        <v>47</v>
      </c>
      <c r="B612">
        <f t="shared" si="27"/>
        <v>2003</v>
      </c>
      <c r="C612">
        <f t="shared" si="28"/>
        <v>5</v>
      </c>
      <c r="D612">
        <f t="shared" si="29"/>
        <v>2</v>
      </c>
      <c r="E612" t="s">
        <v>323</v>
      </c>
      <c r="F612">
        <v>0</v>
      </c>
      <c r="G612">
        <v>7.25</v>
      </c>
      <c r="H612">
        <v>7.25</v>
      </c>
      <c r="J612">
        <v>7.25</v>
      </c>
      <c r="K612">
        <v>0</v>
      </c>
      <c r="L612">
        <v>-0.15742</v>
      </c>
    </row>
    <row r="613" spans="1:12" x14ac:dyDescent="0.35">
      <c r="A613" t="s">
        <v>48</v>
      </c>
      <c r="B613">
        <f t="shared" si="27"/>
        <v>2003</v>
      </c>
      <c r="C613">
        <f t="shared" si="28"/>
        <v>6</v>
      </c>
      <c r="D613">
        <f t="shared" si="29"/>
        <v>2</v>
      </c>
      <c r="E613" t="s">
        <v>323</v>
      </c>
      <c r="F613">
        <v>0</v>
      </c>
      <c r="G613">
        <v>7.25</v>
      </c>
      <c r="H613">
        <v>7.25</v>
      </c>
      <c r="J613">
        <v>7.25</v>
      </c>
      <c r="K613">
        <v>0</v>
      </c>
      <c r="L613">
        <v>-0.21539</v>
      </c>
    </row>
    <row r="614" spans="1:12" x14ac:dyDescent="0.35">
      <c r="A614" t="s">
        <v>49</v>
      </c>
      <c r="B614">
        <f t="shared" si="27"/>
        <v>2003</v>
      </c>
      <c r="C614">
        <f t="shared" si="28"/>
        <v>7</v>
      </c>
      <c r="D614">
        <f t="shared" si="29"/>
        <v>3</v>
      </c>
      <c r="E614" t="s">
        <v>323</v>
      </c>
      <c r="F614">
        <v>0</v>
      </c>
      <c r="G614">
        <v>7.25</v>
      </c>
      <c r="H614">
        <v>7.25</v>
      </c>
      <c r="J614">
        <v>7.25</v>
      </c>
      <c r="K614">
        <v>0</v>
      </c>
      <c r="L614">
        <v>9.1651999999999997E-2</v>
      </c>
    </row>
    <row r="615" spans="1:12" x14ac:dyDescent="0.35">
      <c r="A615" t="s">
        <v>50</v>
      </c>
      <c r="B615">
        <f t="shared" si="27"/>
        <v>2003</v>
      </c>
      <c r="C615">
        <f t="shared" si="28"/>
        <v>8</v>
      </c>
      <c r="D615">
        <f t="shared" si="29"/>
        <v>3</v>
      </c>
      <c r="E615" t="s">
        <v>323</v>
      </c>
      <c r="F615">
        <v>0</v>
      </c>
      <c r="G615">
        <v>7.25</v>
      </c>
      <c r="H615">
        <v>7.25</v>
      </c>
      <c r="J615">
        <v>7.25</v>
      </c>
      <c r="K615">
        <v>0</v>
      </c>
      <c r="L615">
        <v>-8.5855999999999997E-4</v>
      </c>
    </row>
    <row r="616" spans="1:12" x14ac:dyDescent="0.35">
      <c r="A616" t="s">
        <v>51</v>
      </c>
      <c r="B616">
        <f t="shared" si="27"/>
        <v>2003</v>
      </c>
      <c r="C616">
        <f t="shared" si="28"/>
        <v>9</v>
      </c>
      <c r="D616">
        <f t="shared" si="29"/>
        <v>3</v>
      </c>
      <c r="E616" t="s">
        <v>323</v>
      </c>
      <c r="F616">
        <v>0</v>
      </c>
      <c r="G616">
        <v>7.25</v>
      </c>
      <c r="H616">
        <v>7.25</v>
      </c>
      <c r="J616">
        <v>7.25</v>
      </c>
      <c r="K616">
        <v>0</v>
      </c>
      <c r="L616">
        <v>-1.226E-2</v>
      </c>
    </row>
    <row r="617" spans="1:12" x14ac:dyDescent="0.35">
      <c r="A617" t="s">
        <v>52</v>
      </c>
      <c r="B617">
        <f t="shared" si="27"/>
        <v>2003</v>
      </c>
      <c r="C617">
        <f t="shared" si="28"/>
        <v>10</v>
      </c>
      <c r="D617">
        <f t="shared" si="29"/>
        <v>4</v>
      </c>
      <c r="E617" t="s">
        <v>323</v>
      </c>
      <c r="F617">
        <v>0</v>
      </c>
      <c r="G617">
        <v>7.25</v>
      </c>
      <c r="H617">
        <v>7.25</v>
      </c>
      <c r="J617">
        <v>7.3055599999999998</v>
      </c>
      <c r="K617">
        <v>-5.5559999999999998E-2</v>
      </c>
      <c r="L617">
        <v>-4.2604000000000003E-2</v>
      </c>
    </row>
    <row r="618" spans="1:12" x14ac:dyDescent="0.35">
      <c r="A618" t="s">
        <v>53</v>
      </c>
      <c r="B618">
        <f t="shared" si="27"/>
        <v>2003</v>
      </c>
      <c r="C618">
        <f t="shared" si="28"/>
        <v>11</v>
      </c>
      <c r="D618">
        <f t="shared" si="29"/>
        <v>4</v>
      </c>
      <c r="E618" t="s">
        <v>323</v>
      </c>
      <c r="F618">
        <v>0</v>
      </c>
      <c r="G618">
        <v>7.25</v>
      </c>
      <c r="H618">
        <v>7.25</v>
      </c>
      <c r="J618">
        <v>7.25</v>
      </c>
      <c r="K618">
        <v>0</v>
      </c>
      <c r="L618">
        <v>3.3797999999999999E-4</v>
      </c>
    </row>
    <row r="619" spans="1:12" x14ac:dyDescent="0.35">
      <c r="A619" t="s">
        <v>54</v>
      </c>
      <c r="B619">
        <f t="shared" si="27"/>
        <v>2003</v>
      </c>
      <c r="C619">
        <f t="shared" si="28"/>
        <v>12</v>
      </c>
      <c r="D619">
        <f t="shared" si="29"/>
        <v>4</v>
      </c>
      <c r="E619" t="s">
        <v>323</v>
      </c>
      <c r="F619">
        <v>0</v>
      </c>
      <c r="G619">
        <v>7.25</v>
      </c>
      <c r="H619">
        <v>7.25</v>
      </c>
      <c r="J619">
        <v>7.25</v>
      </c>
      <c r="K619">
        <v>0</v>
      </c>
      <c r="L619">
        <v>-0.10245</v>
      </c>
    </row>
    <row r="620" spans="1:12" x14ac:dyDescent="0.35">
      <c r="A620" t="s">
        <v>55</v>
      </c>
      <c r="B620">
        <f t="shared" si="27"/>
        <v>2004</v>
      </c>
      <c r="C620">
        <f t="shared" si="28"/>
        <v>1</v>
      </c>
      <c r="D620">
        <f t="shared" si="29"/>
        <v>1</v>
      </c>
      <c r="E620" t="s">
        <v>323</v>
      </c>
      <c r="F620">
        <v>0</v>
      </c>
      <c r="G620">
        <v>7.25</v>
      </c>
      <c r="H620">
        <v>7.25</v>
      </c>
      <c r="J620">
        <v>7.25</v>
      </c>
      <c r="K620">
        <v>0</v>
      </c>
      <c r="L620">
        <v>-5.4495000000000002E-2</v>
      </c>
    </row>
    <row r="621" spans="1:12" x14ac:dyDescent="0.35">
      <c r="A621" t="s">
        <v>56</v>
      </c>
      <c r="B621">
        <f t="shared" si="27"/>
        <v>2004</v>
      </c>
      <c r="C621">
        <f t="shared" si="28"/>
        <v>2</v>
      </c>
      <c r="D621">
        <f t="shared" si="29"/>
        <v>1</v>
      </c>
      <c r="E621" t="s">
        <v>323</v>
      </c>
      <c r="F621">
        <v>0</v>
      </c>
      <c r="G621">
        <v>7</v>
      </c>
      <c r="H621">
        <v>7</v>
      </c>
      <c r="J621">
        <v>7</v>
      </c>
      <c r="K621">
        <v>0</v>
      </c>
      <c r="L621">
        <v>-0.20965</v>
      </c>
    </row>
    <row r="622" spans="1:12" x14ac:dyDescent="0.35">
      <c r="A622" t="s">
        <v>57</v>
      </c>
      <c r="B622">
        <f t="shared" si="27"/>
        <v>2004</v>
      </c>
      <c r="C622">
        <f t="shared" si="28"/>
        <v>3</v>
      </c>
      <c r="D622">
        <f t="shared" si="29"/>
        <v>1</v>
      </c>
      <c r="E622" t="s">
        <v>323</v>
      </c>
      <c r="F622">
        <v>0.25</v>
      </c>
      <c r="G622">
        <v>6.5</v>
      </c>
      <c r="H622">
        <v>6.75</v>
      </c>
      <c r="J622">
        <v>6.6195700000000004</v>
      </c>
      <c r="K622">
        <v>0.13042999999999999</v>
      </c>
      <c r="L622">
        <v>-0.37280000000000002</v>
      </c>
    </row>
    <row r="623" spans="1:12" x14ac:dyDescent="0.35">
      <c r="A623" t="s">
        <v>58</v>
      </c>
      <c r="B623">
        <f t="shared" si="27"/>
        <v>2004</v>
      </c>
      <c r="C623">
        <f t="shared" si="28"/>
        <v>4</v>
      </c>
      <c r="D623">
        <f t="shared" si="29"/>
        <v>2</v>
      </c>
      <c r="E623" t="s">
        <v>323</v>
      </c>
      <c r="F623">
        <v>0</v>
      </c>
      <c r="G623">
        <v>6.75</v>
      </c>
      <c r="H623">
        <v>6.75</v>
      </c>
      <c r="J623">
        <v>6.6309500000000003</v>
      </c>
      <c r="K623">
        <v>0.11905</v>
      </c>
      <c r="L623">
        <v>-0.33282</v>
      </c>
    </row>
    <row r="624" spans="1:12" x14ac:dyDescent="0.35">
      <c r="A624" t="s">
        <v>59</v>
      </c>
      <c r="B624">
        <f t="shared" si="27"/>
        <v>2004</v>
      </c>
      <c r="C624">
        <f t="shared" si="28"/>
        <v>5</v>
      </c>
      <c r="D624">
        <f t="shared" si="29"/>
        <v>2</v>
      </c>
      <c r="E624" t="s">
        <v>323</v>
      </c>
      <c r="F624">
        <v>0</v>
      </c>
      <c r="G624">
        <v>6.75</v>
      </c>
      <c r="H624">
        <v>6.75</v>
      </c>
      <c r="J624">
        <v>6.75</v>
      </c>
      <c r="K624">
        <v>0</v>
      </c>
      <c r="L624">
        <v>-3.3223000000000003E-2</v>
      </c>
    </row>
    <row r="625" spans="1:12" x14ac:dyDescent="0.35">
      <c r="A625" t="s">
        <v>60</v>
      </c>
      <c r="B625">
        <f t="shared" si="27"/>
        <v>2004</v>
      </c>
      <c r="C625">
        <f t="shared" si="28"/>
        <v>6</v>
      </c>
      <c r="D625">
        <f t="shared" si="29"/>
        <v>2</v>
      </c>
      <c r="E625" t="s">
        <v>323</v>
      </c>
      <c r="F625">
        <v>0</v>
      </c>
      <c r="G625">
        <v>6.75</v>
      </c>
      <c r="H625">
        <v>6.75</v>
      </c>
      <c r="J625">
        <v>6.7333299999999996</v>
      </c>
      <c r="K625">
        <v>1.6670000000000001E-2</v>
      </c>
      <c r="L625">
        <v>3.6015999999999999E-2</v>
      </c>
    </row>
    <row r="626" spans="1:12" x14ac:dyDescent="0.35">
      <c r="A626" t="s">
        <v>61</v>
      </c>
      <c r="B626">
        <f t="shared" si="27"/>
        <v>2004</v>
      </c>
      <c r="C626">
        <f t="shared" si="28"/>
        <v>7</v>
      </c>
      <c r="D626">
        <f t="shared" si="29"/>
        <v>3</v>
      </c>
      <c r="E626" t="s">
        <v>323</v>
      </c>
      <c r="F626">
        <v>0</v>
      </c>
      <c r="G626">
        <v>6.75</v>
      </c>
      <c r="H626">
        <v>6.75</v>
      </c>
      <c r="J626">
        <v>6.77</v>
      </c>
      <c r="K626">
        <v>-0.02</v>
      </c>
      <c r="L626">
        <v>-0.27705000000000002</v>
      </c>
    </row>
    <row r="627" spans="1:12" x14ac:dyDescent="0.35">
      <c r="A627" t="s">
        <v>62</v>
      </c>
      <c r="B627">
        <f t="shared" si="27"/>
        <v>2004</v>
      </c>
      <c r="C627">
        <f t="shared" si="28"/>
        <v>8</v>
      </c>
      <c r="D627">
        <f t="shared" si="29"/>
        <v>3</v>
      </c>
      <c r="E627" t="s">
        <v>323</v>
      </c>
      <c r="F627">
        <v>0</v>
      </c>
      <c r="G627">
        <v>6.75</v>
      </c>
      <c r="H627">
        <v>6.75</v>
      </c>
      <c r="J627">
        <v>6.7954499999999998</v>
      </c>
      <c r="K627">
        <v>-4.5449999999999997E-2</v>
      </c>
      <c r="L627">
        <v>-8.3491999999999997E-2</v>
      </c>
    </row>
    <row r="628" spans="1:12" x14ac:dyDescent="0.35">
      <c r="A628" t="s">
        <v>63</v>
      </c>
      <c r="B628">
        <f t="shared" si="27"/>
        <v>2004</v>
      </c>
      <c r="C628">
        <f t="shared" si="28"/>
        <v>9</v>
      </c>
      <c r="D628">
        <f t="shared" si="29"/>
        <v>3</v>
      </c>
      <c r="E628" t="s">
        <v>323</v>
      </c>
      <c r="F628">
        <v>0</v>
      </c>
      <c r="G628">
        <v>6.75</v>
      </c>
      <c r="H628">
        <v>6.75</v>
      </c>
      <c r="J628">
        <v>6.75</v>
      </c>
      <c r="K628">
        <v>0</v>
      </c>
      <c r="L628">
        <v>-2.9019E-2</v>
      </c>
    </row>
    <row r="629" spans="1:12" x14ac:dyDescent="0.35">
      <c r="A629" t="s">
        <v>64</v>
      </c>
      <c r="B629">
        <f t="shared" si="27"/>
        <v>2004</v>
      </c>
      <c r="C629">
        <f t="shared" si="28"/>
        <v>10</v>
      </c>
      <c r="D629">
        <f t="shared" si="29"/>
        <v>4</v>
      </c>
      <c r="E629" t="s">
        <v>323</v>
      </c>
      <c r="F629">
        <v>0</v>
      </c>
      <c r="G629">
        <v>6.75</v>
      </c>
      <c r="H629">
        <v>6.75</v>
      </c>
      <c r="J629">
        <v>6.75</v>
      </c>
      <c r="K629">
        <v>0</v>
      </c>
      <c r="L629">
        <v>0.10650999999999999</v>
      </c>
    </row>
    <row r="630" spans="1:12" x14ac:dyDescent="0.35">
      <c r="A630" t="s">
        <v>65</v>
      </c>
      <c r="B630">
        <f t="shared" si="27"/>
        <v>2004</v>
      </c>
      <c r="C630">
        <f t="shared" si="28"/>
        <v>11</v>
      </c>
      <c r="D630">
        <f t="shared" si="29"/>
        <v>4</v>
      </c>
      <c r="E630" t="s">
        <v>323</v>
      </c>
      <c r="F630">
        <v>0</v>
      </c>
      <c r="G630">
        <v>6.75</v>
      </c>
      <c r="H630">
        <v>6.75</v>
      </c>
      <c r="J630">
        <v>6.75</v>
      </c>
      <c r="K630">
        <v>0</v>
      </c>
      <c r="L630">
        <v>-1.2309E-2</v>
      </c>
    </row>
    <row r="631" spans="1:12" x14ac:dyDescent="0.35">
      <c r="A631" t="s">
        <v>66</v>
      </c>
      <c r="B631">
        <f t="shared" si="27"/>
        <v>2004</v>
      </c>
      <c r="C631">
        <f t="shared" si="28"/>
        <v>12</v>
      </c>
      <c r="D631">
        <f t="shared" si="29"/>
        <v>4</v>
      </c>
      <c r="E631" t="s">
        <v>323</v>
      </c>
      <c r="F631">
        <v>-0.25</v>
      </c>
      <c r="G631">
        <v>6.75</v>
      </c>
      <c r="H631">
        <v>6.5</v>
      </c>
      <c r="J631">
        <v>6.75</v>
      </c>
      <c r="K631">
        <v>-0.25</v>
      </c>
      <c r="L631">
        <v>-7.7504000000000003E-2</v>
      </c>
    </row>
    <row r="632" spans="1:12" x14ac:dyDescent="0.35">
      <c r="A632" t="s">
        <v>67</v>
      </c>
      <c r="B632">
        <f t="shared" si="27"/>
        <v>2005</v>
      </c>
      <c r="C632">
        <f t="shared" si="28"/>
        <v>1</v>
      </c>
      <c r="D632">
        <f t="shared" si="29"/>
        <v>1</v>
      </c>
      <c r="E632" t="s">
        <v>323</v>
      </c>
      <c r="F632">
        <v>0</v>
      </c>
      <c r="G632">
        <v>6.5</v>
      </c>
      <c r="H632">
        <v>6.5</v>
      </c>
      <c r="J632">
        <v>6.5</v>
      </c>
      <c r="K632">
        <v>0</v>
      </c>
      <c r="L632">
        <v>1.3701E-3</v>
      </c>
    </row>
    <row r="633" spans="1:12" x14ac:dyDescent="0.35">
      <c r="A633" t="s">
        <v>68</v>
      </c>
      <c r="B633">
        <f t="shared" si="27"/>
        <v>2005</v>
      </c>
      <c r="C633">
        <f t="shared" si="28"/>
        <v>2</v>
      </c>
      <c r="D633">
        <f t="shared" si="29"/>
        <v>1</v>
      </c>
      <c r="E633" t="s">
        <v>323</v>
      </c>
      <c r="F633">
        <v>0</v>
      </c>
      <c r="G633">
        <v>6.5</v>
      </c>
      <c r="H633">
        <v>6.5</v>
      </c>
      <c r="J633">
        <v>6.5</v>
      </c>
      <c r="K633">
        <v>0</v>
      </c>
      <c r="L633">
        <v>4.4045000000000001E-2</v>
      </c>
    </row>
    <row r="634" spans="1:12" x14ac:dyDescent="0.35">
      <c r="A634" t="s">
        <v>69</v>
      </c>
      <c r="B634">
        <f t="shared" si="27"/>
        <v>2005</v>
      </c>
      <c r="C634">
        <f t="shared" si="28"/>
        <v>3</v>
      </c>
      <c r="D634">
        <f t="shared" si="29"/>
        <v>1</v>
      </c>
      <c r="E634" t="s">
        <v>323</v>
      </c>
      <c r="F634">
        <v>0</v>
      </c>
      <c r="G634">
        <v>6.5</v>
      </c>
      <c r="H634">
        <v>6.5</v>
      </c>
      <c r="J634">
        <v>6.4821400000000002</v>
      </c>
      <c r="K634">
        <v>1.7860000000000001E-2</v>
      </c>
      <c r="L634">
        <v>-3.2427999999999998E-2</v>
      </c>
    </row>
    <row r="635" spans="1:12" x14ac:dyDescent="0.35">
      <c r="A635" t="s">
        <v>70</v>
      </c>
      <c r="B635">
        <f t="shared" si="27"/>
        <v>2005</v>
      </c>
      <c r="C635">
        <f t="shared" si="28"/>
        <v>4</v>
      </c>
      <c r="D635">
        <f t="shared" si="29"/>
        <v>2</v>
      </c>
      <c r="E635" t="s">
        <v>323</v>
      </c>
      <c r="F635">
        <v>0</v>
      </c>
      <c r="G635">
        <v>6.5</v>
      </c>
      <c r="H635">
        <v>6.5</v>
      </c>
      <c r="J635">
        <v>6.5</v>
      </c>
      <c r="K635">
        <v>0</v>
      </c>
      <c r="L635">
        <v>-1.7569000000000001E-2</v>
      </c>
    </row>
    <row r="636" spans="1:12" x14ac:dyDescent="0.35">
      <c r="A636" t="s">
        <v>71</v>
      </c>
      <c r="B636">
        <f t="shared" si="27"/>
        <v>2005</v>
      </c>
      <c r="C636">
        <f t="shared" si="28"/>
        <v>5</v>
      </c>
      <c r="D636">
        <f t="shared" si="29"/>
        <v>2</v>
      </c>
      <c r="E636" t="s">
        <v>323</v>
      </c>
      <c r="F636">
        <v>0</v>
      </c>
      <c r="G636">
        <v>6.5</v>
      </c>
      <c r="H636">
        <v>6.5</v>
      </c>
      <c r="J636">
        <v>6.4881000000000002</v>
      </c>
      <c r="K636">
        <v>1.1900000000000001E-2</v>
      </c>
      <c r="L636">
        <v>4.5345999999999997E-2</v>
      </c>
    </row>
    <row r="637" spans="1:12" x14ac:dyDescent="0.35">
      <c r="A637" t="s">
        <v>72</v>
      </c>
      <c r="B637">
        <f t="shared" si="27"/>
        <v>2005</v>
      </c>
      <c r="C637">
        <f t="shared" si="28"/>
        <v>6</v>
      </c>
      <c r="D637">
        <f t="shared" si="29"/>
        <v>2</v>
      </c>
      <c r="E637" t="s">
        <v>323</v>
      </c>
      <c r="F637">
        <v>0</v>
      </c>
      <c r="G637">
        <v>6.5</v>
      </c>
      <c r="H637">
        <v>6.5</v>
      </c>
      <c r="J637">
        <v>6.4833299999999996</v>
      </c>
      <c r="K637">
        <v>1.6670000000000001E-2</v>
      </c>
      <c r="L637">
        <v>5.4993E-2</v>
      </c>
    </row>
    <row r="638" spans="1:12" x14ac:dyDescent="0.35">
      <c r="A638" t="s">
        <v>73</v>
      </c>
      <c r="B638">
        <f t="shared" si="27"/>
        <v>2005</v>
      </c>
      <c r="C638">
        <f t="shared" si="28"/>
        <v>7</v>
      </c>
      <c r="D638">
        <f t="shared" si="29"/>
        <v>3</v>
      </c>
      <c r="E638" t="s">
        <v>323</v>
      </c>
      <c r="F638">
        <v>0</v>
      </c>
      <c r="G638">
        <v>6.5</v>
      </c>
      <c r="H638">
        <v>6.5</v>
      </c>
      <c r="J638">
        <v>6.5</v>
      </c>
      <c r="K638">
        <v>0</v>
      </c>
      <c r="L638">
        <v>6.5404000000000004E-2</v>
      </c>
    </row>
    <row r="639" spans="1:12" x14ac:dyDescent="0.35">
      <c r="A639" t="s">
        <v>74</v>
      </c>
      <c r="B639">
        <f t="shared" si="27"/>
        <v>2005</v>
      </c>
      <c r="C639">
        <f t="shared" si="28"/>
        <v>8</v>
      </c>
      <c r="D639">
        <f t="shared" si="29"/>
        <v>3</v>
      </c>
      <c r="E639" t="s">
        <v>323</v>
      </c>
      <c r="F639">
        <v>0</v>
      </c>
      <c r="G639">
        <v>6.5</v>
      </c>
      <c r="H639">
        <v>6.5</v>
      </c>
      <c r="J639">
        <v>6.5</v>
      </c>
      <c r="K639">
        <v>0</v>
      </c>
      <c r="L639">
        <v>2.2589999999999999E-2</v>
      </c>
    </row>
    <row r="640" spans="1:12" x14ac:dyDescent="0.35">
      <c r="A640" t="s">
        <v>75</v>
      </c>
      <c r="B640">
        <f t="shared" si="27"/>
        <v>2005</v>
      </c>
      <c r="C640">
        <f t="shared" si="28"/>
        <v>9</v>
      </c>
      <c r="D640">
        <f t="shared" si="29"/>
        <v>3</v>
      </c>
      <c r="E640" t="s">
        <v>323</v>
      </c>
      <c r="F640">
        <v>-0.5</v>
      </c>
      <c r="G640">
        <v>6.5</v>
      </c>
      <c r="H640">
        <v>6</v>
      </c>
      <c r="J640">
        <v>6.4666699999999997</v>
      </c>
      <c r="K640">
        <v>-0.46666999999999997</v>
      </c>
      <c r="L640">
        <v>-0.54442999999999997</v>
      </c>
    </row>
    <row r="641" spans="1:12" x14ac:dyDescent="0.35">
      <c r="A641" t="s">
        <v>76</v>
      </c>
      <c r="B641">
        <f t="shared" si="27"/>
        <v>2005</v>
      </c>
      <c r="C641">
        <f t="shared" si="28"/>
        <v>10</v>
      </c>
      <c r="D641">
        <f t="shared" si="29"/>
        <v>4</v>
      </c>
      <c r="E641" t="s">
        <v>323</v>
      </c>
      <c r="F641">
        <v>0</v>
      </c>
      <c r="G641">
        <v>6</v>
      </c>
      <c r="H641">
        <v>6</v>
      </c>
      <c r="J641">
        <v>5.9230799999999997</v>
      </c>
      <c r="K641">
        <v>7.6920000000000002E-2</v>
      </c>
      <c r="L641">
        <v>0.10922</v>
      </c>
    </row>
    <row r="642" spans="1:12" x14ac:dyDescent="0.35">
      <c r="A642" t="s">
        <v>77</v>
      </c>
      <c r="B642">
        <f t="shared" si="27"/>
        <v>2005</v>
      </c>
      <c r="C642">
        <f t="shared" si="28"/>
        <v>11</v>
      </c>
      <c r="D642">
        <f t="shared" si="29"/>
        <v>4</v>
      </c>
      <c r="E642" t="s">
        <v>323</v>
      </c>
      <c r="F642">
        <v>0</v>
      </c>
      <c r="G642">
        <v>6</v>
      </c>
      <c r="H642">
        <v>6</v>
      </c>
      <c r="J642">
        <v>6</v>
      </c>
      <c r="K642">
        <v>0</v>
      </c>
      <c r="L642">
        <v>-3.2442000000000001E-4</v>
      </c>
    </row>
    <row r="643" spans="1:12" x14ac:dyDescent="0.35">
      <c r="A643" t="s">
        <v>78</v>
      </c>
      <c r="B643">
        <f t="shared" ref="B643:B706" si="30">LEFT(A643,4)*1</f>
        <v>2005</v>
      </c>
      <c r="C643">
        <f t="shared" ref="C643:C706" si="31">MID(A643,6,2)*1</f>
        <v>12</v>
      </c>
      <c r="D643">
        <f t="shared" ref="D643:D706" si="32">ROUNDUP(C643/3,0)</f>
        <v>4</v>
      </c>
      <c r="E643" t="s">
        <v>323</v>
      </c>
      <c r="F643">
        <v>0</v>
      </c>
      <c r="G643">
        <v>6</v>
      </c>
      <c r="H643">
        <v>6</v>
      </c>
      <c r="J643">
        <v>6</v>
      </c>
      <c r="K643">
        <v>0</v>
      </c>
      <c r="L643">
        <v>-0.19677</v>
      </c>
    </row>
    <row r="644" spans="1:12" x14ac:dyDescent="0.35">
      <c r="A644" t="s">
        <v>79</v>
      </c>
      <c r="B644">
        <f t="shared" si="30"/>
        <v>2006</v>
      </c>
      <c r="C644">
        <f t="shared" si="31"/>
        <v>1</v>
      </c>
      <c r="D644">
        <f t="shared" si="32"/>
        <v>1</v>
      </c>
      <c r="E644" t="s">
        <v>323</v>
      </c>
      <c r="F644">
        <v>0</v>
      </c>
      <c r="G644">
        <v>6</v>
      </c>
      <c r="H644">
        <v>6</v>
      </c>
      <c r="J644">
        <v>6</v>
      </c>
      <c r="K644">
        <v>0</v>
      </c>
      <c r="L644">
        <v>4.9722000000000002E-2</v>
      </c>
    </row>
    <row r="645" spans="1:12" x14ac:dyDescent="0.35">
      <c r="A645" t="s">
        <v>80</v>
      </c>
      <c r="B645">
        <f t="shared" si="30"/>
        <v>2006</v>
      </c>
      <c r="C645">
        <f t="shared" si="31"/>
        <v>2</v>
      </c>
      <c r="D645">
        <f t="shared" si="32"/>
        <v>1</v>
      </c>
      <c r="E645" t="s">
        <v>323</v>
      </c>
      <c r="F645">
        <v>0</v>
      </c>
      <c r="G645">
        <v>6</v>
      </c>
      <c r="H645">
        <v>6</v>
      </c>
      <c r="J645">
        <v>6</v>
      </c>
      <c r="K645">
        <v>0</v>
      </c>
      <c r="L645">
        <v>5.6139000000000001E-2</v>
      </c>
    </row>
    <row r="646" spans="1:12" x14ac:dyDescent="0.35">
      <c r="A646" t="s">
        <v>81</v>
      </c>
      <c r="B646">
        <f t="shared" si="30"/>
        <v>2006</v>
      </c>
      <c r="C646">
        <f t="shared" si="31"/>
        <v>3</v>
      </c>
      <c r="D646">
        <f t="shared" si="32"/>
        <v>1</v>
      </c>
      <c r="E646" t="s">
        <v>323</v>
      </c>
      <c r="F646">
        <v>0</v>
      </c>
      <c r="G646">
        <v>6</v>
      </c>
      <c r="H646">
        <v>6</v>
      </c>
      <c r="J646">
        <v>6</v>
      </c>
      <c r="K646">
        <v>0</v>
      </c>
      <c r="L646">
        <v>0.14172000000000001</v>
      </c>
    </row>
    <row r="647" spans="1:12" x14ac:dyDescent="0.35">
      <c r="A647" t="s">
        <v>82</v>
      </c>
      <c r="B647">
        <f t="shared" si="30"/>
        <v>2006</v>
      </c>
      <c r="C647">
        <f t="shared" si="31"/>
        <v>4</v>
      </c>
      <c r="D647">
        <f t="shared" si="32"/>
        <v>2</v>
      </c>
      <c r="E647" t="s">
        <v>323</v>
      </c>
      <c r="F647">
        <v>0.25</v>
      </c>
      <c r="G647">
        <v>6</v>
      </c>
      <c r="H647">
        <v>6.25</v>
      </c>
      <c r="J647">
        <v>6.0227300000000001</v>
      </c>
      <c r="K647">
        <v>0.22727</v>
      </c>
      <c r="L647">
        <v>0.29188999999999998</v>
      </c>
    </row>
    <row r="648" spans="1:12" x14ac:dyDescent="0.35">
      <c r="A648" t="s">
        <v>83</v>
      </c>
      <c r="B648">
        <f t="shared" si="30"/>
        <v>2006</v>
      </c>
      <c r="C648">
        <f t="shared" si="31"/>
        <v>5</v>
      </c>
      <c r="D648">
        <f t="shared" si="32"/>
        <v>2</v>
      </c>
      <c r="E648" t="s">
        <v>323</v>
      </c>
      <c r="F648">
        <v>-0.25</v>
      </c>
      <c r="G648">
        <v>6.5</v>
      </c>
      <c r="H648">
        <v>6.25</v>
      </c>
      <c r="J648">
        <v>6.3815799999999996</v>
      </c>
      <c r="K648">
        <v>-0.13158</v>
      </c>
      <c r="L648">
        <v>7.8357999999999997E-2</v>
      </c>
    </row>
    <row r="649" spans="1:12" x14ac:dyDescent="0.35">
      <c r="A649" t="s">
        <v>84</v>
      </c>
      <c r="B649">
        <f t="shared" si="30"/>
        <v>2006</v>
      </c>
      <c r="C649">
        <f t="shared" si="31"/>
        <v>6</v>
      </c>
      <c r="D649">
        <f t="shared" si="32"/>
        <v>2</v>
      </c>
      <c r="E649" t="s">
        <v>323</v>
      </c>
      <c r="F649">
        <v>0</v>
      </c>
      <c r="G649">
        <v>6.5</v>
      </c>
      <c r="H649">
        <v>6.5</v>
      </c>
      <c r="J649">
        <v>6.4605300000000003</v>
      </c>
      <c r="K649">
        <v>3.9469999999999998E-2</v>
      </c>
      <c r="L649">
        <v>0.26917999999999997</v>
      </c>
    </row>
    <row r="650" spans="1:12" x14ac:dyDescent="0.35">
      <c r="A650" t="s">
        <v>85</v>
      </c>
      <c r="B650">
        <f t="shared" si="30"/>
        <v>2006</v>
      </c>
      <c r="C650">
        <f t="shared" si="31"/>
        <v>7</v>
      </c>
      <c r="D650">
        <f t="shared" si="32"/>
        <v>3</v>
      </c>
      <c r="E650" t="s">
        <v>323</v>
      </c>
      <c r="F650">
        <v>0</v>
      </c>
      <c r="G650">
        <v>6.5</v>
      </c>
      <c r="H650">
        <v>6.5</v>
      </c>
      <c r="J650">
        <v>6.5657899999999998</v>
      </c>
      <c r="K650">
        <v>-6.5790000000000001E-2</v>
      </c>
      <c r="L650">
        <v>0.15456</v>
      </c>
    </row>
    <row r="651" spans="1:12" x14ac:dyDescent="0.35">
      <c r="A651" t="s">
        <v>86</v>
      </c>
      <c r="B651">
        <f t="shared" si="30"/>
        <v>2006</v>
      </c>
      <c r="C651">
        <f t="shared" si="31"/>
        <v>8</v>
      </c>
      <c r="D651">
        <f t="shared" si="32"/>
        <v>3</v>
      </c>
      <c r="E651" t="s">
        <v>323</v>
      </c>
      <c r="F651">
        <v>0</v>
      </c>
      <c r="G651">
        <v>6.75</v>
      </c>
      <c r="H651">
        <v>6.75</v>
      </c>
      <c r="J651">
        <v>6.7205899999999996</v>
      </c>
      <c r="K651">
        <v>2.9409999999999999E-2</v>
      </c>
      <c r="L651">
        <v>0.36631999999999998</v>
      </c>
    </row>
    <row r="652" spans="1:12" x14ac:dyDescent="0.35">
      <c r="A652" t="s">
        <v>87</v>
      </c>
      <c r="B652">
        <f t="shared" si="30"/>
        <v>2006</v>
      </c>
      <c r="C652">
        <f t="shared" si="31"/>
        <v>9</v>
      </c>
      <c r="D652">
        <f t="shared" si="32"/>
        <v>3</v>
      </c>
      <c r="E652" t="s">
        <v>323</v>
      </c>
      <c r="F652">
        <v>0.25</v>
      </c>
      <c r="G652">
        <v>6.75</v>
      </c>
      <c r="H652">
        <v>7</v>
      </c>
      <c r="J652">
        <v>6.8518499999999998</v>
      </c>
      <c r="K652">
        <v>0.14815</v>
      </c>
      <c r="L652">
        <v>0.13011</v>
      </c>
    </row>
    <row r="653" spans="1:12" x14ac:dyDescent="0.35">
      <c r="A653" t="s">
        <v>88</v>
      </c>
      <c r="B653">
        <f t="shared" si="30"/>
        <v>2006</v>
      </c>
      <c r="C653">
        <f t="shared" si="31"/>
        <v>10</v>
      </c>
      <c r="D653">
        <f t="shared" si="32"/>
        <v>4</v>
      </c>
      <c r="E653" t="s">
        <v>323</v>
      </c>
      <c r="F653">
        <v>0</v>
      </c>
      <c r="G653">
        <v>7.25</v>
      </c>
      <c r="H653">
        <v>7.25</v>
      </c>
      <c r="J653">
        <v>7.1666699999999999</v>
      </c>
      <c r="K653">
        <v>8.3330000000000001E-2</v>
      </c>
      <c r="L653">
        <v>-0.10288</v>
      </c>
    </row>
    <row r="654" spans="1:12" x14ac:dyDescent="0.35">
      <c r="A654" t="s">
        <v>89</v>
      </c>
      <c r="B654">
        <f t="shared" si="30"/>
        <v>2006</v>
      </c>
      <c r="C654">
        <f t="shared" si="31"/>
        <v>11</v>
      </c>
      <c r="D654">
        <f t="shared" si="32"/>
        <v>4</v>
      </c>
      <c r="E654" t="s">
        <v>323</v>
      </c>
      <c r="F654">
        <v>0</v>
      </c>
      <c r="G654">
        <v>7.25</v>
      </c>
      <c r="H654">
        <v>7.25</v>
      </c>
      <c r="J654">
        <v>7.2954499999999998</v>
      </c>
      <c r="K654">
        <v>-4.5449999999999997E-2</v>
      </c>
      <c r="L654">
        <v>-2.5791999999999998E-3</v>
      </c>
    </row>
    <row r="655" spans="1:12" x14ac:dyDescent="0.35">
      <c r="A655" t="s">
        <v>90</v>
      </c>
      <c r="B655">
        <f t="shared" si="30"/>
        <v>2006</v>
      </c>
      <c r="C655">
        <f t="shared" si="31"/>
        <v>12</v>
      </c>
      <c r="D655">
        <f t="shared" si="32"/>
        <v>4</v>
      </c>
      <c r="E655" t="s">
        <v>323</v>
      </c>
      <c r="F655">
        <v>0.25</v>
      </c>
      <c r="G655">
        <v>7.25</v>
      </c>
      <c r="H655">
        <v>7.5</v>
      </c>
      <c r="J655">
        <v>7.3</v>
      </c>
      <c r="K655">
        <v>0.2</v>
      </c>
      <c r="L655">
        <v>0.13686000000000001</v>
      </c>
    </row>
    <row r="656" spans="1:12" x14ac:dyDescent="0.35">
      <c r="A656" t="s">
        <v>91</v>
      </c>
      <c r="B656">
        <f t="shared" si="30"/>
        <v>2007</v>
      </c>
      <c r="C656">
        <f t="shared" si="31"/>
        <v>1</v>
      </c>
      <c r="D656">
        <f t="shared" si="32"/>
        <v>1</v>
      </c>
      <c r="E656" t="s">
        <v>323</v>
      </c>
      <c r="F656">
        <v>0.25</v>
      </c>
      <c r="G656">
        <v>7.5</v>
      </c>
      <c r="H656">
        <v>7.75</v>
      </c>
      <c r="J656">
        <v>7.6203700000000003</v>
      </c>
      <c r="K656">
        <v>0.12963</v>
      </c>
      <c r="L656">
        <v>8.8174000000000002E-2</v>
      </c>
    </row>
    <row r="657" spans="1:13" x14ac:dyDescent="0.35">
      <c r="A657" t="s">
        <v>92</v>
      </c>
      <c r="B657">
        <f t="shared" si="30"/>
        <v>2007</v>
      </c>
      <c r="C657">
        <f t="shared" si="31"/>
        <v>2</v>
      </c>
      <c r="D657">
        <f t="shared" si="32"/>
        <v>1</v>
      </c>
      <c r="E657" t="s">
        <v>323</v>
      </c>
      <c r="F657">
        <v>0</v>
      </c>
      <c r="G657">
        <v>8</v>
      </c>
      <c r="H657">
        <v>8</v>
      </c>
      <c r="J657">
        <v>8.0192300000000003</v>
      </c>
      <c r="K657">
        <v>-1.9230000000000001E-2</v>
      </c>
      <c r="L657">
        <v>0.29408000000000001</v>
      </c>
    </row>
    <row r="658" spans="1:13" x14ac:dyDescent="0.35">
      <c r="A658" t="s">
        <v>93</v>
      </c>
      <c r="B658">
        <f t="shared" si="30"/>
        <v>2007</v>
      </c>
      <c r="C658">
        <f t="shared" si="31"/>
        <v>3</v>
      </c>
      <c r="D658">
        <f t="shared" si="32"/>
        <v>1</v>
      </c>
      <c r="E658" t="s">
        <v>323</v>
      </c>
      <c r="F658">
        <v>0</v>
      </c>
      <c r="G658">
        <v>8.25</v>
      </c>
      <c r="H658">
        <v>8.25</v>
      </c>
      <c r="J658">
        <v>8.25</v>
      </c>
      <c r="K658">
        <v>0</v>
      </c>
      <c r="L658">
        <v>0.25861000000000001</v>
      </c>
    </row>
    <row r="659" spans="1:13" x14ac:dyDescent="0.35">
      <c r="A659" t="s">
        <v>94</v>
      </c>
      <c r="B659">
        <f t="shared" si="30"/>
        <v>2007</v>
      </c>
      <c r="C659">
        <f t="shared" si="31"/>
        <v>4</v>
      </c>
      <c r="D659">
        <f t="shared" si="32"/>
        <v>2</v>
      </c>
      <c r="E659" t="s">
        <v>323</v>
      </c>
      <c r="F659">
        <v>0</v>
      </c>
      <c r="G659">
        <v>8.5</v>
      </c>
      <c r="H659">
        <v>8.5</v>
      </c>
      <c r="J659">
        <v>8.5227299999999993</v>
      </c>
      <c r="K659">
        <v>-2.273E-2</v>
      </c>
      <c r="L659">
        <v>-0.21609</v>
      </c>
    </row>
    <row r="660" spans="1:13" x14ac:dyDescent="0.35">
      <c r="A660" t="s">
        <v>95</v>
      </c>
      <c r="B660">
        <f t="shared" si="30"/>
        <v>2007</v>
      </c>
      <c r="C660">
        <f t="shared" si="31"/>
        <v>5</v>
      </c>
      <c r="D660">
        <f t="shared" si="32"/>
        <v>2</v>
      </c>
      <c r="E660" t="s">
        <v>323</v>
      </c>
      <c r="F660">
        <v>0</v>
      </c>
      <c r="G660">
        <v>8.75</v>
      </c>
      <c r="H660">
        <v>8.75</v>
      </c>
      <c r="J660">
        <v>8.7391299999999994</v>
      </c>
      <c r="K660">
        <v>1.0869999999999999E-2</v>
      </c>
      <c r="L660">
        <v>0.23022999999999999</v>
      </c>
    </row>
    <row r="661" spans="1:13" x14ac:dyDescent="0.35">
      <c r="A661" t="s">
        <v>96</v>
      </c>
      <c r="B661">
        <f t="shared" si="30"/>
        <v>2007</v>
      </c>
      <c r="C661">
        <f t="shared" si="31"/>
        <v>6</v>
      </c>
      <c r="D661">
        <f t="shared" si="32"/>
        <v>2</v>
      </c>
      <c r="E661" t="s">
        <v>323</v>
      </c>
      <c r="F661">
        <v>0</v>
      </c>
      <c r="G661">
        <v>9</v>
      </c>
      <c r="H661">
        <v>9</v>
      </c>
      <c r="J661">
        <v>8.92</v>
      </c>
      <c r="K661">
        <v>0.08</v>
      </c>
      <c r="L661">
        <v>0.19431999999999999</v>
      </c>
    </row>
    <row r="662" spans="1:13" x14ac:dyDescent="0.35">
      <c r="A662" t="s">
        <v>97</v>
      </c>
      <c r="B662">
        <f t="shared" si="30"/>
        <v>2007</v>
      </c>
      <c r="C662">
        <f t="shared" si="31"/>
        <v>7</v>
      </c>
      <c r="D662">
        <f t="shared" si="32"/>
        <v>3</v>
      </c>
      <c r="E662" t="s">
        <v>323</v>
      </c>
      <c r="F662">
        <v>0</v>
      </c>
      <c r="G662">
        <v>9.25</v>
      </c>
      <c r="H662">
        <v>9.25</v>
      </c>
      <c r="J662">
        <v>9.1371000000000002</v>
      </c>
      <c r="K662">
        <v>0.1129</v>
      </c>
      <c r="L662">
        <v>0.13608000000000001</v>
      </c>
    </row>
    <row r="663" spans="1:13" x14ac:dyDescent="0.35">
      <c r="A663" t="s">
        <v>98</v>
      </c>
      <c r="B663">
        <f t="shared" si="30"/>
        <v>2007</v>
      </c>
      <c r="C663">
        <f t="shared" si="31"/>
        <v>8</v>
      </c>
      <c r="D663">
        <f t="shared" si="32"/>
        <v>3</v>
      </c>
      <c r="E663" t="s">
        <v>323</v>
      </c>
      <c r="F663">
        <v>-0.25</v>
      </c>
      <c r="G663">
        <v>9.5</v>
      </c>
      <c r="H663">
        <v>9.25</v>
      </c>
      <c r="J663">
        <v>9.4137900000000005</v>
      </c>
      <c r="K663">
        <v>-0.16378999999999999</v>
      </c>
      <c r="L663">
        <v>9.6014000000000002E-2</v>
      </c>
    </row>
    <row r="664" spans="1:13" x14ac:dyDescent="0.35">
      <c r="A664" t="s">
        <v>99</v>
      </c>
      <c r="B664">
        <f t="shared" si="30"/>
        <v>2007</v>
      </c>
      <c r="C664">
        <f t="shared" si="31"/>
        <v>9</v>
      </c>
      <c r="D664">
        <f t="shared" si="32"/>
        <v>3</v>
      </c>
      <c r="E664" t="s">
        <v>323</v>
      </c>
      <c r="F664">
        <v>0</v>
      </c>
      <c r="G664">
        <v>9.25</v>
      </c>
      <c r="H664">
        <v>9.25</v>
      </c>
      <c r="J664">
        <v>9.2575800000000008</v>
      </c>
      <c r="K664">
        <v>-7.5799999999999999E-3</v>
      </c>
      <c r="L664">
        <v>0.16693</v>
      </c>
    </row>
    <row r="665" spans="1:13" x14ac:dyDescent="0.35">
      <c r="A665" t="s">
        <v>100</v>
      </c>
      <c r="B665">
        <f t="shared" si="30"/>
        <v>2007</v>
      </c>
      <c r="C665">
        <f t="shared" si="31"/>
        <v>10</v>
      </c>
      <c r="D665">
        <f t="shared" si="32"/>
        <v>4</v>
      </c>
      <c r="E665" t="s">
        <v>323</v>
      </c>
      <c r="F665">
        <v>0</v>
      </c>
      <c r="G665">
        <v>9.25</v>
      </c>
      <c r="H665">
        <v>9.25</v>
      </c>
      <c r="J665">
        <v>9.2567599999999999</v>
      </c>
      <c r="K665">
        <v>-6.7600000000000004E-3</v>
      </c>
      <c r="L665">
        <v>0.15728</v>
      </c>
    </row>
    <row r="666" spans="1:13" x14ac:dyDescent="0.35">
      <c r="A666" t="s">
        <v>101</v>
      </c>
      <c r="B666">
        <f t="shared" si="30"/>
        <v>2007</v>
      </c>
      <c r="C666">
        <f t="shared" si="31"/>
        <v>11</v>
      </c>
      <c r="D666">
        <f t="shared" si="32"/>
        <v>4</v>
      </c>
      <c r="E666" t="s">
        <v>323</v>
      </c>
      <c r="F666">
        <v>0.25</v>
      </c>
      <c r="G666">
        <v>9.25</v>
      </c>
      <c r="H666">
        <v>9.5</v>
      </c>
      <c r="J666">
        <v>9.2583300000000008</v>
      </c>
      <c r="K666">
        <v>0.24167</v>
      </c>
      <c r="L666">
        <v>0.44681999999999999</v>
      </c>
    </row>
    <row r="667" spans="1:13" x14ac:dyDescent="0.35">
      <c r="A667" t="s">
        <v>102</v>
      </c>
      <c r="B667">
        <f t="shared" si="30"/>
        <v>2007</v>
      </c>
      <c r="C667">
        <f t="shared" si="31"/>
        <v>12</v>
      </c>
      <c r="D667">
        <f t="shared" si="32"/>
        <v>4</v>
      </c>
      <c r="E667" t="s">
        <v>323</v>
      </c>
      <c r="F667">
        <v>0</v>
      </c>
      <c r="G667">
        <v>9.5</v>
      </c>
      <c r="H667">
        <v>9.5</v>
      </c>
      <c r="J667">
        <v>9.5073500000000006</v>
      </c>
      <c r="K667">
        <v>-7.3499999999999998E-3</v>
      </c>
      <c r="L667">
        <v>0.14158999999999999</v>
      </c>
    </row>
    <row r="668" spans="1:13" x14ac:dyDescent="0.35">
      <c r="A668" t="s">
        <v>103</v>
      </c>
      <c r="B668">
        <f t="shared" si="30"/>
        <v>2008</v>
      </c>
      <c r="C668">
        <f t="shared" si="31"/>
        <v>1</v>
      </c>
      <c r="D668">
        <f t="shared" si="32"/>
        <v>1</v>
      </c>
      <c r="E668" t="s">
        <v>323</v>
      </c>
      <c r="F668">
        <v>0</v>
      </c>
      <c r="G668">
        <v>9.5</v>
      </c>
      <c r="H668">
        <v>9.5</v>
      </c>
      <c r="J668">
        <v>9.5416699999999999</v>
      </c>
      <c r="K668">
        <v>-4.1669999999999999E-2</v>
      </c>
      <c r="L668">
        <v>5.6265999999999997E-2</v>
      </c>
      <c r="M668">
        <v>-9.7000000000000003E-2</v>
      </c>
    </row>
    <row r="669" spans="1:13" x14ac:dyDescent="0.35">
      <c r="A669" t="s">
        <v>104</v>
      </c>
      <c r="B669">
        <f t="shared" si="30"/>
        <v>2008</v>
      </c>
      <c r="C669">
        <f t="shared" si="31"/>
        <v>2</v>
      </c>
      <c r="D669">
        <f t="shared" si="32"/>
        <v>1</v>
      </c>
      <c r="E669" t="s">
        <v>323</v>
      </c>
      <c r="F669">
        <v>0.25</v>
      </c>
      <c r="G669">
        <v>9.5</v>
      </c>
      <c r="H669">
        <v>9.75</v>
      </c>
      <c r="J669">
        <v>9.5878399999999999</v>
      </c>
      <c r="K669">
        <v>0.16216</v>
      </c>
      <c r="L669">
        <v>0.51388</v>
      </c>
      <c r="M669">
        <v>0.114</v>
      </c>
    </row>
    <row r="670" spans="1:13" x14ac:dyDescent="0.35">
      <c r="A670" t="s">
        <v>105</v>
      </c>
      <c r="B670">
        <f t="shared" si="30"/>
        <v>2008</v>
      </c>
      <c r="C670">
        <f t="shared" si="31"/>
        <v>3</v>
      </c>
      <c r="D670">
        <f t="shared" si="32"/>
        <v>1</v>
      </c>
      <c r="E670" t="s">
        <v>323</v>
      </c>
      <c r="F670">
        <v>0</v>
      </c>
      <c r="G670">
        <v>9.75</v>
      </c>
      <c r="H670">
        <v>9.75</v>
      </c>
      <c r="J670">
        <v>9.75</v>
      </c>
      <c r="K670">
        <v>0</v>
      </c>
      <c r="L670">
        <v>4.0696000000000003E-2</v>
      </c>
      <c r="M670">
        <v>-0.09</v>
      </c>
    </row>
    <row r="671" spans="1:13" x14ac:dyDescent="0.35">
      <c r="A671" t="s">
        <v>106</v>
      </c>
      <c r="B671">
        <f t="shared" si="30"/>
        <v>2008</v>
      </c>
      <c r="C671">
        <f t="shared" si="31"/>
        <v>4</v>
      </c>
      <c r="D671">
        <f t="shared" si="32"/>
        <v>2</v>
      </c>
      <c r="E671" t="s">
        <v>323</v>
      </c>
      <c r="F671">
        <v>0</v>
      </c>
      <c r="G671">
        <v>9.75</v>
      </c>
      <c r="H671">
        <v>9.75</v>
      </c>
      <c r="J671">
        <v>9.75</v>
      </c>
      <c r="K671">
        <v>0</v>
      </c>
      <c r="L671">
        <v>-0.2475</v>
      </c>
      <c r="M671">
        <v>-8.2000000000000003E-2</v>
      </c>
    </row>
    <row r="672" spans="1:13" x14ac:dyDescent="0.35">
      <c r="A672" t="s">
        <v>107</v>
      </c>
      <c r="B672">
        <f t="shared" si="30"/>
        <v>2008</v>
      </c>
      <c r="C672">
        <f t="shared" si="31"/>
        <v>5</v>
      </c>
      <c r="D672">
        <f t="shared" si="32"/>
        <v>2</v>
      </c>
      <c r="E672" t="s">
        <v>323</v>
      </c>
      <c r="F672">
        <v>0</v>
      </c>
      <c r="G672">
        <v>9.75</v>
      </c>
      <c r="H672">
        <v>9.75</v>
      </c>
      <c r="J672">
        <v>9.8048800000000007</v>
      </c>
      <c r="K672">
        <v>-5.4879999999999998E-2</v>
      </c>
      <c r="L672">
        <v>0.17824999999999999</v>
      </c>
      <c r="M672">
        <v>-7.8E-2</v>
      </c>
    </row>
    <row r="673" spans="1:13" x14ac:dyDescent="0.35">
      <c r="A673" t="s">
        <v>108</v>
      </c>
      <c r="B673">
        <f t="shared" si="30"/>
        <v>2008</v>
      </c>
      <c r="C673">
        <f t="shared" si="31"/>
        <v>6</v>
      </c>
      <c r="D673">
        <f t="shared" si="32"/>
        <v>2</v>
      </c>
      <c r="E673" t="s">
        <v>323</v>
      </c>
      <c r="F673">
        <v>0</v>
      </c>
      <c r="G673">
        <v>9.75</v>
      </c>
      <c r="H673">
        <v>9.75</v>
      </c>
      <c r="J673">
        <v>9.8525600000000004</v>
      </c>
      <c r="K673">
        <v>-0.10256</v>
      </c>
      <c r="L673">
        <v>0.29025000000000001</v>
      </c>
      <c r="M673">
        <v>-7.8E-2</v>
      </c>
    </row>
    <row r="674" spans="1:13" x14ac:dyDescent="0.35">
      <c r="A674" t="s">
        <v>109</v>
      </c>
      <c r="B674">
        <f t="shared" si="30"/>
        <v>2008</v>
      </c>
      <c r="C674">
        <f t="shared" si="31"/>
        <v>7</v>
      </c>
      <c r="D674">
        <f t="shared" si="32"/>
        <v>3</v>
      </c>
      <c r="E674" t="s">
        <v>323</v>
      </c>
      <c r="F674">
        <v>0.25</v>
      </c>
      <c r="G674">
        <v>9.75</v>
      </c>
      <c r="H674">
        <v>10</v>
      </c>
      <c r="J674">
        <v>9.86585</v>
      </c>
      <c r="K674">
        <v>0.13414999999999999</v>
      </c>
      <c r="L674">
        <v>-0.15532000000000001</v>
      </c>
      <c r="M674">
        <v>0.16600000000000001</v>
      </c>
    </row>
    <row r="675" spans="1:13" x14ac:dyDescent="0.35">
      <c r="A675" t="s">
        <v>110</v>
      </c>
      <c r="B675">
        <f t="shared" si="30"/>
        <v>2008</v>
      </c>
      <c r="C675">
        <f t="shared" si="31"/>
        <v>8</v>
      </c>
      <c r="D675">
        <f t="shared" si="32"/>
        <v>3</v>
      </c>
      <c r="E675" t="s">
        <v>323</v>
      </c>
      <c r="F675">
        <v>0</v>
      </c>
      <c r="G675">
        <v>10</v>
      </c>
      <c r="H675">
        <v>10</v>
      </c>
      <c r="J675">
        <v>10.025600000000001</v>
      </c>
      <c r="K675">
        <v>-2.5600000000000001E-2</v>
      </c>
      <c r="L675">
        <v>7.8077999999999995E-2</v>
      </c>
      <c r="M675">
        <v>-8.1000000000000003E-2</v>
      </c>
    </row>
    <row r="676" spans="1:13" x14ac:dyDescent="0.35">
      <c r="A676" t="s">
        <v>111</v>
      </c>
      <c r="B676">
        <f t="shared" si="30"/>
        <v>2008</v>
      </c>
      <c r="C676">
        <f t="shared" si="31"/>
        <v>9</v>
      </c>
      <c r="D676">
        <f t="shared" si="32"/>
        <v>3</v>
      </c>
      <c r="E676" t="s">
        <v>323</v>
      </c>
      <c r="F676">
        <v>0</v>
      </c>
      <c r="G676">
        <v>10</v>
      </c>
      <c r="H676">
        <v>10</v>
      </c>
      <c r="J676">
        <v>10</v>
      </c>
      <c r="K676">
        <v>0</v>
      </c>
      <c r="L676">
        <v>0.16098999999999999</v>
      </c>
      <c r="M676">
        <v>-7.0000000000000007E-2</v>
      </c>
    </row>
    <row r="677" spans="1:13" x14ac:dyDescent="0.35">
      <c r="A677" t="s">
        <v>112</v>
      </c>
      <c r="B677">
        <f t="shared" si="30"/>
        <v>2008</v>
      </c>
      <c r="C677">
        <f t="shared" si="31"/>
        <v>10</v>
      </c>
      <c r="D677">
        <f t="shared" si="32"/>
        <v>4</v>
      </c>
      <c r="E677" t="s">
        <v>323</v>
      </c>
      <c r="F677">
        <v>0</v>
      </c>
      <c r="G677">
        <v>10</v>
      </c>
      <c r="H677">
        <v>10</v>
      </c>
      <c r="J677">
        <v>9.9791699999999999</v>
      </c>
      <c r="K677">
        <v>2.0830000000000001E-2</v>
      </c>
      <c r="L677">
        <v>7.5242000000000003E-2</v>
      </c>
      <c r="M677">
        <v>-8.1000000000000003E-2</v>
      </c>
    </row>
    <row r="678" spans="1:13" x14ac:dyDescent="0.35">
      <c r="A678" t="s">
        <v>113</v>
      </c>
      <c r="B678">
        <f t="shared" si="30"/>
        <v>2008</v>
      </c>
      <c r="C678">
        <f t="shared" si="31"/>
        <v>11</v>
      </c>
      <c r="D678">
        <f t="shared" si="32"/>
        <v>4</v>
      </c>
      <c r="E678" t="s">
        <v>323</v>
      </c>
      <c r="F678">
        <v>0</v>
      </c>
      <c r="G678">
        <v>10</v>
      </c>
      <c r="H678">
        <v>10</v>
      </c>
      <c r="J678">
        <v>9.9621200000000005</v>
      </c>
      <c r="K678">
        <v>3.7879999999999997E-2</v>
      </c>
      <c r="L678">
        <v>0.14244000000000001</v>
      </c>
      <c r="M678">
        <v>-5.7000000000000002E-2</v>
      </c>
    </row>
    <row r="679" spans="1:13" x14ac:dyDescent="0.35">
      <c r="A679" t="s">
        <v>114</v>
      </c>
      <c r="B679">
        <f t="shared" si="30"/>
        <v>2008</v>
      </c>
      <c r="C679">
        <f t="shared" si="31"/>
        <v>12</v>
      </c>
      <c r="D679">
        <f t="shared" si="32"/>
        <v>4</v>
      </c>
      <c r="E679" t="s">
        <v>323</v>
      </c>
      <c r="F679">
        <v>-0.5</v>
      </c>
      <c r="G679">
        <v>10</v>
      </c>
      <c r="H679">
        <v>9.5</v>
      </c>
      <c r="J679">
        <v>9.875</v>
      </c>
      <c r="K679">
        <v>-0.375</v>
      </c>
      <c r="L679">
        <v>-0.31497999999999998</v>
      </c>
      <c r="M679">
        <v>-0.29499999999999998</v>
      </c>
    </row>
    <row r="680" spans="1:13" x14ac:dyDescent="0.35">
      <c r="A680" t="s">
        <v>115</v>
      </c>
      <c r="B680">
        <f t="shared" si="30"/>
        <v>2009</v>
      </c>
      <c r="C680">
        <f t="shared" si="31"/>
        <v>1</v>
      </c>
      <c r="D680">
        <f t="shared" si="32"/>
        <v>1</v>
      </c>
      <c r="E680" t="s">
        <v>323</v>
      </c>
      <c r="F680">
        <v>0</v>
      </c>
      <c r="G680">
        <v>9</v>
      </c>
      <c r="H680">
        <v>9</v>
      </c>
      <c r="J680">
        <v>8.9871800000000004</v>
      </c>
      <c r="K680">
        <v>1.282E-2</v>
      </c>
      <c r="L680">
        <v>-0.33967999999999998</v>
      </c>
      <c r="M680">
        <v>-0.44800000000000001</v>
      </c>
    </row>
    <row r="681" spans="1:13" x14ac:dyDescent="0.35">
      <c r="A681" t="s">
        <v>116</v>
      </c>
      <c r="B681">
        <f t="shared" si="30"/>
        <v>2009</v>
      </c>
      <c r="C681">
        <f t="shared" si="31"/>
        <v>2</v>
      </c>
      <c r="D681">
        <f t="shared" si="32"/>
        <v>1</v>
      </c>
      <c r="E681" t="s">
        <v>323</v>
      </c>
      <c r="F681">
        <v>-0.5</v>
      </c>
      <c r="G681">
        <v>8.5</v>
      </c>
      <c r="H681">
        <v>8</v>
      </c>
      <c r="J681">
        <v>8.4714299999999998</v>
      </c>
      <c r="K681">
        <v>-0.47143000000000002</v>
      </c>
      <c r="L681">
        <v>-0.79813000000000001</v>
      </c>
      <c r="M681">
        <v>-1.0740000000000001</v>
      </c>
    </row>
    <row r="682" spans="1:13" x14ac:dyDescent="0.35">
      <c r="A682" t="s">
        <v>117</v>
      </c>
      <c r="B682">
        <f t="shared" si="30"/>
        <v>2009</v>
      </c>
      <c r="C682">
        <f t="shared" si="31"/>
        <v>3</v>
      </c>
      <c r="D682">
        <f t="shared" si="32"/>
        <v>1</v>
      </c>
      <c r="E682" t="s">
        <v>323</v>
      </c>
      <c r="F682">
        <v>0</v>
      </c>
      <c r="G682">
        <v>7</v>
      </c>
      <c r="H682">
        <v>7</v>
      </c>
      <c r="J682">
        <v>7.1742400000000002</v>
      </c>
      <c r="K682">
        <v>-0.17424000000000001</v>
      </c>
      <c r="L682">
        <v>-0.63466</v>
      </c>
      <c r="M682">
        <v>-1.0069999999999999</v>
      </c>
    </row>
    <row r="683" spans="1:13" x14ac:dyDescent="0.35">
      <c r="A683" t="s">
        <v>118</v>
      </c>
      <c r="B683">
        <f t="shared" si="30"/>
        <v>2009</v>
      </c>
      <c r="C683">
        <f t="shared" si="31"/>
        <v>4</v>
      </c>
      <c r="D683">
        <f t="shared" si="32"/>
        <v>2</v>
      </c>
      <c r="E683" t="s">
        <v>323</v>
      </c>
      <c r="F683">
        <v>0</v>
      </c>
      <c r="G683">
        <v>6</v>
      </c>
      <c r="H683">
        <v>6</v>
      </c>
      <c r="J683">
        <v>6</v>
      </c>
      <c r="K683">
        <v>0</v>
      </c>
      <c r="L683">
        <v>-0.45376</v>
      </c>
      <c r="M683">
        <v>-1.022</v>
      </c>
    </row>
    <row r="684" spans="1:13" x14ac:dyDescent="0.35">
      <c r="A684" t="s">
        <v>119</v>
      </c>
      <c r="B684">
        <f t="shared" si="30"/>
        <v>2009</v>
      </c>
      <c r="C684">
        <f t="shared" si="31"/>
        <v>5</v>
      </c>
      <c r="D684">
        <f t="shared" si="32"/>
        <v>2</v>
      </c>
      <c r="E684" t="s">
        <v>323</v>
      </c>
      <c r="F684">
        <v>0</v>
      </c>
      <c r="G684">
        <v>5</v>
      </c>
      <c r="H684">
        <v>5</v>
      </c>
      <c r="J684">
        <v>5.1206899999999997</v>
      </c>
      <c r="K684">
        <v>-0.12069000000000001</v>
      </c>
      <c r="L684">
        <v>-0.80989999999999995</v>
      </c>
      <c r="M684">
        <v>-1.0049999999999999</v>
      </c>
    </row>
    <row r="685" spans="1:13" x14ac:dyDescent="0.35">
      <c r="A685" t="s">
        <v>120</v>
      </c>
      <c r="B685">
        <f t="shared" si="30"/>
        <v>2009</v>
      </c>
      <c r="C685">
        <f t="shared" si="31"/>
        <v>6</v>
      </c>
      <c r="D685">
        <f t="shared" si="32"/>
        <v>2</v>
      </c>
      <c r="E685" t="s">
        <v>323</v>
      </c>
      <c r="F685">
        <v>0</v>
      </c>
      <c r="G685">
        <v>4.5</v>
      </c>
      <c r="H685">
        <v>4.5</v>
      </c>
      <c r="J685">
        <v>4.5725800000000003</v>
      </c>
      <c r="K685">
        <v>-7.2580000000000006E-2</v>
      </c>
      <c r="L685">
        <v>-0.39698</v>
      </c>
      <c r="M685">
        <v>-0.52500000000000002</v>
      </c>
    </row>
    <row r="686" spans="1:13" x14ac:dyDescent="0.35">
      <c r="A686" t="s">
        <v>121</v>
      </c>
      <c r="B686">
        <f t="shared" si="30"/>
        <v>2009</v>
      </c>
      <c r="C686">
        <f t="shared" si="31"/>
        <v>7</v>
      </c>
      <c r="D686">
        <f t="shared" si="32"/>
        <v>3</v>
      </c>
      <c r="E686" t="s">
        <v>323</v>
      </c>
      <c r="F686">
        <v>0</v>
      </c>
      <c r="G686">
        <v>4.5</v>
      </c>
      <c r="H686">
        <v>4.5</v>
      </c>
      <c r="J686">
        <v>4.48529</v>
      </c>
      <c r="K686">
        <v>1.4710000000000001E-2</v>
      </c>
      <c r="L686">
        <v>0.49711</v>
      </c>
      <c r="M686">
        <v>-2E-3</v>
      </c>
    </row>
    <row r="687" spans="1:13" x14ac:dyDescent="0.35">
      <c r="A687" t="s">
        <v>122</v>
      </c>
      <c r="B687">
        <f t="shared" si="30"/>
        <v>2009</v>
      </c>
      <c r="C687">
        <f t="shared" si="31"/>
        <v>8</v>
      </c>
      <c r="D687">
        <f t="shared" si="32"/>
        <v>3</v>
      </c>
      <c r="E687" t="s">
        <v>323</v>
      </c>
      <c r="F687">
        <v>0</v>
      </c>
      <c r="G687">
        <v>4.5</v>
      </c>
      <c r="H687">
        <v>4.5</v>
      </c>
      <c r="J687">
        <v>4.4516099999999996</v>
      </c>
      <c r="K687">
        <v>4.8390000000000002E-2</v>
      </c>
      <c r="L687">
        <v>0.17061000000000001</v>
      </c>
      <c r="M687">
        <v>0.161</v>
      </c>
    </row>
    <row r="688" spans="1:13" x14ac:dyDescent="0.35">
      <c r="A688" t="s">
        <v>123</v>
      </c>
      <c r="B688">
        <f t="shared" si="30"/>
        <v>2009</v>
      </c>
      <c r="C688">
        <f t="shared" si="31"/>
        <v>9</v>
      </c>
      <c r="D688">
        <f t="shared" si="32"/>
        <v>3</v>
      </c>
      <c r="E688" t="s">
        <v>323</v>
      </c>
      <c r="F688">
        <v>-0.5</v>
      </c>
      <c r="G688">
        <v>4.5</v>
      </c>
      <c r="H688">
        <v>4</v>
      </c>
      <c r="J688">
        <v>4.5</v>
      </c>
      <c r="K688">
        <v>-0.5</v>
      </c>
      <c r="L688">
        <v>-0.37276999999999999</v>
      </c>
      <c r="M688">
        <v>-0.41899999999999998</v>
      </c>
    </row>
    <row r="689" spans="1:13" x14ac:dyDescent="0.35">
      <c r="A689" t="s">
        <v>124</v>
      </c>
      <c r="B689">
        <f t="shared" si="30"/>
        <v>2009</v>
      </c>
      <c r="C689">
        <f t="shared" si="31"/>
        <v>10</v>
      </c>
      <c r="D689">
        <f t="shared" si="32"/>
        <v>4</v>
      </c>
      <c r="E689" t="s">
        <v>323</v>
      </c>
      <c r="F689">
        <v>0</v>
      </c>
      <c r="G689">
        <v>4</v>
      </c>
      <c r="H689">
        <v>4</v>
      </c>
      <c r="J689">
        <v>3.9107099999999999</v>
      </c>
      <c r="K689">
        <v>8.9289999999999994E-2</v>
      </c>
      <c r="L689">
        <v>0.36219000000000001</v>
      </c>
      <c r="M689">
        <v>-2.1999999999999999E-2</v>
      </c>
    </row>
    <row r="690" spans="1:13" x14ac:dyDescent="0.35">
      <c r="A690" t="s">
        <v>125</v>
      </c>
      <c r="B690">
        <f t="shared" si="30"/>
        <v>2009</v>
      </c>
      <c r="C690">
        <f t="shared" si="31"/>
        <v>11</v>
      </c>
      <c r="D690">
        <f t="shared" si="32"/>
        <v>4</v>
      </c>
      <c r="E690" t="s">
        <v>323</v>
      </c>
      <c r="F690">
        <v>-0.5</v>
      </c>
      <c r="G690">
        <v>4</v>
      </c>
      <c r="H690">
        <v>3.5</v>
      </c>
      <c r="J690">
        <v>3.9015200000000001</v>
      </c>
      <c r="K690">
        <v>-0.40151999999999999</v>
      </c>
      <c r="L690">
        <v>-0.32522000000000001</v>
      </c>
      <c r="M690">
        <v>-0.498</v>
      </c>
    </row>
    <row r="691" spans="1:13" x14ac:dyDescent="0.35">
      <c r="A691" t="s">
        <v>126</v>
      </c>
      <c r="B691">
        <f t="shared" si="30"/>
        <v>2009</v>
      </c>
      <c r="C691">
        <f t="shared" si="31"/>
        <v>12</v>
      </c>
      <c r="D691">
        <f t="shared" si="32"/>
        <v>4</v>
      </c>
      <c r="E691" t="s">
        <v>323</v>
      </c>
      <c r="F691">
        <v>0</v>
      </c>
      <c r="G691">
        <v>3.5</v>
      </c>
      <c r="H691">
        <v>3.5</v>
      </c>
      <c r="J691">
        <v>3.46875</v>
      </c>
      <c r="K691">
        <v>3.125E-2</v>
      </c>
      <c r="L691">
        <v>0.12864999999999999</v>
      </c>
      <c r="M691">
        <v>0.20699999999999999</v>
      </c>
    </row>
    <row r="692" spans="1:13" x14ac:dyDescent="0.35">
      <c r="A692" t="s">
        <v>127</v>
      </c>
      <c r="B692">
        <f t="shared" si="30"/>
        <v>2010</v>
      </c>
      <c r="C692">
        <f t="shared" si="31"/>
        <v>1</v>
      </c>
      <c r="D692">
        <f t="shared" si="32"/>
        <v>1</v>
      </c>
      <c r="E692" t="s">
        <v>323</v>
      </c>
      <c r="F692">
        <v>0</v>
      </c>
      <c r="G692">
        <v>3.5</v>
      </c>
      <c r="H692">
        <v>3.5</v>
      </c>
      <c r="J692">
        <v>3.5</v>
      </c>
      <c r="K692">
        <v>0</v>
      </c>
      <c r="L692">
        <v>0.12822</v>
      </c>
      <c r="M692">
        <v>0.20699999999999999</v>
      </c>
    </row>
    <row r="693" spans="1:13" x14ac:dyDescent="0.35">
      <c r="A693" t="s">
        <v>128</v>
      </c>
      <c r="B693">
        <f t="shared" si="30"/>
        <v>2010</v>
      </c>
      <c r="C693">
        <f t="shared" si="31"/>
        <v>2</v>
      </c>
      <c r="D693">
        <f t="shared" si="32"/>
        <v>1</v>
      </c>
      <c r="E693" t="s">
        <v>323</v>
      </c>
      <c r="F693">
        <v>0</v>
      </c>
      <c r="G693">
        <v>3.5</v>
      </c>
      <c r="H693">
        <v>3.5</v>
      </c>
      <c r="J693">
        <v>3.5</v>
      </c>
      <c r="K693">
        <v>0</v>
      </c>
      <c r="L693">
        <v>3.1599000000000002E-2</v>
      </c>
      <c r="M693">
        <v>0.112</v>
      </c>
    </row>
    <row r="694" spans="1:13" x14ac:dyDescent="0.35">
      <c r="A694" t="s">
        <v>129</v>
      </c>
      <c r="B694">
        <f t="shared" si="30"/>
        <v>2010</v>
      </c>
      <c r="C694">
        <f t="shared" si="31"/>
        <v>3</v>
      </c>
      <c r="D694">
        <f t="shared" si="32"/>
        <v>1</v>
      </c>
      <c r="E694" t="s">
        <v>323</v>
      </c>
      <c r="F694">
        <v>0</v>
      </c>
      <c r="G694">
        <v>3.5</v>
      </c>
      <c r="H694">
        <v>3.5</v>
      </c>
      <c r="J694">
        <v>3.5</v>
      </c>
      <c r="K694">
        <v>0</v>
      </c>
      <c r="L694">
        <v>-8.6746000000000004E-2</v>
      </c>
      <c r="M694">
        <v>7.5999999999999998E-2</v>
      </c>
    </row>
    <row r="695" spans="1:13" x14ac:dyDescent="0.35">
      <c r="A695" t="s">
        <v>130</v>
      </c>
      <c r="B695">
        <f t="shared" si="30"/>
        <v>2010</v>
      </c>
      <c r="C695">
        <f t="shared" si="31"/>
        <v>4</v>
      </c>
      <c r="D695">
        <f t="shared" si="32"/>
        <v>2</v>
      </c>
      <c r="E695" t="s">
        <v>323</v>
      </c>
      <c r="F695">
        <v>-0.5</v>
      </c>
      <c r="G695">
        <v>3.5</v>
      </c>
      <c r="H695">
        <v>3</v>
      </c>
      <c r="J695">
        <v>3.5</v>
      </c>
      <c r="K695">
        <v>-0.5</v>
      </c>
      <c r="L695">
        <v>-0.41316999999999998</v>
      </c>
      <c r="M695">
        <v>-0.51800000000000002</v>
      </c>
    </row>
    <row r="696" spans="1:13" x14ac:dyDescent="0.35">
      <c r="A696" t="s">
        <v>131</v>
      </c>
      <c r="B696">
        <f t="shared" si="30"/>
        <v>2010</v>
      </c>
      <c r="C696">
        <f t="shared" si="31"/>
        <v>5</v>
      </c>
      <c r="D696">
        <f t="shared" si="32"/>
        <v>2</v>
      </c>
      <c r="E696" t="s">
        <v>323</v>
      </c>
      <c r="F696">
        <v>0</v>
      </c>
      <c r="G696">
        <v>3</v>
      </c>
      <c r="H696">
        <v>3</v>
      </c>
      <c r="J696">
        <v>3</v>
      </c>
      <c r="K696">
        <v>0</v>
      </c>
      <c r="L696">
        <v>-1.2236E-2</v>
      </c>
      <c r="M696">
        <v>-4.8000000000000001E-2</v>
      </c>
    </row>
    <row r="697" spans="1:13" x14ac:dyDescent="0.35">
      <c r="A697" t="s">
        <v>132</v>
      </c>
      <c r="B697">
        <f t="shared" si="30"/>
        <v>2010</v>
      </c>
      <c r="C697">
        <f t="shared" si="31"/>
        <v>6</v>
      </c>
      <c r="D697">
        <f t="shared" si="32"/>
        <v>2</v>
      </c>
      <c r="E697" t="s">
        <v>323</v>
      </c>
      <c r="F697">
        <v>0</v>
      </c>
      <c r="G697">
        <v>3</v>
      </c>
      <c r="H697">
        <v>3</v>
      </c>
      <c r="J697">
        <v>3</v>
      </c>
      <c r="K697">
        <v>0</v>
      </c>
      <c r="L697">
        <v>-0.19803999999999999</v>
      </c>
      <c r="M697">
        <v>-4.8000000000000001E-2</v>
      </c>
    </row>
    <row r="698" spans="1:13" x14ac:dyDescent="0.35">
      <c r="A698" t="s">
        <v>133</v>
      </c>
      <c r="B698">
        <f t="shared" si="30"/>
        <v>2010</v>
      </c>
      <c r="C698">
        <f t="shared" si="31"/>
        <v>7</v>
      </c>
      <c r="D698">
        <f t="shared" si="32"/>
        <v>3</v>
      </c>
      <c r="E698" t="s">
        <v>323</v>
      </c>
      <c r="F698">
        <v>0</v>
      </c>
      <c r="G698">
        <v>3</v>
      </c>
      <c r="H698">
        <v>3</v>
      </c>
      <c r="J698">
        <v>3</v>
      </c>
      <c r="K698">
        <v>0</v>
      </c>
      <c r="L698">
        <v>-7.8219999999999998E-2</v>
      </c>
      <c r="M698">
        <v>-5.5E-2</v>
      </c>
    </row>
    <row r="699" spans="1:13" x14ac:dyDescent="0.35">
      <c r="A699" t="s">
        <v>134</v>
      </c>
      <c r="B699">
        <f t="shared" si="30"/>
        <v>2010</v>
      </c>
      <c r="C699">
        <f t="shared" si="31"/>
        <v>8</v>
      </c>
      <c r="D699">
        <f t="shared" si="32"/>
        <v>3</v>
      </c>
      <c r="E699" t="s">
        <v>323</v>
      </c>
      <c r="F699">
        <v>0</v>
      </c>
      <c r="G699">
        <v>3</v>
      </c>
      <c r="H699">
        <v>3</v>
      </c>
      <c r="J699">
        <v>2.9565199999999998</v>
      </c>
      <c r="K699">
        <v>4.3479999999999998E-2</v>
      </c>
      <c r="L699">
        <v>-4.0917000000000002E-2</v>
      </c>
      <c r="M699">
        <v>-4.2999999999999997E-2</v>
      </c>
    </row>
    <row r="700" spans="1:13" x14ac:dyDescent="0.35">
      <c r="A700" t="s">
        <v>135</v>
      </c>
      <c r="B700">
        <f t="shared" si="30"/>
        <v>2010</v>
      </c>
      <c r="C700">
        <f t="shared" si="31"/>
        <v>9</v>
      </c>
      <c r="D700">
        <f t="shared" si="32"/>
        <v>3</v>
      </c>
      <c r="E700" t="s">
        <v>323</v>
      </c>
      <c r="F700">
        <v>0</v>
      </c>
      <c r="G700">
        <v>3</v>
      </c>
      <c r="H700">
        <v>3</v>
      </c>
      <c r="J700">
        <v>3</v>
      </c>
      <c r="K700">
        <v>0</v>
      </c>
      <c r="L700">
        <v>8.8199000000000003E-3</v>
      </c>
      <c r="M700">
        <v>-6.2E-2</v>
      </c>
    </row>
    <row r="701" spans="1:13" x14ac:dyDescent="0.35">
      <c r="A701" t="s">
        <v>136</v>
      </c>
      <c r="B701">
        <f t="shared" si="30"/>
        <v>2010</v>
      </c>
      <c r="C701">
        <f t="shared" si="31"/>
        <v>10</v>
      </c>
      <c r="D701">
        <f t="shared" si="32"/>
        <v>4</v>
      </c>
      <c r="E701" t="s">
        <v>323</v>
      </c>
      <c r="F701">
        <v>0</v>
      </c>
      <c r="G701">
        <v>3</v>
      </c>
      <c r="H701">
        <v>3</v>
      </c>
      <c r="J701">
        <v>2.9765600000000001</v>
      </c>
      <c r="K701">
        <v>2.3439999999999999E-2</v>
      </c>
      <c r="L701">
        <v>0.13754</v>
      </c>
      <c r="M701">
        <v>-5.1999999999999998E-2</v>
      </c>
    </row>
    <row r="702" spans="1:13" x14ac:dyDescent="0.35">
      <c r="A702" t="s">
        <v>137</v>
      </c>
      <c r="B702">
        <f t="shared" si="30"/>
        <v>2010</v>
      </c>
      <c r="C702">
        <f t="shared" si="31"/>
        <v>11</v>
      </c>
      <c r="D702">
        <f t="shared" si="32"/>
        <v>4</v>
      </c>
      <c r="E702" t="s">
        <v>323</v>
      </c>
      <c r="F702">
        <v>0</v>
      </c>
      <c r="G702">
        <v>3</v>
      </c>
      <c r="H702">
        <v>3</v>
      </c>
      <c r="J702">
        <v>3</v>
      </c>
      <c r="K702">
        <v>0</v>
      </c>
      <c r="L702">
        <v>3.1741999999999999E-3</v>
      </c>
      <c r="M702">
        <v>-4.8000000000000001E-2</v>
      </c>
    </row>
    <row r="703" spans="1:13" x14ac:dyDescent="0.35">
      <c r="A703" t="s">
        <v>138</v>
      </c>
      <c r="B703">
        <f t="shared" si="30"/>
        <v>2010</v>
      </c>
      <c r="C703">
        <f t="shared" si="31"/>
        <v>12</v>
      </c>
      <c r="D703">
        <f t="shared" si="32"/>
        <v>4</v>
      </c>
      <c r="E703" t="s">
        <v>323</v>
      </c>
      <c r="F703">
        <v>0</v>
      </c>
      <c r="G703">
        <v>3</v>
      </c>
      <c r="H703">
        <v>3</v>
      </c>
      <c r="J703">
        <v>3</v>
      </c>
      <c r="K703">
        <v>0</v>
      </c>
      <c r="L703">
        <v>9.8637000000000002E-2</v>
      </c>
      <c r="M703">
        <v>-6.7000000000000004E-2</v>
      </c>
    </row>
    <row r="704" spans="1:13" x14ac:dyDescent="0.35">
      <c r="A704" t="s">
        <v>139</v>
      </c>
      <c r="B704">
        <f t="shared" si="30"/>
        <v>2011</v>
      </c>
      <c r="C704">
        <f t="shared" si="31"/>
        <v>1</v>
      </c>
      <c r="D704">
        <f t="shared" si="32"/>
        <v>1</v>
      </c>
      <c r="E704" t="s">
        <v>323</v>
      </c>
      <c r="F704">
        <v>0</v>
      </c>
      <c r="G704">
        <v>3</v>
      </c>
      <c r="H704">
        <v>3</v>
      </c>
      <c r="J704">
        <v>3.0083299999999999</v>
      </c>
      <c r="K704">
        <v>-8.3300000000000006E-3</v>
      </c>
      <c r="L704">
        <v>-0.11142000000000001</v>
      </c>
      <c r="M704">
        <v>-6.4000000000000001E-2</v>
      </c>
    </row>
    <row r="705" spans="1:13" x14ac:dyDescent="0.35">
      <c r="A705" t="s">
        <v>140</v>
      </c>
      <c r="B705">
        <f t="shared" si="30"/>
        <v>2011</v>
      </c>
      <c r="C705">
        <f t="shared" si="31"/>
        <v>2</v>
      </c>
      <c r="D705">
        <f t="shared" si="32"/>
        <v>1</v>
      </c>
      <c r="E705" t="s">
        <v>323</v>
      </c>
      <c r="F705">
        <v>0.25</v>
      </c>
      <c r="G705">
        <v>3</v>
      </c>
      <c r="H705">
        <v>3.25</v>
      </c>
      <c r="J705">
        <v>3.0217399999999999</v>
      </c>
      <c r="K705">
        <v>0.22825999999999999</v>
      </c>
      <c r="L705">
        <v>0.21607000000000001</v>
      </c>
      <c r="M705">
        <v>0.16500000000000001</v>
      </c>
    </row>
    <row r="706" spans="1:13" x14ac:dyDescent="0.35">
      <c r="A706" t="s">
        <v>141</v>
      </c>
      <c r="B706">
        <f t="shared" si="30"/>
        <v>2011</v>
      </c>
      <c r="C706">
        <f t="shared" si="31"/>
        <v>3</v>
      </c>
      <c r="D706">
        <f t="shared" si="32"/>
        <v>1</v>
      </c>
      <c r="E706" t="s">
        <v>323</v>
      </c>
      <c r="F706">
        <v>0</v>
      </c>
      <c r="G706">
        <v>3.5</v>
      </c>
      <c r="H706">
        <v>3.5</v>
      </c>
      <c r="J706">
        <v>3.4537</v>
      </c>
      <c r="K706">
        <v>4.6300000000000001E-2</v>
      </c>
      <c r="L706">
        <v>9.2851000000000003E-2</v>
      </c>
      <c r="M706">
        <v>0.14899999999999999</v>
      </c>
    </row>
    <row r="707" spans="1:13" x14ac:dyDescent="0.35">
      <c r="A707" t="s">
        <v>142</v>
      </c>
      <c r="B707">
        <f t="shared" ref="B707:B770" si="33">LEFT(A707,4)*1</f>
        <v>2011</v>
      </c>
      <c r="C707">
        <f t="shared" ref="C707:C770" si="34">MID(A707,6,2)*1</f>
        <v>4</v>
      </c>
      <c r="D707">
        <f t="shared" ref="D707:D770" si="35">ROUNDUP(C707/3,0)</f>
        <v>2</v>
      </c>
      <c r="E707" t="s">
        <v>323</v>
      </c>
      <c r="F707">
        <v>0</v>
      </c>
      <c r="G707">
        <v>3.75</v>
      </c>
      <c r="H707">
        <v>3.75</v>
      </c>
      <c r="J707">
        <v>3.69828</v>
      </c>
      <c r="K707">
        <v>5.1720000000000002E-2</v>
      </c>
      <c r="L707">
        <v>-3.6949999999999997E-2</v>
      </c>
      <c r="M707">
        <v>0.05</v>
      </c>
    </row>
    <row r="708" spans="1:13" x14ac:dyDescent="0.35">
      <c r="A708" t="s">
        <v>143</v>
      </c>
      <c r="B708">
        <f t="shared" si="33"/>
        <v>2011</v>
      </c>
      <c r="C708">
        <f t="shared" si="34"/>
        <v>5</v>
      </c>
      <c r="D708">
        <f t="shared" si="35"/>
        <v>2</v>
      </c>
      <c r="E708" t="s">
        <v>323</v>
      </c>
      <c r="F708">
        <v>0</v>
      </c>
      <c r="G708">
        <v>4</v>
      </c>
      <c r="H708">
        <v>4</v>
      </c>
      <c r="J708">
        <v>4</v>
      </c>
      <c r="K708">
        <v>0</v>
      </c>
      <c r="L708">
        <v>0.19248999999999999</v>
      </c>
      <c r="M708">
        <v>7.6999999999999999E-2</v>
      </c>
    </row>
    <row r="709" spans="1:13" x14ac:dyDescent="0.35">
      <c r="A709" t="s">
        <v>144</v>
      </c>
      <c r="B709">
        <f t="shared" si="33"/>
        <v>2011</v>
      </c>
      <c r="C709">
        <f t="shared" si="34"/>
        <v>6</v>
      </c>
      <c r="D709">
        <f t="shared" si="35"/>
        <v>2</v>
      </c>
      <c r="E709" t="s">
        <v>323</v>
      </c>
      <c r="F709">
        <v>0</v>
      </c>
      <c r="G709">
        <v>4.25</v>
      </c>
      <c r="H709">
        <v>4.25</v>
      </c>
      <c r="J709">
        <v>4.2391300000000003</v>
      </c>
      <c r="K709">
        <v>1.0869999999999999E-2</v>
      </c>
      <c r="L709">
        <v>0.16369</v>
      </c>
      <c r="M709">
        <v>0.11799999999999999</v>
      </c>
    </row>
    <row r="710" spans="1:13" x14ac:dyDescent="0.35">
      <c r="A710" t="s">
        <v>145</v>
      </c>
      <c r="B710">
        <f t="shared" si="33"/>
        <v>2011</v>
      </c>
      <c r="C710">
        <f t="shared" si="34"/>
        <v>7</v>
      </c>
      <c r="D710">
        <f t="shared" si="35"/>
        <v>3</v>
      </c>
      <c r="E710" t="s">
        <v>323</v>
      </c>
      <c r="F710">
        <v>0</v>
      </c>
      <c r="G710">
        <v>4.5</v>
      </c>
      <c r="H710">
        <v>4.5</v>
      </c>
      <c r="J710">
        <v>4.47</v>
      </c>
      <c r="K710">
        <v>0.03</v>
      </c>
      <c r="L710">
        <v>0.17463999999999999</v>
      </c>
      <c r="M710">
        <v>0.05</v>
      </c>
    </row>
    <row r="711" spans="1:13" x14ac:dyDescent="0.35">
      <c r="A711" t="s">
        <v>146</v>
      </c>
      <c r="B711">
        <f t="shared" si="33"/>
        <v>2011</v>
      </c>
      <c r="C711">
        <f t="shared" si="34"/>
        <v>8</v>
      </c>
      <c r="D711">
        <f t="shared" si="35"/>
        <v>3</v>
      </c>
      <c r="E711" t="s">
        <v>323</v>
      </c>
      <c r="F711">
        <v>-0.25</v>
      </c>
      <c r="G711">
        <v>4.75</v>
      </c>
      <c r="H711">
        <v>4.5</v>
      </c>
      <c r="J711">
        <v>4.6527799999999999</v>
      </c>
      <c r="K711">
        <v>-0.15278</v>
      </c>
      <c r="L711">
        <v>-4.2942000000000001E-2</v>
      </c>
      <c r="M711">
        <v>-0.16</v>
      </c>
    </row>
    <row r="712" spans="1:13" x14ac:dyDescent="0.35">
      <c r="A712" t="s">
        <v>147</v>
      </c>
      <c r="B712">
        <f t="shared" si="33"/>
        <v>2011</v>
      </c>
      <c r="C712">
        <f t="shared" si="34"/>
        <v>9</v>
      </c>
      <c r="D712">
        <f t="shared" si="35"/>
        <v>3</v>
      </c>
      <c r="E712" t="s">
        <v>323</v>
      </c>
      <c r="F712">
        <v>0</v>
      </c>
      <c r="G712">
        <v>4.5</v>
      </c>
      <c r="H712">
        <v>4.5</v>
      </c>
      <c r="J712">
        <v>4.5</v>
      </c>
      <c r="K712">
        <v>0</v>
      </c>
      <c r="L712">
        <v>-8.1485000000000002E-2</v>
      </c>
      <c r="M712">
        <v>-7.4999999999999997E-2</v>
      </c>
    </row>
    <row r="713" spans="1:13" x14ac:dyDescent="0.35">
      <c r="A713" t="s">
        <v>148</v>
      </c>
      <c r="B713">
        <f t="shared" si="33"/>
        <v>2011</v>
      </c>
      <c r="C713">
        <f t="shared" si="34"/>
        <v>10</v>
      </c>
      <c r="D713">
        <f t="shared" si="35"/>
        <v>4</v>
      </c>
      <c r="E713" t="s">
        <v>323</v>
      </c>
      <c r="F713">
        <v>0</v>
      </c>
      <c r="G713">
        <v>4.5</v>
      </c>
      <c r="H713">
        <v>4.5</v>
      </c>
      <c r="J713">
        <v>4.5086199999999996</v>
      </c>
      <c r="K713">
        <v>-8.6199999999999992E-3</v>
      </c>
      <c r="L713">
        <v>-0.11089</v>
      </c>
      <c r="M713">
        <v>-0.107</v>
      </c>
    </row>
    <row r="714" spans="1:13" x14ac:dyDescent="0.35">
      <c r="A714" t="s">
        <v>149</v>
      </c>
      <c r="B714">
        <f t="shared" si="33"/>
        <v>2011</v>
      </c>
      <c r="C714">
        <f t="shared" si="34"/>
        <v>11</v>
      </c>
      <c r="D714">
        <f t="shared" si="35"/>
        <v>4</v>
      </c>
      <c r="E714" t="s">
        <v>323</v>
      </c>
      <c r="F714">
        <v>0</v>
      </c>
      <c r="G714">
        <v>4.75</v>
      </c>
      <c r="H714">
        <v>4.75</v>
      </c>
      <c r="J714">
        <v>4.6285699999999999</v>
      </c>
      <c r="K714">
        <v>0.12143</v>
      </c>
      <c r="L714">
        <v>0.16864000000000001</v>
      </c>
      <c r="M714">
        <v>0.111</v>
      </c>
    </row>
    <row r="715" spans="1:13" x14ac:dyDescent="0.35">
      <c r="A715" t="s">
        <v>150</v>
      </c>
      <c r="B715">
        <f t="shared" si="33"/>
        <v>2011</v>
      </c>
      <c r="C715">
        <f t="shared" si="34"/>
        <v>12</v>
      </c>
      <c r="D715">
        <f t="shared" si="35"/>
        <v>4</v>
      </c>
      <c r="E715" t="s">
        <v>323</v>
      </c>
      <c r="F715">
        <v>0</v>
      </c>
      <c r="G715">
        <v>4.75</v>
      </c>
      <c r="H715">
        <v>4.75</v>
      </c>
      <c r="J715">
        <v>4.7968799999999998</v>
      </c>
      <c r="K715">
        <v>-4.6879999999999998E-2</v>
      </c>
      <c r="L715">
        <v>-0.18276000000000001</v>
      </c>
      <c r="M715">
        <v>-7.0999999999999994E-2</v>
      </c>
    </row>
    <row r="716" spans="1:13" x14ac:dyDescent="0.35">
      <c r="A716" t="s">
        <v>151</v>
      </c>
      <c r="B716">
        <f t="shared" si="33"/>
        <v>2012</v>
      </c>
      <c r="C716">
        <f t="shared" si="34"/>
        <v>1</v>
      </c>
      <c r="D716">
        <f t="shared" si="35"/>
        <v>1</v>
      </c>
      <c r="E716" t="s">
        <v>323</v>
      </c>
      <c r="F716">
        <v>0.25</v>
      </c>
      <c r="G716">
        <v>4.75</v>
      </c>
      <c r="H716">
        <v>5</v>
      </c>
      <c r="J716">
        <v>4.7578100000000001</v>
      </c>
      <c r="K716">
        <v>0.24218999999999999</v>
      </c>
      <c r="L716">
        <v>0.28262999999999999</v>
      </c>
      <c r="M716">
        <v>0.21</v>
      </c>
    </row>
    <row r="717" spans="1:13" x14ac:dyDescent="0.35">
      <c r="A717" t="s">
        <v>152</v>
      </c>
      <c r="B717">
        <f t="shared" si="33"/>
        <v>2012</v>
      </c>
      <c r="C717">
        <f t="shared" si="34"/>
        <v>2</v>
      </c>
      <c r="D717">
        <f t="shared" si="35"/>
        <v>1</v>
      </c>
      <c r="E717" t="s">
        <v>323</v>
      </c>
      <c r="F717">
        <v>0</v>
      </c>
      <c r="G717">
        <v>5.25</v>
      </c>
      <c r="H717">
        <v>5.25</v>
      </c>
      <c r="J717">
        <v>5.1527799999999999</v>
      </c>
      <c r="K717">
        <v>9.7220000000000001E-2</v>
      </c>
      <c r="L717">
        <v>0.27857999999999999</v>
      </c>
      <c r="M717">
        <v>0.16600000000000001</v>
      </c>
    </row>
    <row r="718" spans="1:13" x14ac:dyDescent="0.35">
      <c r="A718" t="s">
        <v>153</v>
      </c>
      <c r="B718">
        <f t="shared" si="33"/>
        <v>2012</v>
      </c>
      <c r="C718">
        <f t="shared" si="34"/>
        <v>3</v>
      </c>
      <c r="D718">
        <f t="shared" si="35"/>
        <v>1</v>
      </c>
      <c r="E718" t="s">
        <v>323</v>
      </c>
      <c r="F718">
        <v>0</v>
      </c>
      <c r="G718">
        <v>5.25</v>
      </c>
      <c r="H718">
        <v>5.25</v>
      </c>
      <c r="J718">
        <v>5.3666700000000001</v>
      </c>
      <c r="K718">
        <v>-0.11667</v>
      </c>
      <c r="L718">
        <v>-1.1277000000000001E-2</v>
      </c>
      <c r="M718">
        <v>-8.0000000000000002E-3</v>
      </c>
    </row>
    <row r="719" spans="1:13" x14ac:dyDescent="0.35">
      <c r="A719" t="s">
        <v>154</v>
      </c>
      <c r="B719">
        <f t="shared" si="33"/>
        <v>2012</v>
      </c>
      <c r="C719">
        <f t="shared" si="34"/>
        <v>4</v>
      </c>
      <c r="D719">
        <f t="shared" si="35"/>
        <v>2</v>
      </c>
      <c r="E719" t="s">
        <v>323</v>
      </c>
      <c r="F719">
        <v>0</v>
      </c>
      <c r="G719">
        <v>5.25</v>
      </c>
      <c r="H719">
        <v>5.25</v>
      </c>
      <c r="J719">
        <v>5.25</v>
      </c>
      <c r="K719">
        <v>0</v>
      </c>
      <c r="L719">
        <v>0.10942</v>
      </c>
      <c r="M719">
        <v>-1.2999999999999999E-2</v>
      </c>
    </row>
    <row r="720" spans="1:13" x14ac:dyDescent="0.35">
      <c r="A720" t="s">
        <v>155</v>
      </c>
      <c r="B720">
        <f t="shared" si="33"/>
        <v>2012</v>
      </c>
      <c r="C720">
        <f t="shared" si="34"/>
        <v>5</v>
      </c>
      <c r="D720">
        <f t="shared" si="35"/>
        <v>2</v>
      </c>
      <c r="E720" t="s">
        <v>323</v>
      </c>
      <c r="F720">
        <v>0</v>
      </c>
      <c r="G720">
        <v>5.25</v>
      </c>
      <c r="H720">
        <v>5.25</v>
      </c>
      <c r="J720">
        <v>5.25</v>
      </c>
      <c r="K720">
        <v>0</v>
      </c>
      <c r="L720">
        <v>7.3094000000000006E-2</v>
      </c>
      <c r="M720">
        <v>-0.02</v>
      </c>
    </row>
    <row r="721" spans="1:13" x14ac:dyDescent="0.35">
      <c r="A721" t="s">
        <v>156</v>
      </c>
      <c r="B721">
        <f t="shared" si="33"/>
        <v>2012</v>
      </c>
      <c r="C721">
        <f t="shared" si="34"/>
        <v>6</v>
      </c>
      <c r="D721">
        <f t="shared" si="35"/>
        <v>2</v>
      </c>
      <c r="E721" t="s">
        <v>323</v>
      </c>
      <c r="F721">
        <v>0</v>
      </c>
      <c r="G721">
        <v>5.25</v>
      </c>
      <c r="H721">
        <v>5.25</v>
      </c>
      <c r="J721">
        <v>5.25</v>
      </c>
      <c r="K721">
        <v>0</v>
      </c>
      <c r="L721">
        <v>0.13178000000000001</v>
      </c>
      <c r="M721">
        <v>-4.7E-2</v>
      </c>
    </row>
    <row r="722" spans="1:13" x14ac:dyDescent="0.35">
      <c r="A722" t="s">
        <v>157</v>
      </c>
      <c r="B722">
        <f t="shared" si="33"/>
        <v>2012</v>
      </c>
      <c r="C722">
        <f t="shared" si="34"/>
        <v>7</v>
      </c>
      <c r="D722">
        <f t="shared" si="35"/>
        <v>3</v>
      </c>
      <c r="E722" t="s">
        <v>323</v>
      </c>
      <c r="F722">
        <v>-0.25</v>
      </c>
      <c r="G722">
        <v>5.25</v>
      </c>
      <c r="H722">
        <v>5</v>
      </c>
      <c r="J722">
        <v>5.17143</v>
      </c>
      <c r="K722">
        <v>-0.17143</v>
      </c>
      <c r="L722">
        <v>-0.13988</v>
      </c>
      <c r="M722">
        <v>-0.36099999999999999</v>
      </c>
    </row>
    <row r="723" spans="1:13" x14ac:dyDescent="0.35">
      <c r="A723" t="s">
        <v>158</v>
      </c>
      <c r="B723">
        <f t="shared" si="33"/>
        <v>2012</v>
      </c>
      <c r="C723">
        <f t="shared" si="34"/>
        <v>8</v>
      </c>
      <c r="D723">
        <f t="shared" si="35"/>
        <v>3</v>
      </c>
      <c r="E723" t="s">
        <v>323</v>
      </c>
      <c r="F723">
        <v>0</v>
      </c>
      <c r="G723">
        <v>4.75</v>
      </c>
      <c r="H723">
        <v>4.75</v>
      </c>
      <c r="J723">
        <v>4.7803000000000004</v>
      </c>
      <c r="K723">
        <v>-3.0300000000000001E-2</v>
      </c>
      <c r="L723">
        <v>-0.15223999999999999</v>
      </c>
      <c r="M723">
        <v>-0.09</v>
      </c>
    </row>
    <row r="724" spans="1:13" x14ac:dyDescent="0.35">
      <c r="A724" t="s">
        <v>159</v>
      </c>
      <c r="B724">
        <f t="shared" si="33"/>
        <v>2012</v>
      </c>
      <c r="C724">
        <f t="shared" si="34"/>
        <v>9</v>
      </c>
      <c r="D724">
        <f t="shared" si="35"/>
        <v>3</v>
      </c>
      <c r="E724" t="s">
        <v>323</v>
      </c>
      <c r="F724">
        <v>0</v>
      </c>
      <c r="G724">
        <v>4.75</v>
      </c>
      <c r="H724">
        <v>4.75</v>
      </c>
      <c r="J724">
        <v>4.6617600000000001</v>
      </c>
      <c r="K724">
        <v>8.8239999999999999E-2</v>
      </c>
      <c r="L724">
        <v>5.1955999999999999E-3</v>
      </c>
      <c r="M724">
        <v>0.14399999999999999</v>
      </c>
    </row>
    <row r="725" spans="1:13" x14ac:dyDescent="0.35">
      <c r="A725" t="s">
        <v>160</v>
      </c>
      <c r="B725">
        <f t="shared" si="33"/>
        <v>2012</v>
      </c>
      <c r="C725">
        <f t="shared" si="34"/>
        <v>10</v>
      </c>
      <c r="D725">
        <f t="shared" si="35"/>
        <v>4</v>
      </c>
      <c r="E725" t="s">
        <v>323</v>
      </c>
      <c r="F725">
        <v>0</v>
      </c>
      <c r="G725">
        <v>4.75</v>
      </c>
      <c r="H725">
        <v>4.75</v>
      </c>
      <c r="J725">
        <v>4.7</v>
      </c>
      <c r="K725">
        <v>0.05</v>
      </c>
      <c r="L725">
        <v>0.33032</v>
      </c>
      <c r="M725">
        <v>2.4E-2</v>
      </c>
    </row>
    <row r="726" spans="1:13" x14ac:dyDescent="0.35">
      <c r="A726" t="s">
        <v>161</v>
      </c>
      <c r="B726">
        <f t="shared" si="33"/>
        <v>2012</v>
      </c>
      <c r="C726">
        <f t="shared" si="34"/>
        <v>11</v>
      </c>
      <c r="D726">
        <f t="shared" si="35"/>
        <v>4</v>
      </c>
      <c r="E726" t="s">
        <v>323</v>
      </c>
      <c r="F726">
        <v>-0.25</v>
      </c>
      <c r="G726">
        <v>4.75</v>
      </c>
      <c r="H726">
        <v>4.5</v>
      </c>
      <c r="J726">
        <v>4.7348499999999998</v>
      </c>
      <c r="K726">
        <v>-0.23485</v>
      </c>
      <c r="L726">
        <v>-7.5708999999999999E-2</v>
      </c>
      <c r="M726">
        <v>-0.23100000000000001</v>
      </c>
    </row>
    <row r="727" spans="1:13" x14ac:dyDescent="0.35">
      <c r="A727" t="s">
        <v>162</v>
      </c>
      <c r="B727">
        <f t="shared" si="33"/>
        <v>2012</v>
      </c>
      <c r="C727">
        <f t="shared" si="34"/>
        <v>12</v>
      </c>
      <c r="D727">
        <f t="shared" si="35"/>
        <v>4</v>
      </c>
      <c r="E727" t="s">
        <v>323</v>
      </c>
      <c r="F727">
        <v>-0.25</v>
      </c>
      <c r="G727">
        <v>4.5</v>
      </c>
      <c r="H727">
        <v>4.25</v>
      </c>
      <c r="J727">
        <v>4.4140600000000001</v>
      </c>
      <c r="K727">
        <v>-0.16406000000000001</v>
      </c>
      <c r="L727">
        <v>0.11414000000000001</v>
      </c>
      <c r="M727">
        <v>-8.2000000000000003E-2</v>
      </c>
    </row>
    <row r="728" spans="1:13" x14ac:dyDescent="0.35">
      <c r="A728" t="s">
        <v>163</v>
      </c>
      <c r="B728">
        <f t="shared" si="33"/>
        <v>2013</v>
      </c>
      <c r="C728">
        <f t="shared" si="34"/>
        <v>1</v>
      </c>
      <c r="D728">
        <f t="shared" si="35"/>
        <v>1</v>
      </c>
      <c r="E728" t="s">
        <v>323</v>
      </c>
      <c r="F728">
        <v>0</v>
      </c>
      <c r="G728">
        <v>4</v>
      </c>
      <c r="H728">
        <v>4</v>
      </c>
      <c r="J728">
        <v>4.0151500000000002</v>
      </c>
      <c r="K728">
        <v>-1.515E-2</v>
      </c>
      <c r="L728">
        <v>-0.10108</v>
      </c>
      <c r="M728">
        <v>3.1E-2</v>
      </c>
    </row>
    <row r="729" spans="1:13" x14ac:dyDescent="0.35">
      <c r="A729" t="s">
        <v>164</v>
      </c>
      <c r="B729">
        <f t="shared" si="33"/>
        <v>2013</v>
      </c>
      <c r="C729">
        <f t="shared" si="34"/>
        <v>2</v>
      </c>
      <c r="D729">
        <f t="shared" si="35"/>
        <v>1</v>
      </c>
      <c r="E729" t="s">
        <v>323</v>
      </c>
      <c r="F729">
        <v>0</v>
      </c>
      <c r="G729">
        <v>3.75</v>
      </c>
      <c r="H729">
        <v>3.75</v>
      </c>
      <c r="J729">
        <v>3.75</v>
      </c>
      <c r="K729">
        <v>0</v>
      </c>
      <c r="L729">
        <v>-8.5786000000000001E-2</v>
      </c>
      <c r="M729">
        <v>-1.4999999999999999E-2</v>
      </c>
    </row>
    <row r="730" spans="1:13" x14ac:dyDescent="0.35">
      <c r="A730" t="s">
        <v>165</v>
      </c>
      <c r="B730">
        <f t="shared" si="33"/>
        <v>2013</v>
      </c>
      <c r="C730">
        <f t="shared" si="34"/>
        <v>3</v>
      </c>
      <c r="D730">
        <f t="shared" si="35"/>
        <v>1</v>
      </c>
      <c r="E730" t="s">
        <v>323</v>
      </c>
      <c r="F730">
        <v>-0.25</v>
      </c>
      <c r="G730">
        <v>3.5</v>
      </c>
      <c r="H730">
        <v>3.25</v>
      </c>
      <c r="J730">
        <v>3.5390600000000001</v>
      </c>
      <c r="K730">
        <v>-0.28905999999999998</v>
      </c>
      <c r="L730">
        <v>-0.38536999999999999</v>
      </c>
      <c r="M730">
        <v>-0.26500000000000001</v>
      </c>
    </row>
    <row r="731" spans="1:13" x14ac:dyDescent="0.35">
      <c r="A731" t="s">
        <v>166</v>
      </c>
      <c r="B731">
        <f t="shared" si="33"/>
        <v>2013</v>
      </c>
      <c r="C731">
        <f t="shared" si="34"/>
        <v>4</v>
      </c>
      <c r="D731">
        <f t="shared" si="35"/>
        <v>2</v>
      </c>
      <c r="E731" t="s">
        <v>323</v>
      </c>
      <c r="F731">
        <v>0</v>
      </c>
      <c r="G731">
        <v>3.25</v>
      </c>
      <c r="H731">
        <v>3.25</v>
      </c>
      <c r="J731">
        <v>3.1532300000000002</v>
      </c>
      <c r="K731">
        <v>9.6769999999999995E-2</v>
      </c>
      <c r="L731">
        <v>0.12523000000000001</v>
      </c>
      <c r="M731">
        <v>0.13400000000000001</v>
      </c>
    </row>
    <row r="732" spans="1:13" x14ac:dyDescent="0.35">
      <c r="A732" t="s">
        <v>167</v>
      </c>
      <c r="B732">
        <f t="shared" si="33"/>
        <v>2013</v>
      </c>
      <c r="C732">
        <f t="shared" si="34"/>
        <v>5</v>
      </c>
      <c r="D732">
        <f t="shared" si="35"/>
        <v>2</v>
      </c>
      <c r="E732" t="s">
        <v>323</v>
      </c>
      <c r="F732">
        <v>0</v>
      </c>
      <c r="G732">
        <v>3.25</v>
      </c>
      <c r="H732">
        <v>3.25</v>
      </c>
      <c r="J732">
        <v>3.25</v>
      </c>
      <c r="K732">
        <v>0</v>
      </c>
      <c r="L732">
        <v>7.5215000000000004E-2</v>
      </c>
      <c r="M732">
        <v>1.7000000000000001E-2</v>
      </c>
    </row>
    <row r="733" spans="1:13" x14ac:dyDescent="0.35">
      <c r="A733" t="s">
        <v>168</v>
      </c>
      <c r="B733">
        <f t="shared" si="33"/>
        <v>2013</v>
      </c>
      <c r="C733">
        <f t="shared" si="34"/>
        <v>6</v>
      </c>
      <c r="D733">
        <f t="shared" si="35"/>
        <v>2</v>
      </c>
      <c r="E733" t="s">
        <v>323</v>
      </c>
      <c r="F733">
        <v>0</v>
      </c>
      <c r="G733">
        <v>3.25</v>
      </c>
      <c r="H733">
        <v>3.25</v>
      </c>
      <c r="J733">
        <v>3.2407400000000002</v>
      </c>
      <c r="K733">
        <v>9.2599999999999991E-3</v>
      </c>
      <c r="L733">
        <v>7.4964000000000003E-2</v>
      </c>
      <c r="M733">
        <v>2.7E-2</v>
      </c>
    </row>
    <row r="734" spans="1:13" x14ac:dyDescent="0.35">
      <c r="A734" t="s">
        <v>169</v>
      </c>
      <c r="B734">
        <f t="shared" si="33"/>
        <v>2013</v>
      </c>
      <c r="C734">
        <f t="shared" si="34"/>
        <v>7</v>
      </c>
      <c r="D734">
        <f t="shared" si="35"/>
        <v>3</v>
      </c>
      <c r="E734" t="s">
        <v>323</v>
      </c>
      <c r="F734">
        <v>0</v>
      </c>
      <c r="G734">
        <v>3.25</v>
      </c>
      <c r="H734">
        <v>3.25</v>
      </c>
      <c r="J734">
        <v>3.25</v>
      </c>
      <c r="K734">
        <v>0</v>
      </c>
      <c r="L734">
        <v>3.4714000000000002E-2</v>
      </c>
      <c r="M734">
        <v>-4.0000000000000001E-3</v>
      </c>
    </row>
    <row r="735" spans="1:13" x14ac:dyDescent="0.35">
      <c r="A735" t="s">
        <v>170</v>
      </c>
      <c r="B735">
        <f t="shared" si="33"/>
        <v>2013</v>
      </c>
      <c r="C735">
        <f t="shared" si="34"/>
        <v>8</v>
      </c>
      <c r="D735">
        <f t="shared" si="35"/>
        <v>3</v>
      </c>
      <c r="E735" t="s">
        <v>323</v>
      </c>
      <c r="F735">
        <v>0</v>
      </c>
      <c r="G735">
        <v>3.25</v>
      </c>
      <c r="H735">
        <v>3.25</v>
      </c>
      <c r="J735">
        <v>3.25</v>
      </c>
      <c r="K735">
        <v>0</v>
      </c>
      <c r="L735">
        <v>4.5777999999999999E-2</v>
      </c>
      <c r="M735">
        <v>-1.6E-2</v>
      </c>
    </row>
    <row r="736" spans="1:13" x14ac:dyDescent="0.35">
      <c r="A736" t="s">
        <v>171</v>
      </c>
      <c r="B736">
        <f t="shared" si="33"/>
        <v>2013</v>
      </c>
      <c r="C736">
        <f t="shared" si="34"/>
        <v>9</v>
      </c>
      <c r="D736">
        <f t="shared" si="35"/>
        <v>3</v>
      </c>
      <c r="E736" t="s">
        <v>323</v>
      </c>
      <c r="F736">
        <v>0</v>
      </c>
      <c r="G736">
        <v>3.25</v>
      </c>
      <c r="H736">
        <v>3.25</v>
      </c>
      <c r="J736">
        <v>3.2265600000000001</v>
      </c>
      <c r="K736">
        <v>2.3439999999999999E-2</v>
      </c>
      <c r="L736">
        <v>-3.9564000000000002E-2</v>
      </c>
      <c r="M736">
        <v>4.0000000000000001E-3</v>
      </c>
    </row>
    <row r="737" spans="1:13" x14ac:dyDescent="0.35">
      <c r="A737" t="s">
        <v>172</v>
      </c>
      <c r="B737">
        <f t="shared" si="33"/>
        <v>2013</v>
      </c>
      <c r="C737">
        <f t="shared" si="34"/>
        <v>10</v>
      </c>
      <c r="D737">
        <f t="shared" si="35"/>
        <v>4</v>
      </c>
      <c r="E737" t="s">
        <v>323</v>
      </c>
      <c r="F737">
        <v>0</v>
      </c>
      <c r="G737">
        <v>3.25</v>
      </c>
      <c r="H737">
        <v>3.25</v>
      </c>
      <c r="J737">
        <v>3.2424200000000001</v>
      </c>
      <c r="K737">
        <v>7.5799999999999999E-3</v>
      </c>
      <c r="L737">
        <v>-3.0571000000000001E-2</v>
      </c>
      <c r="M737">
        <v>-1E-3</v>
      </c>
    </row>
    <row r="738" spans="1:13" x14ac:dyDescent="0.35">
      <c r="A738" t="s">
        <v>173</v>
      </c>
      <c r="B738">
        <f t="shared" si="33"/>
        <v>2013</v>
      </c>
      <c r="C738">
        <f t="shared" si="34"/>
        <v>11</v>
      </c>
      <c r="D738">
        <f t="shared" si="35"/>
        <v>4</v>
      </c>
      <c r="E738" t="s">
        <v>323</v>
      </c>
      <c r="F738">
        <v>0</v>
      </c>
      <c r="G738">
        <v>3.25</v>
      </c>
      <c r="H738">
        <v>3.25</v>
      </c>
      <c r="J738">
        <v>3.2413799999999999</v>
      </c>
      <c r="K738">
        <v>8.6199999999999992E-3</v>
      </c>
      <c r="L738">
        <v>2.1922000000000001E-2</v>
      </c>
      <c r="M738">
        <v>2.1999999999999999E-2</v>
      </c>
    </row>
    <row r="739" spans="1:13" x14ac:dyDescent="0.35">
      <c r="A739" t="s">
        <v>174</v>
      </c>
      <c r="B739">
        <f t="shared" si="33"/>
        <v>2013</v>
      </c>
      <c r="C739">
        <f t="shared" si="34"/>
        <v>12</v>
      </c>
      <c r="D739">
        <f t="shared" si="35"/>
        <v>4</v>
      </c>
      <c r="E739" t="s">
        <v>323</v>
      </c>
      <c r="F739">
        <v>0</v>
      </c>
      <c r="G739">
        <v>3.25</v>
      </c>
      <c r="H739">
        <v>3.25</v>
      </c>
      <c r="J739">
        <v>3.25</v>
      </c>
      <c r="K739">
        <v>0</v>
      </c>
      <c r="L739">
        <v>6.1908999999999999E-2</v>
      </c>
      <c r="M739">
        <v>1.4E-2</v>
      </c>
    </row>
    <row r="740" spans="1:13" x14ac:dyDescent="0.35">
      <c r="A740" t="s">
        <v>175</v>
      </c>
      <c r="B740">
        <f t="shared" si="33"/>
        <v>2014</v>
      </c>
      <c r="C740">
        <f t="shared" si="34"/>
        <v>1</v>
      </c>
      <c r="D740">
        <f t="shared" si="35"/>
        <v>1</v>
      </c>
      <c r="E740" t="s">
        <v>323</v>
      </c>
      <c r="F740">
        <v>0</v>
      </c>
      <c r="G740">
        <v>3.25</v>
      </c>
      <c r="H740">
        <v>3.25</v>
      </c>
      <c r="J740">
        <v>3.25</v>
      </c>
      <c r="K740">
        <v>0</v>
      </c>
      <c r="L740">
        <v>7.8018999999999996E-3</v>
      </c>
      <c r="M740">
        <v>-2.1000000000000001E-2</v>
      </c>
    </row>
    <row r="741" spans="1:13" x14ac:dyDescent="0.35">
      <c r="A741" t="s">
        <v>176</v>
      </c>
      <c r="B741">
        <f t="shared" si="33"/>
        <v>2014</v>
      </c>
      <c r="C741">
        <f t="shared" si="34"/>
        <v>2</v>
      </c>
      <c r="D741">
        <f t="shared" si="35"/>
        <v>1</v>
      </c>
      <c r="E741" t="s">
        <v>323</v>
      </c>
      <c r="F741">
        <v>0</v>
      </c>
      <c r="G741">
        <v>3.25</v>
      </c>
      <c r="H741">
        <v>3.25</v>
      </c>
      <c r="J741">
        <v>3.25</v>
      </c>
      <c r="K741">
        <v>0</v>
      </c>
      <c r="L741">
        <v>1.0359999999999999E-2</v>
      </c>
      <c r="M741">
        <v>-5.0000000000000001E-3</v>
      </c>
    </row>
    <row r="742" spans="1:13" x14ac:dyDescent="0.35">
      <c r="A742" t="s">
        <v>177</v>
      </c>
      <c r="B742">
        <f t="shared" si="33"/>
        <v>2014</v>
      </c>
      <c r="C742">
        <f t="shared" si="34"/>
        <v>3</v>
      </c>
      <c r="D742">
        <f t="shared" si="35"/>
        <v>1</v>
      </c>
      <c r="E742" t="s">
        <v>323</v>
      </c>
      <c r="F742">
        <v>0</v>
      </c>
      <c r="G742">
        <v>3.25</v>
      </c>
      <c r="H742">
        <v>3.25</v>
      </c>
      <c r="J742">
        <v>3.25</v>
      </c>
      <c r="K742">
        <v>0</v>
      </c>
      <c r="L742">
        <v>-3.5504000000000001E-2</v>
      </c>
      <c r="M742">
        <v>4.8000000000000001E-2</v>
      </c>
    </row>
    <row r="743" spans="1:13" x14ac:dyDescent="0.35">
      <c r="A743" t="s">
        <v>178</v>
      </c>
      <c r="B743">
        <f t="shared" si="33"/>
        <v>2014</v>
      </c>
      <c r="C743">
        <f t="shared" si="34"/>
        <v>4</v>
      </c>
      <c r="D743">
        <f t="shared" si="35"/>
        <v>2</v>
      </c>
      <c r="E743" t="s">
        <v>323</v>
      </c>
      <c r="F743">
        <v>0.25</v>
      </c>
      <c r="G743">
        <v>3.25</v>
      </c>
      <c r="H743">
        <v>3.5</v>
      </c>
      <c r="J743">
        <v>3.2758600000000002</v>
      </c>
      <c r="K743">
        <v>0.22414000000000001</v>
      </c>
      <c r="L743">
        <v>0.21382000000000001</v>
      </c>
      <c r="M743">
        <v>0.255</v>
      </c>
    </row>
    <row r="744" spans="1:13" x14ac:dyDescent="0.35">
      <c r="A744" t="s">
        <v>179</v>
      </c>
      <c r="B744">
        <f t="shared" si="33"/>
        <v>2014</v>
      </c>
      <c r="C744">
        <f t="shared" si="34"/>
        <v>5</v>
      </c>
      <c r="D744">
        <f t="shared" si="35"/>
        <v>2</v>
      </c>
      <c r="E744" t="s">
        <v>323</v>
      </c>
      <c r="F744">
        <v>0</v>
      </c>
      <c r="G744">
        <v>3.75</v>
      </c>
      <c r="H744">
        <v>3.75</v>
      </c>
      <c r="J744">
        <v>3.72</v>
      </c>
      <c r="K744">
        <v>0.03</v>
      </c>
      <c r="L744">
        <v>0.24095</v>
      </c>
      <c r="M744">
        <v>1.4E-2</v>
      </c>
    </row>
    <row r="745" spans="1:13" x14ac:dyDescent="0.35">
      <c r="A745" t="s">
        <v>180</v>
      </c>
      <c r="B745">
        <f t="shared" si="33"/>
        <v>2014</v>
      </c>
      <c r="C745">
        <f t="shared" si="34"/>
        <v>6</v>
      </c>
      <c r="D745">
        <f t="shared" si="35"/>
        <v>2</v>
      </c>
      <c r="E745" t="s">
        <v>323</v>
      </c>
      <c r="F745">
        <v>0</v>
      </c>
      <c r="G745">
        <v>4</v>
      </c>
      <c r="H745">
        <v>4</v>
      </c>
      <c r="J745">
        <v>4.0357099999999999</v>
      </c>
      <c r="K745">
        <v>-3.5709999999999999E-2</v>
      </c>
      <c r="L745">
        <v>7.7316999999999997E-2</v>
      </c>
      <c r="M745">
        <v>-3.6999999999999998E-2</v>
      </c>
    </row>
    <row r="746" spans="1:13" x14ac:dyDescent="0.35">
      <c r="A746" t="s">
        <v>181</v>
      </c>
      <c r="B746">
        <f t="shared" si="33"/>
        <v>2014</v>
      </c>
      <c r="C746">
        <f t="shared" si="34"/>
        <v>7</v>
      </c>
      <c r="D746">
        <f t="shared" si="35"/>
        <v>3</v>
      </c>
      <c r="E746" t="s">
        <v>323</v>
      </c>
      <c r="F746">
        <v>0</v>
      </c>
      <c r="G746">
        <v>4.25</v>
      </c>
      <c r="H746">
        <v>4.25</v>
      </c>
      <c r="J746">
        <v>4.2343799999999998</v>
      </c>
      <c r="K746">
        <v>1.562E-2</v>
      </c>
      <c r="L746">
        <v>0.22255</v>
      </c>
      <c r="M746">
        <v>0.106</v>
      </c>
    </row>
    <row r="747" spans="1:13" x14ac:dyDescent="0.35">
      <c r="A747" t="s">
        <v>182</v>
      </c>
      <c r="B747">
        <f t="shared" si="33"/>
        <v>2014</v>
      </c>
      <c r="C747">
        <f t="shared" si="34"/>
        <v>8</v>
      </c>
      <c r="D747">
        <f t="shared" si="35"/>
        <v>3</v>
      </c>
      <c r="E747" t="s">
        <v>323</v>
      </c>
      <c r="F747">
        <v>0</v>
      </c>
      <c r="G747">
        <v>4.5</v>
      </c>
      <c r="H747">
        <v>4.5</v>
      </c>
      <c r="J747">
        <v>4.4632399999999999</v>
      </c>
      <c r="K747">
        <v>3.6760000000000001E-2</v>
      </c>
      <c r="L747">
        <v>0.26530999999999999</v>
      </c>
      <c r="M747">
        <v>0.121</v>
      </c>
    </row>
    <row r="748" spans="1:13" x14ac:dyDescent="0.35">
      <c r="A748" t="s">
        <v>183</v>
      </c>
      <c r="B748">
        <f t="shared" si="33"/>
        <v>2014</v>
      </c>
      <c r="C748">
        <f t="shared" si="34"/>
        <v>9</v>
      </c>
      <c r="D748">
        <f t="shared" si="35"/>
        <v>3</v>
      </c>
      <c r="E748" t="s">
        <v>323</v>
      </c>
      <c r="F748">
        <v>0</v>
      </c>
      <c r="G748">
        <v>4.5</v>
      </c>
      <c r="H748">
        <v>4.5</v>
      </c>
      <c r="J748">
        <v>4.54054</v>
      </c>
      <c r="K748">
        <v>-4.054E-2</v>
      </c>
      <c r="L748">
        <v>2.3813000000000001E-2</v>
      </c>
      <c r="M748">
        <v>5.0000000000000001E-3</v>
      </c>
    </row>
    <row r="749" spans="1:13" x14ac:dyDescent="0.35">
      <c r="A749" t="s">
        <v>184</v>
      </c>
      <c r="B749">
        <f t="shared" si="33"/>
        <v>2014</v>
      </c>
      <c r="C749">
        <f t="shared" si="34"/>
        <v>10</v>
      </c>
      <c r="D749">
        <f t="shared" si="35"/>
        <v>4</v>
      </c>
      <c r="E749" t="s">
        <v>323</v>
      </c>
      <c r="F749">
        <v>0</v>
      </c>
      <c r="G749">
        <v>4.5</v>
      </c>
      <c r="H749">
        <v>4.5</v>
      </c>
      <c r="J749">
        <v>4.5065799999999996</v>
      </c>
      <c r="K749">
        <v>-6.5799999999999999E-3</v>
      </c>
      <c r="L749">
        <v>-1.193E-2</v>
      </c>
      <c r="M749">
        <v>1E-3</v>
      </c>
    </row>
    <row r="750" spans="1:13" x14ac:dyDescent="0.35">
      <c r="A750" t="s">
        <v>185</v>
      </c>
      <c r="B750">
        <f t="shared" si="33"/>
        <v>2014</v>
      </c>
      <c r="C750">
        <f t="shared" si="34"/>
        <v>11</v>
      </c>
      <c r="D750">
        <f t="shared" si="35"/>
        <v>4</v>
      </c>
      <c r="E750" t="s">
        <v>323</v>
      </c>
      <c r="F750">
        <v>0</v>
      </c>
      <c r="G750">
        <v>4.5</v>
      </c>
      <c r="H750">
        <v>4.5</v>
      </c>
      <c r="J750">
        <v>4.5</v>
      </c>
      <c r="K750">
        <v>0</v>
      </c>
      <c r="L750">
        <v>-1.2198000000000001E-2</v>
      </c>
      <c r="M750">
        <v>4.0000000000000001E-3</v>
      </c>
    </row>
    <row r="751" spans="1:13" x14ac:dyDescent="0.35">
      <c r="A751" t="s">
        <v>186</v>
      </c>
      <c r="B751">
        <f t="shared" si="33"/>
        <v>2014</v>
      </c>
      <c r="C751">
        <f t="shared" si="34"/>
        <v>12</v>
      </c>
      <c r="D751">
        <f t="shared" si="35"/>
        <v>4</v>
      </c>
      <c r="E751" t="s">
        <v>323</v>
      </c>
      <c r="F751">
        <v>0</v>
      </c>
      <c r="G751">
        <v>4.5</v>
      </c>
      <c r="H751">
        <v>4.5</v>
      </c>
      <c r="J751">
        <v>4.4913800000000004</v>
      </c>
      <c r="K751">
        <v>8.6199999999999992E-3</v>
      </c>
      <c r="L751">
        <v>3.3473999999999997E-2</v>
      </c>
      <c r="M751">
        <v>2E-3</v>
      </c>
    </row>
    <row r="752" spans="1:13" x14ac:dyDescent="0.35">
      <c r="A752" t="s">
        <v>187</v>
      </c>
      <c r="B752">
        <f t="shared" si="33"/>
        <v>2015</v>
      </c>
      <c r="C752">
        <f t="shared" si="34"/>
        <v>1</v>
      </c>
      <c r="D752">
        <f t="shared" si="35"/>
        <v>1</v>
      </c>
      <c r="E752" t="s">
        <v>323</v>
      </c>
      <c r="F752">
        <v>0</v>
      </c>
      <c r="G752">
        <v>4.5</v>
      </c>
      <c r="H752">
        <v>4.5</v>
      </c>
      <c r="J752">
        <v>4.5</v>
      </c>
      <c r="K752">
        <v>0</v>
      </c>
      <c r="L752">
        <v>-0.12837999999999999</v>
      </c>
      <c r="M752">
        <v>0</v>
      </c>
    </row>
    <row r="753" spans="1:13" x14ac:dyDescent="0.35">
      <c r="A753" t="s">
        <v>188</v>
      </c>
      <c r="B753">
        <f t="shared" si="33"/>
        <v>2015</v>
      </c>
      <c r="C753">
        <f t="shared" si="34"/>
        <v>2</v>
      </c>
      <c r="D753">
        <f t="shared" si="35"/>
        <v>1</v>
      </c>
      <c r="E753" t="s">
        <v>323</v>
      </c>
      <c r="F753">
        <v>0</v>
      </c>
      <c r="G753">
        <v>4.5</v>
      </c>
      <c r="H753">
        <v>4.5</v>
      </c>
      <c r="J753">
        <v>4.5</v>
      </c>
      <c r="K753">
        <v>0</v>
      </c>
      <c r="L753">
        <v>1.2523E-3</v>
      </c>
      <c r="M753">
        <v>2E-3</v>
      </c>
    </row>
    <row r="754" spans="1:13" x14ac:dyDescent="0.35">
      <c r="A754" t="s">
        <v>189</v>
      </c>
      <c r="B754">
        <f t="shared" si="33"/>
        <v>2015</v>
      </c>
      <c r="C754">
        <f t="shared" si="34"/>
        <v>3</v>
      </c>
      <c r="D754">
        <f t="shared" si="35"/>
        <v>1</v>
      </c>
      <c r="E754" t="s">
        <v>323</v>
      </c>
      <c r="F754">
        <v>0</v>
      </c>
      <c r="G754">
        <v>4.5</v>
      </c>
      <c r="H754">
        <v>4.5</v>
      </c>
      <c r="J754">
        <v>4.5357099999999999</v>
      </c>
      <c r="K754">
        <v>-3.5709999999999999E-2</v>
      </c>
      <c r="L754">
        <v>-4.7782999999999999E-2</v>
      </c>
      <c r="M754">
        <v>-1E-3</v>
      </c>
    </row>
    <row r="755" spans="1:13" x14ac:dyDescent="0.35">
      <c r="A755" t="s">
        <v>190</v>
      </c>
      <c r="B755">
        <f t="shared" si="33"/>
        <v>2015</v>
      </c>
      <c r="C755">
        <f t="shared" si="34"/>
        <v>4</v>
      </c>
      <c r="D755">
        <f t="shared" si="35"/>
        <v>2</v>
      </c>
      <c r="E755" t="s">
        <v>323</v>
      </c>
      <c r="F755">
        <v>0</v>
      </c>
      <c r="G755">
        <v>4.5</v>
      </c>
      <c r="H755">
        <v>4.5</v>
      </c>
      <c r="J755">
        <v>4.5</v>
      </c>
      <c r="K755">
        <v>0</v>
      </c>
      <c r="L755">
        <v>-0.11094</v>
      </c>
      <c r="M755">
        <v>-1.2E-2</v>
      </c>
    </row>
    <row r="756" spans="1:13" x14ac:dyDescent="0.35">
      <c r="A756" t="s">
        <v>191</v>
      </c>
      <c r="B756">
        <f t="shared" si="33"/>
        <v>2015</v>
      </c>
      <c r="C756">
        <f t="shared" si="34"/>
        <v>5</v>
      </c>
      <c r="D756">
        <f t="shared" si="35"/>
        <v>2</v>
      </c>
      <c r="E756" t="s">
        <v>323</v>
      </c>
      <c r="F756">
        <v>0</v>
      </c>
      <c r="G756">
        <v>4.5</v>
      </c>
      <c r="H756">
        <v>4.5</v>
      </c>
      <c r="J756">
        <v>4.5</v>
      </c>
      <c r="K756">
        <v>0</v>
      </c>
      <c r="L756">
        <v>-2.3210000000000001E-2</v>
      </c>
      <c r="M756">
        <v>-8.0000000000000002E-3</v>
      </c>
    </row>
    <row r="757" spans="1:13" x14ac:dyDescent="0.35">
      <c r="A757" t="s">
        <v>192</v>
      </c>
      <c r="B757">
        <f t="shared" si="33"/>
        <v>2015</v>
      </c>
      <c r="C757">
        <f t="shared" si="34"/>
        <v>6</v>
      </c>
      <c r="D757">
        <f t="shared" si="35"/>
        <v>2</v>
      </c>
      <c r="E757" t="s">
        <v>323</v>
      </c>
      <c r="F757">
        <v>0</v>
      </c>
      <c r="G757">
        <v>4.5</v>
      </c>
      <c r="H757">
        <v>4.5</v>
      </c>
      <c r="J757">
        <v>4.5</v>
      </c>
      <c r="K757">
        <v>0</v>
      </c>
      <c r="L757">
        <v>-3.0287999999999999E-2</v>
      </c>
      <c r="M757">
        <v>-1.0999999999999999E-2</v>
      </c>
    </row>
    <row r="758" spans="1:13" x14ac:dyDescent="0.35">
      <c r="A758" t="s">
        <v>193</v>
      </c>
      <c r="B758">
        <f t="shared" si="33"/>
        <v>2015</v>
      </c>
      <c r="C758">
        <f t="shared" si="34"/>
        <v>7</v>
      </c>
      <c r="D758">
        <f t="shared" si="35"/>
        <v>3</v>
      </c>
      <c r="E758" t="s">
        <v>323</v>
      </c>
      <c r="F758">
        <v>0</v>
      </c>
      <c r="G758">
        <v>4.5</v>
      </c>
      <c r="H758">
        <v>4.5</v>
      </c>
      <c r="J758">
        <v>4.5</v>
      </c>
      <c r="K758">
        <v>0</v>
      </c>
      <c r="L758">
        <v>-0.37897999999999998</v>
      </c>
      <c r="M758">
        <v>-3.4000000000000002E-2</v>
      </c>
    </row>
    <row r="759" spans="1:13" x14ac:dyDescent="0.35">
      <c r="A759" t="s">
        <v>194</v>
      </c>
      <c r="B759">
        <f t="shared" si="33"/>
        <v>2015</v>
      </c>
      <c r="C759">
        <f t="shared" si="34"/>
        <v>8</v>
      </c>
      <c r="D759">
        <f t="shared" si="35"/>
        <v>3</v>
      </c>
      <c r="E759" t="s">
        <v>323</v>
      </c>
      <c r="F759">
        <v>0</v>
      </c>
      <c r="G759">
        <v>4.5</v>
      </c>
      <c r="H759">
        <v>4.5</v>
      </c>
      <c r="J759">
        <v>4.5263200000000001</v>
      </c>
      <c r="K759">
        <v>-2.632E-2</v>
      </c>
      <c r="L759">
        <v>-0.12581999999999999</v>
      </c>
      <c r="M759">
        <v>-0.115</v>
      </c>
    </row>
    <row r="760" spans="1:13" x14ac:dyDescent="0.35">
      <c r="A760" t="s">
        <v>195</v>
      </c>
      <c r="B760">
        <f t="shared" si="33"/>
        <v>2015</v>
      </c>
      <c r="C760">
        <f t="shared" si="34"/>
        <v>9</v>
      </c>
      <c r="D760">
        <f t="shared" si="35"/>
        <v>3</v>
      </c>
      <c r="E760" t="s">
        <v>323</v>
      </c>
      <c r="F760">
        <v>0.25</v>
      </c>
      <c r="G760">
        <v>4.5</v>
      </c>
      <c r="H760">
        <v>4.75</v>
      </c>
      <c r="J760">
        <v>4.5921099999999999</v>
      </c>
      <c r="K760">
        <v>0.15789</v>
      </c>
      <c r="L760">
        <v>8.8607000000000005E-2</v>
      </c>
      <c r="M760">
        <v>0.13900000000000001</v>
      </c>
    </row>
    <row r="761" spans="1:13" x14ac:dyDescent="0.35">
      <c r="A761" t="s">
        <v>196</v>
      </c>
      <c r="B761">
        <f t="shared" si="33"/>
        <v>2015</v>
      </c>
      <c r="C761">
        <f t="shared" si="34"/>
        <v>10</v>
      </c>
      <c r="D761">
        <f t="shared" si="35"/>
        <v>4</v>
      </c>
      <c r="E761" t="s">
        <v>323</v>
      </c>
      <c r="F761">
        <v>0.25</v>
      </c>
      <c r="G761">
        <v>5</v>
      </c>
      <c r="H761">
        <v>5.25</v>
      </c>
      <c r="J761">
        <v>5</v>
      </c>
      <c r="K761">
        <v>0.25</v>
      </c>
      <c r="L761">
        <v>7.3520000000000002E-2</v>
      </c>
      <c r="M761">
        <v>0.13600000000000001</v>
      </c>
    </row>
    <row r="762" spans="1:13" x14ac:dyDescent="0.35">
      <c r="A762" t="s">
        <v>197</v>
      </c>
      <c r="B762">
        <f t="shared" si="33"/>
        <v>2015</v>
      </c>
      <c r="C762">
        <f t="shared" si="34"/>
        <v>11</v>
      </c>
      <c r="D762">
        <f t="shared" si="35"/>
        <v>4</v>
      </c>
      <c r="E762" t="s">
        <v>323</v>
      </c>
      <c r="F762">
        <v>-0.25</v>
      </c>
      <c r="G762">
        <v>5.75</v>
      </c>
      <c r="H762">
        <v>5.5</v>
      </c>
      <c r="J762">
        <v>5.6312499999999996</v>
      </c>
      <c r="K762">
        <v>-0.13125000000000001</v>
      </c>
      <c r="L762">
        <v>-1.2879E-2</v>
      </c>
      <c r="M762">
        <v>-0.14399999999999999</v>
      </c>
    </row>
    <row r="763" spans="1:13" x14ac:dyDescent="0.35">
      <c r="A763" t="s">
        <v>198</v>
      </c>
      <c r="B763">
        <f t="shared" si="33"/>
        <v>2015</v>
      </c>
      <c r="C763">
        <f t="shared" si="34"/>
        <v>12</v>
      </c>
      <c r="D763">
        <f t="shared" si="35"/>
        <v>4</v>
      </c>
      <c r="E763" t="s">
        <v>323</v>
      </c>
      <c r="F763">
        <v>0</v>
      </c>
      <c r="G763">
        <v>5.75</v>
      </c>
      <c r="H763">
        <v>5.75</v>
      </c>
      <c r="J763">
        <v>5.7432400000000001</v>
      </c>
      <c r="K763">
        <v>6.7600000000000004E-3</v>
      </c>
      <c r="L763">
        <v>2.9085E-2</v>
      </c>
      <c r="M763">
        <v>-8.3000000000000004E-2</v>
      </c>
    </row>
    <row r="764" spans="1:13" x14ac:dyDescent="0.35">
      <c r="A764" t="s">
        <v>199</v>
      </c>
      <c r="B764">
        <f t="shared" si="33"/>
        <v>2016</v>
      </c>
      <c r="C764">
        <f t="shared" si="34"/>
        <v>1</v>
      </c>
      <c r="D764">
        <f t="shared" si="35"/>
        <v>1</v>
      </c>
      <c r="E764" t="s">
        <v>323</v>
      </c>
      <c r="F764">
        <v>0</v>
      </c>
      <c r="G764">
        <v>6</v>
      </c>
      <c r="H764">
        <v>6</v>
      </c>
      <c r="J764">
        <v>5.9932400000000001</v>
      </c>
      <c r="K764">
        <v>6.7600000000000004E-3</v>
      </c>
      <c r="L764">
        <v>-6.4473000000000003E-2</v>
      </c>
      <c r="M764">
        <v>-8.5000000000000006E-2</v>
      </c>
    </row>
    <row r="765" spans="1:13" x14ac:dyDescent="0.35">
      <c r="A765" t="s">
        <v>200</v>
      </c>
      <c r="B765">
        <f t="shared" si="33"/>
        <v>2016</v>
      </c>
      <c r="C765">
        <f t="shared" si="34"/>
        <v>2</v>
      </c>
      <c r="D765">
        <f t="shared" si="35"/>
        <v>1</v>
      </c>
      <c r="E765" t="s">
        <v>323</v>
      </c>
      <c r="F765">
        <v>0</v>
      </c>
      <c r="G765">
        <v>6.25</v>
      </c>
      <c r="H765">
        <v>6.25</v>
      </c>
      <c r="J765">
        <v>6.3014700000000001</v>
      </c>
      <c r="K765">
        <v>-5.1470000000000002E-2</v>
      </c>
      <c r="L765">
        <v>-6.6376000000000004E-2</v>
      </c>
      <c r="M765">
        <v>-8.3000000000000004E-2</v>
      </c>
    </row>
    <row r="766" spans="1:13" x14ac:dyDescent="0.35">
      <c r="A766" t="s">
        <v>201</v>
      </c>
      <c r="B766">
        <f t="shared" si="33"/>
        <v>2016</v>
      </c>
      <c r="C766">
        <f t="shared" si="34"/>
        <v>3</v>
      </c>
      <c r="D766">
        <f t="shared" si="35"/>
        <v>1</v>
      </c>
      <c r="E766" t="s">
        <v>323</v>
      </c>
      <c r="F766">
        <v>0</v>
      </c>
      <c r="G766">
        <v>6.5</v>
      </c>
      <c r="H766">
        <v>6.5</v>
      </c>
      <c r="J766">
        <v>6.5</v>
      </c>
      <c r="K766">
        <v>0</v>
      </c>
      <c r="L766">
        <v>-2.0299999999999999E-2</v>
      </c>
      <c r="M766">
        <v>4.5999999999999999E-2</v>
      </c>
    </row>
    <row r="767" spans="1:13" x14ac:dyDescent="0.35">
      <c r="A767" t="s">
        <v>202</v>
      </c>
      <c r="B767">
        <f t="shared" si="33"/>
        <v>2016</v>
      </c>
      <c r="C767">
        <f t="shared" si="34"/>
        <v>4</v>
      </c>
      <c r="D767">
        <f t="shared" si="35"/>
        <v>2</v>
      </c>
      <c r="E767" t="s">
        <v>323</v>
      </c>
      <c r="F767">
        <v>0.25</v>
      </c>
      <c r="G767">
        <v>6.75</v>
      </c>
      <c r="H767">
        <v>7</v>
      </c>
      <c r="J767">
        <v>6.8140999999999998</v>
      </c>
      <c r="K767">
        <v>0.18590000000000001</v>
      </c>
      <c r="L767">
        <v>0.16089999999999999</v>
      </c>
      <c r="M767">
        <v>0.20300000000000001</v>
      </c>
    </row>
    <row r="768" spans="1:13" x14ac:dyDescent="0.35">
      <c r="A768" t="s">
        <v>203</v>
      </c>
      <c r="B768">
        <f t="shared" si="33"/>
        <v>2016</v>
      </c>
      <c r="C768">
        <f t="shared" si="34"/>
        <v>5</v>
      </c>
      <c r="D768">
        <f t="shared" si="35"/>
        <v>2</v>
      </c>
      <c r="E768" t="s">
        <v>323</v>
      </c>
      <c r="F768">
        <v>0</v>
      </c>
      <c r="G768">
        <v>7.25</v>
      </c>
      <c r="H768">
        <v>7.25</v>
      </c>
      <c r="J768">
        <v>7.2272699999999999</v>
      </c>
      <c r="K768">
        <v>2.273E-2</v>
      </c>
      <c r="L768">
        <v>4.3637000000000002E-2</v>
      </c>
      <c r="M768">
        <v>-4.3999999999999997E-2</v>
      </c>
    </row>
    <row r="769" spans="1:13" x14ac:dyDescent="0.35">
      <c r="A769" t="s">
        <v>204</v>
      </c>
      <c r="B769">
        <f t="shared" si="33"/>
        <v>2016</v>
      </c>
      <c r="C769">
        <f t="shared" si="34"/>
        <v>6</v>
      </c>
      <c r="D769">
        <f t="shared" si="35"/>
        <v>2</v>
      </c>
      <c r="E769" t="s">
        <v>323</v>
      </c>
      <c r="F769">
        <v>0</v>
      </c>
      <c r="G769">
        <v>7.5</v>
      </c>
      <c r="H769">
        <v>7.5</v>
      </c>
      <c r="J769">
        <v>7.5</v>
      </c>
      <c r="K769">
        <v>0</v>
      </c>
      <c r="L769">
        <v>5.4092000000000001E-2</v>
      </c>
      <c r="M769">
        <v>-8.0000000000000002E-3</v>
      </c>
    </row>
    <row r="770" spans="1:13" x14ac:dyDescent="0.35">
      <c r="A770" t="s">
        <v>205</v>
      </c>
      <c r="B770">
        <f t="shared" si="33"/>
        <v>2016</v>
      </c>
      <c r="C770">
        <f t="shared" si="34"/>
        <v>7</v>
      </c>
      <c r="D770">
        <f t="shared" si="35"/>
        <v>3</v>
      </c>
      <c r="E770" t="s">
        <v>323</v>
      </c>
      <c r="F770">
        <v>0</v>
      </c>
      <c r="G770">
        <v>7.75</v>
      </c>
      <c r="H770">
        <v>7.75</v>
      </c>
      <c r="J770">
        <v>7.6985299999999999</v>
      </c>
      <c r="K770">
        <v>5.1470000000000002E-2</v>
      </c>
      <c r="L770">
        <v>0.27927999999999997</v>
      </c>
      <c r="M770">
        <v>7.9000000000000001E-2</v>
      </c>
    </row>
    <row r="771" spans="1:13" x14ac:dyDescent="0.35">
      <c r="A771" t="s">
        <v>206</v>
      </c>
      <c r="B771">
        <f t="shared" ref="B771:B834" si="36">LEFT(A771,4)*1</f>
        <v>2016</v>
      </c>
      <c r="C771">
        <f t="shared" ref="C771:C834" si="37">MID(A771,6,2)*1</f>
        <v>8</v>
      </c>
      <c r="D771">
        <f t="shared" ref="D771:D834" si="38">ROUNDUP(C771/3,0)</f>
        <v>3</v>
      </c>
      <c r="E771" t="s">
        <v>323</v>
      </c>
      <c r="F771">
        <v>0</v>
      </c>
      <c r="G771">
        <v>7.75</v>
      </c>
      <c r="H771">
        <v>7.75</v>
      </c>
      <c r="J771">
        <v>7.82639</v>
      </c>
      <c r="K771">
        <v>-7.639E-2</v>
      </c>
      <c r="L771">
        <v>9.8917000000000005E-2</v>
      </c>
      <c r="M771">
        <v>-9.1999999999999998E-2</v>
      </c>
    </row>
    <row r="772" spans="1:13" x14ac:dyDescent="0.35">
      <c r="A772" t="s">
        <v>207</v>
      </c>
      <c r="B772">
        <f t="shared" si="36"/>
        <v>2016</v>
      </c>
      <c r="C772">
        <f t="shared" si="37"/>
        <v>9</v>
      </c>
      <c r="D772">
        <f t="shared" si="38"/>
        <v>3</v>
      </c>
      <c r="E772" t="s">
        <v>323</v>
      </c>
      <c r="F772">
        <v>0</v>
      </c>
      <c r="G772">
        <v>7.75</v>
      </c>
      <c r="H772">
        <v>7.75</v>
      </c>
      <c r="J772">
        <v>7.75</v>
      </c>
      <c r="K772">
        <v>0</v>
      </c>
      <c r="L772">
        <v>4.0499E-2</v>
      </c>
      <c r="M772">
        <v>1E-3</v>
      </c>
    </row>
    <row r="773" spans="1:13" x14ac:dyDescent="0.35">
      <c r="A773" t="s">
        <v>208</v>
      </c>
      <c r="B773">
        <f t="shared" si="36"/>
        <v>2016</v>
      </c>
      <c r="C773">
        <f t="shared" si="37"/>
        <v>10</v>
      </c>
      <c r="D773">
        <f t="shared" si="38"/>
        <v>4</v>
      </c>
      <c r="E773" t="s">
        <v>323</v>
      </c>
      <c r="F773">
        <v>0</v>
      </c>
      <c r="G773">
        <v>7.75</v>
      </c>
      <c r="H773">
        <v>7.75</v>
      </c>
      <c r="J773">
        <v>7.7419399999999996</v>
      </c>
      <c r="K773">
        <v>8.0599999999999995E-3</v>
      </c>
      <c r="L773">
        <v>9.5406000000000005E-2</v>
      </c>
      <c r="M773">
        <v>6.0000000000000001E-3</v>
      </c>
    </row>
    <row r="774" spans="1:13" x14ac:dyDescent="0.35">
      <c r="A774" t="s">
        <v>209</v>
      </c>
      <c r="B774">
        <f t="shared" si="36"/>
        <v>2016</v>
      </c>
      <c r="C774">
        <f t="shared" si="37"/>
        <v>11</v>
      </c>
      <c r="D774">
        <f t="shared" si="38"/>
        <v>4</v>
      </c>
      <c r="E774" t="s">
        <v>323</v>
      </c>
      <c r="F774">
        <v>0</v>
      </c>
      <c r="G774">
        <v>7.75</v>
      </c>
      <c r="H774">
        <v>7.75</v>
      </c>
      <c r="J774">
        <v>7.7424200000000001</v>
      </c>
      <c r="K774">
        <v>7.5799999999999999E-3</v>
      </c>
      <c r="L774">
        <v>0.26632</v>
      </c>
      <c r="M774">
        <v>2E-3</v>
      </c>
    </row>
    <row r="775" spans="1:13" x14ac:dyDescent="0.35">
      <c r="A775" t="s">
        <v>210</v>
      </c>
      <c r="B775">
        <f t="shared" si="36"/>
        <v>2016</v>
      </c>
      <c r="C775">
        <f t="shared" si="37"/>
        <v>12</v>
      </c>
      <c r="D775">
        <f t="shared" si="38"/>
        <v>4</v>
      </c>
      <c r="E775" t="s">
        <v>323</v>
      </c>
      <c r="F775">
        <v>-0.25</v>
      </c>
      <c r="G775">
        <v>7.75</v>
      </c>
      <c r="H775">
        <v>7.5</v>
      </c>
      <c r="J775">
        <v>7.7430599999999998</v>
      </c>
      <c r="K775">
        <v>-0.24306</v>
      </c>
      <c r="L775">
        <v>-2.4801E-2</v>
      </c>
      <c r="M775">
        <v>-0.21</v>
      </c>
    </row>
    <row r="776" spans="1:13" x14ac:dyDescent="0.35">
      <c r="A776" t="s">
        <v>211</v>
      </c>
      <c r="B776">
        <f t="shared" si="36"/>
        <v>2017</v>
      </c>
      <c r="C776">
        <f t="shared" si="37"/>
        <v>1</v>
      </c>
      <c r="D776">
        <f t="shared" si="38"/>
        <v>1</v>
      </c>
      <c r="E776" t="s">
        <v>323</v>
      </c>
      <c r="F776">
        <v>0.25</v>
      </c>
      <c r="G776">
        <v>7.25</v>
      </c>
      <c r="H776">
        <v>7.5</v>
      </c>
      <c r="J776">
        <v>7.2708300000000001</v>
      </c>
      <c r="K776">
        <v>0.22917000000000001</v>
      </c>
      <c r="L776">
        <v>0.22205</v>
      </c>
      <c r="M776">
        <v>0.16800000000000001</v>
      </c>
    </row>
    <row r="777" spans="1:13" x14ac:dyDescent="0.35">
      <c r="A777" t="s">
        <v>212</v>
      </c>
      <c r="B777">
        <f t="shared" si="36"/>
        <v>2017</v>
      </c>
      <c r="C777">
        <f t="shared" si="37"/>
        <v>2</v>
      </c>
      <c r="D777">
        <f t="shared" si="38"/>
        <v>1</v>
      </c>
      <c r="E777" t="s">
        <v>323</v>
      </c>
      <c r="F777">
        <v>-0.25</v>
      </c>
      <c r="G777">
        <v>7.5</v>
      </c>
      <c r="H777">
        <v>7.25</v>
      </c>
      <c r="J777">
        <v>7.4230799999999997</v>
      </c>
      <c r="K777">
        <v>-0.17308000000000001</v>
      </c>
      <c r="L777">
        <v>-1.6663000000000001E-2</v>
      </c>
      <c r="M777">
        <v>-0.14899999999999999</v>
      </c>
    </row>
    <row r="778" spans="1:13" x14ac:dyDescent="0.35">
      <c r="A778" t="s">
        <v>213</v>
      </c>
      <c r="B778">
        <f t="shared" si="36"/>
        <v>2017</v>
      </c>
      <c r="C778">
        <f t="shared" si="37"/>
        <v>3</v>
      </c>
      <c r="D778">
        <f t="shared" si="38"/>
        <v>1</v>
      </c>
      <c r="E778" t="s">
        <v>323</v>
      </c>
      <c r="F778">
        <v>0</v>
      </c>
      <c r="G778">
        <v>7</v>
      </c>
      <c r="H778">
        <v>7</v>
      </c>
      <c r="J778">
        <v>6.9571399999999999</v>
      </c>
      <c r="K778">
        <v>4.2860000000000002E-2</v>
      </c>
      <c r="L778">
        <v>-2.6408999999999998E-2</v>
      </c>
      <c r="M778">
        <v>0.1</v>
      </c>
    </row>
    <row r="779" spans="1:13" x14ac:dyDescent="0.35">
      <c r="A779" t="s">
        <v>214</v>
      </c>
      <c r="B779">
        <f t="shared" si="36"/>
        <v>2017</v>
      </c>
      <c r="C779">
        <f t="shared" si="37"/>
        <v>4</v>
      </c>
      <c r="D779">
        <f t="shared" si="38"/>
        <v>2</v>
      </c>
      <c r="E779" t="s">
        <v>323</v>
      </c>
      <c r="F779">
        <v>-0.25</v>
      </c>
      <c r="G779">
        <v>6.75</v>
      </c>
      <c r="H779">
        <v>6.5</v>
      </c>
      <c r="J779">
        <v>6.6642900000000003</v>
      </c>
      <c r="K779">
        <v>-0.16428999999999999</v>
      </c>
      <c r="L779">
        <v>-0.24471999999999999</v>
      </c>
      <c r="M779">
        <v>-3.6999999999999998E-2</v>
      </c>
    </row>
    <row r="780" spans="1:13" x14ac:dyDescent="0.35">
      <c r="A780" t="s">
        <v>215</v>
      </c>
      <c r="B780">
        <f t="shared" si="36"/>
        <v>2017</v>
      </c>
      <c r="C780">
        <f t="shared" si="37"/>
        <v>5</v>
      </c>
      <c r="D780">
        <f t="shared" si="38"/>
        <v>2</v>
      </c>
      <c r="E780" t="s">
        <v>323</v>
      </c>
      <c r="F780">
        <v>0</v>
      </c>
      <c r="G780">
        <v>6.25</v>
      </c>
      <c r="H780">
        <v>6.25</v>
      </c>
      <c r="J780">
        <v>6.1842100000000002</v>
      </c>
      <c r="K780">
        <v>6.5790000000000001E-2</v>
      </c>
      <c r="L780">
        <v>-2.5662999999999998E-2</v>
      </c>
      <c r="M780">
        <v>9.9000000000000005E-2</v>
      </c>
    </row>
    <row r="781" spans="1:13" x14ac:dyDescent="0.35">
      <c r="A781" t="s">
        <v>216</v>
      </c>
      <c r="B781">
        <f t="shared" si="36"/>
        <v>2017</v>
      </c>
      <c r="C781">
        <f t="shared" si="37"/>
        <v>6</v>
      </c>
      <c r="D781">
        <f t="shared" si="38"/>
        <v>2</v>
      </c>
      <c r="E781" t="s">
        <v>323</v>
      </c>
      <c r="F781">
        <v>0</v>
      </c>
      <c r="G781">
        <v>5.75</v>
      </c>
      <c r="H781">
        <v>5.75</v>
      </c>
      <c r="J781">
        <v>5.8680599999999998</v>
      </c>
      <c r="K781">
        <v>-0.11806</v>
      </c>
      <c r="L781">
        <v>-0.31034</v>
      </c>
      <c r="M781">
        <v>-8.9999999999999993E-3</v>
      </c>
    </row>
    <row r="782" spans="1:13" x14ac:dyDescent="0.35">
      <c r="A782" t="s">
        <v>217</v>
      </c>
      <c r="B782">
        <f t="shared" si="36"/>
        <v>2017</v>
      </c>
      <c r="C782">
        <f t="shared" si="37"/>
        <v>7</v>
      </c>
      <c r="D782">
        <f t="shared" si="38"/>
        <v>3</v>
      </c>
      <c r="E782" t="s">
        <v>323</v>
      </c>
      <c r="F782">
        <v>0</v>
      </c>
      <c r="G782">
        <v>5.5</v>
      </c>
      <c r="H782">
        <v>5.5</v>
      </c>
      <c r="J782">
        <v>5.4729700000000001</v>
      </c>
      <c r="K782">
        <v>2.7029999999999998E-2</v>
      </c>
      <c r="L782">
        <v>-6.9492999999999999E-2</v>
      </c>
      <c r="M782">
        <v>7.2999999999999995E-2</v>
      </c>
    </row>
    <row r="783" spans="1:13" x14ac:dyDescent="0.35">
      <c r="A783" t="s">
        <v>218</v>
      </c>
      <c r="B783">
        <f t="shared" si="36"/>
        <v>2017</v>
      </c>
      <c r="C783">
        <f t="shared" si="37"/>
        <v>8</v>
      </c>
      <c r="D783">
        <f t="shared" si="38"/>
        <v>3</v>
      </c>
      <c r="E783" t="s">
        <v>323</v>
      </c>
      <c r="F783">
        <v>0</v>
      </c>
      <c r="G783">
        <v>5.25</v>
      </c>
      <c r="H783">
        <v>5.25</v>
      </c>
      <c r="J783">
        <v>5.2364899999999999</v>
      </c>
      <c r="K783">
        <v>1.3509999999999999E-2</v>
      </c>
      <c r="L783">
        <v>-0.12052</v>
      </c>
      <c r="M783">
        <v>2.9000000000000001E-2</v>
      </c>
    </row>
    <row r="784" spans="1:13" x14ac:dyDescent="0.35">
      <c r="A784" t="s">
        <v>219</v>
      </c>
      <c r="B784">
        <f t="shared" si="36"/>
        <v>2017</v>
      </c>
      <c r="C784">
        <f t="shared" si="37"/>
        <v>9</v>
      </c>
      <c r="D784">
        <f t="shared" si="38"/>
        <v>3</v>
      </c>
      <c r="E784" t="s">
        <v>323</v>
      </c>
      <c r="F784">
        <v>0</v>
      </c>
      <c r="G784">
        <v>5.25</v>
      </c>
      <c r="H784">
        <v>5.25</v>
      </c>
      <c r="J784">
        <v>5.2222200000000001</v>
      </c>
      <c r="K784">
        <v>2.7779999999999999E-2</v>
      </c>
      <c r="L784">
        <v>0.11549</v>
      </c>
      <c r="M784">
        <v>6.7000000000000004E-2</v>
      </c>
    </row>
    <row r="785" spans="1:13" x14ac:dyDescent="0.35">
      <c r="A785" t="s">
        <v>220</v>
      </c>
      <c r="B785">
        <f t="shared" si="36"/>
        <v>2017</v>
      </c>
      <c r="C785">
        <f t="shared" si="37"/>
        <v>10</v>
      </c>
      <c r="D785">
        <f t="shared" si="38"/>
        <v>4</v>
      </c>
      <c r="E785" t="s">
        <v>323</v>
      </c>
      <c r="F785">
        <v>-0.25</v>
      </c>
      <c r="G785">
        <v>5.25</v>
      </c>
      <c r="H785">
        <v>5</v>
      </c>
      <c r="J785">
        <v>5.2279400000000003</v>
      </c>
      <c r="K785">
        <v>-0.22794</v>
      </c>
      <c r="L785">
        <v>-0.18428</v>
      </c>
      <c r="M785">
        <v>-0.189</v>
      </c>
    </row>
    <row r="786" spans="1:13" x14ac:dyDescent="0.35">
      <c r="A786" t="s">
        <v>221</v>
      </c>
      <c r="B786">
        <f t="shared" si="36"/>
        <v>2017</v>
      </c>
      <c r="C786">
        <f t="shared" si="37"/>
        <v>11</v>
      </c>
      <c r="D786">
        <f t="shared" si="38"/>
        <v>4</v>
      </c>
      <c r="E786" t="s">
        <v>323</v>
      </c>
      <c r="F786">
        <v>-0.25</v>
      </c>
      <c r="G786">
        <v>5</v>
      </c>
      <c r="H786">
        <v>4.75</v>
      </c>
      <c r="J786">
        <v>4.8787900000000004</v>
      </c>
      <c r="K786">
        <v>-0.12878999999999999</v>
      </c>
      <c r="L786">
        <v>-0.12035</v>
      </c>
      <c r="M786">
        <v>-5.0999999999999997E-2</v>
      </c>
    </row>
    <row r="787" spans="1:13" x14ac:dyDescent="0.35">
      <c r="A787" t="s">
        <v>222</v>
      </c>
      <c r="B787">
        <f t="shared" si="36"/>
        <v>2017</v>
      </c>
      <c r="C787">
        <f t="shared" si="37"/>
        <v>12</v>
      </c>
      <c r="D787">
        <f t="shared" si="38"/>
        <v>4</v>
      </c>
      <c r="E787" t="s">
        <v>323</v>
      </c>
      <c r="F787">
        <v>0</v>
      </c>
      <c r="G787">
        <v>4.75</v>
      </c>
      <c r="H787">
        <v>4.75</v>
      </c>
      <c r="J787">
        <v>4.7214299999999998</v>
      </c>
      <c r="K787">
        <v>2.8570000000000002E-2</v>
      </c>
      <c r="L787">
        <v>0.16514999999999999</v>
      </c>
      <c r="M787">
        <v>2.5999999999999999E-2</v>
      </c>
    </row>
    <row r="788" spans="1:13" x14ac:dyDescent="0.35">
      <c r="A788" t="s">
        <v>223</v>
      </c>
      <c r="B788">
        <f t="shared" si="36"/>
        <v>2018</v>
      </c>
      <c r="C788">
        <f t="shared" si="37"/>
        <v>1</v>
      </c>
      <c r="D788">
        <f t="shared" si="38"/>
        <v>1</v>
      </c>
      <c r="E788" t="s">
        <v>323</v>
      </c>
      <c r="F788">
        <v>0</v>
      </c>
      <c r="G788">
        <v>4.5</v>
      </c>
      <c r="H788">
        <v>4.5</v>
      </c>
      <c r="J788">
        <v>4.6180599999999998</v>
      </c>
      <c r="K788">
        <v>-0.11806</v>
      </c>
      <c r="L788">
        <v>-9.1591000000000006E-2</v>
      </c>
      <c r="M788">
        <v>-0.128</v>
      </c>
    </row>
    <row r="789" spans="1:13" x14ac:dyDescent="0.35">
      <c r="A789" t="s">
        <v>224</v>
      </c>
      <c r="B789">
        <f t="shared" si="36"/>
        <v>2018</v>
      </c>
      <c r="C789">
        <f t="shared" si="37"/>
        <v>2</v>
      </c>
      <c r="D789">
        <f t="shared" si="38"/>
        <v>1</v>
      </c>
      <c r="E789" t="s">
        <v>323</v>
      </c>
      <c r="F789">
        <v>0</v>
      </c>
      <c r="G789">
        <v>4.5</v>
      </c>
      <c r="H789">
        <v>4.5</v>
      </c>
      <c r="J789">
        <v>4.5</v>
      </c>
      <c r="K789">
        <v>0</v>
      </c>
      <c r="L789">
        <v>0</v>
      </c>
      <c r="M789">
        <v>0</v>
      </c>
    </row>
    <row r="790" spans="1:13" x14ac:dyDescent="0.35">
      <c r="A790" t="s">
        <v>225</v>
      </c>
      <c r="B790">
        <f t="shared" si="36"/>
        <v>2018</v>
      </c>
      <c r="C790">
        <f t="shared" si="37"/>
        <v>3</v>
      </c>
      <c r="D790">
        <f t="shared" si="38"/>
        <v>1</v>
      </c>
      <c r="E790" t="s">
        <v>323</v>
      </c>
      <c r="F790">
        <v>0</v>
      </c>
      <c r="G790">
        <v>4.5</v>
      </c>
      <c r="H790">
        <v>4.5</v>
      </c>
      <c r="J790">
        <v>4.40517</v>
      </c>
      <c r="K790">
        <v>9.4829999999999998E-2</v>
      </c>
      <c r="L790">
        <v>6.3532000000000005E-2</v>
      </c>
      <c r="M790">
        <v>6.8000000000000005E-2</v>
      </c>
    </row>
    <row r="791" spans="1:13" x14ac:dyDescent="0.35">
      <c r="A791" t="s">
        <v>226</v>
      </c>
      <c r="B791">
        <f t="shared" si="36"/>
        <v>2018</v>
      </c>
      <c r="C791">
        <f t="shared" si="37"/>
        <v>4</v>
      </c>
      <c r="D791">
        <f t="shared" si="38"/>
        <v>2</v>
      </c>
      <c r="E791" t="s">
        <v>323</v>
      </c>
      <c r="F791">
        <v>0</v>
      </c>
      <c r="G791">
        <v>4.25</v>
      </c>
      <c r="H791">
        <v>4.25</v>
      </c>
      <c r="J791">
        <v>4.2348499999999998</v>
      </c>
      <c r="K791">
        <v>1.515E-2</v>
      </c>
      <c r="L791">
        <v>-0.16999</v>
      </c>
      <c r="M791">
        <v>-6.0000000000000001E-3</v>
      </c>
    </row>
    <row r="792" spans="1:13" x14ac:dyDescent="0.35">
      <c r="A792" t="s">
        <v>227</v>
      </c>
      <c r="B792">
        <f t="shared" si="36"/>
        <v>2018</v>
      </c>
      <c r="C792">
        <f t="shared" si="37"/>
        <v>5</v>
      </c>
      <c r="D792">
        <f t="shared" si="38"/>
        <v>2</v>
      </c>
      <c r="E792" t="s">
        <v>323</v>
      </c>
      <c r="F792">
        <v>0</v>
      </c>
      <c r="G792">
        <v>4.25</v>
      </c>
      <c r="H792">
        <v>4.25</v>
      </c>
      <c r="J792">
        <v>4.25</v>
      </c>
      <c r="K792">
        <v>0</v>
      </c>
      <c r="L792">
        <v>0</v>
      </c>
      <c r="M792">
        <v>0</v>
      </c>
    </row>
    <row r="793" spans="1:13" x14ac:dyDescent="0.35">
      <c r="A793" t="s">
        <v>228</v>
      </c>
      <c r="B793">
        <f t="shared" si="36"/>
        <v>2018</v>
      </c>
      <c r="C793">
        <f t="shared" si="37"/>
        <v>6</v>
      </c>
      <c r="D793">
        <f t="shared" si="38"/>
        <v>2</v>
      </c>
      <c r="E793" t="s">
        <v>323</v>
      </c>
      <c r="F793">
        <v>0</v>
      </c>
      <c r="G793">
        <v>4.25</v>
      </c>
      <c r="H793">
        <v>4.25</v>
      </c>
      <c r="J793">
        <v>4.24038</v>
      </c>
      <c r="K793">
        <v>9.6200000000000001E-3</v>
      </c>
      <c r="L793">
        <v>0.12475</v>
      </c>
      <c r="M793">
        <v>-5.0000000000000001E-3</v>
      </c>
    </row>
    <row r="794" spans="1:13" x14ac:dyDescent="0.35">
      <c r="A794" t="s">
        <v>229</v>
      </c>
      <c r="B794">
        <f t="shared" si="36"/>
        <v>2018</v>
      </c>
      <c r="C794">
        <f t="shared" si="37"/>
        <v>7</v>
      </c>
      <c r="D794">
        <f t="shared" si="38"/>
        <v>3</v>
      </c>
      <c r="E794" t="s">
        <v>323</v>
      </c>
      <c r="F794">
        <v>0</v>
      </c>
      <c r="G794">
        <v>4.25</v>
      </c>
      <c r="H794">
        <v>4.25</v>
      </c>
      <c r="J794">
        <v>4.25</v>
      </c>
      <c r="K794">
        <v>0</v>
      </c>
      <c r="L794">
        <v>4.0042000000000001E-2</v>
      </c>
      <c r="M794">
        <v>0</v>
      </c>
    </row>
    <row r="795" spans="1:13" x14ac:dyDescent="0.35">
      <c r="A795" t="s">
        <v>230</v>
      </c>
      <c r="B795">
        <f t="shared" si="36"/>
        <v>2018</v>
      </c>
      <c r="C795">
        <f t="shared" si="37"/>
        <v>8</v>
      </c>
      <c r="D795">
        <f t="shared" si="38"/>
        <v>3</v>
      </c>
      <c r="E795" t="s">
        <v>323</v>
      </c>
      <c r="F795">
        <v>0</v>
      </c>
      <c r="G795">
        <v>4.25</v>
      </c>
      <c r="H795">
        <v>4.25</v>
      </c>
      <c r="J795">
        <v>4.25</v>
      </c>
      <c r="K795">
        <v>0</v>
      </c>
      <c r="L795">
        <v>0</v>
      </c>
      <c r="M795">
        <v>0</v>
      </c>
    </row>
    <row r="796" spans="1:13" x14ac:dyDescent="0.35">
      <c r="A796" t="s">
        <v>231</v>
      </c>
      <c r="B796">
        <f t="shared" si="36"/>
        <v>2018</v>
      </c>
      <c r="C796">
        <f t="shared" si="37"/>
        <v>9</v>
      </c>
      <c r="D796">
        <f t="shared" si="38"/>
        <v>3</v>
      </c>
      <c r="E796" t="s">
        <v>323</v>
      </c>
      <c r="F796">
        <v>0</v>
      </c>
      <c r="G796">
        <v>4.25</v>
      </c>
      <c r="H796">
        <v>4.25</v>
      </c>
      <c r="J796">
        <v>4.25</v>
      </c>
      <c r="K796">
        <v>0</v>
      </c>
      <c r="L796">
        <v>0.11219999999999999</v>
      </c>
      <c r="M796">
        <v>1E-3</v>
      </c>
    </row>
    <row r="797" spans="1:13" x14ac:dyDescent="0.35">
      <c r="A797" t="s">
        <v>232</v>
      </c>
      <c r="B797">
        <f t="shared" si="36"/>
        <v>2018</v>
      </c>
      <c r="C797">
        <f t="shared" si="37"/>
        <v>10</v>
      </c>
      <c r="D797">
        <f t="shared" si="38"/>
        <v>4</v>
      </c>
      <c r="E797" t="s">
        <v>323</v>
      </c>
      <c r="F797">
        <v>0</v>
      </c>
      <c r="G797">
        <v>4.25</v>
      </c>
      <c r="H797">
        <v>4.25</v>
      </c>
      <c r="J797">
        <v>4.25</v>
      </c>
      <c r="K797">
        <v>0</v>
      </c>
      <c r="L797">
        <v>7.1734999999999993E-2</v>
      </c>
      <c r="M797">
        <v>-2E-3</v>
      </c>
    </row>
    <row r="798" spans="1:13" x14ac:dyDescent="0.35">
      <c r="A798" t="s">
        <v>233</v>
      </c>
      <c r="B798">
        <f t="shared" si="36"/>
        <v>2018</v>
      </c>
      <c r="C798">
        <f t="shared" si="37"/>
        <v>11</v>
      </c>
      <c r="D798">
        <f t="shared" si="38"/>
        <v>4</v>
      </c>
      <c r="E798" t="s">
        <v>323</v>
      </c>
      <c r="F798">
        <v>0</v>
      </c>
      <c r="G798">
        <v>4.25</v>
      </c>
      <c r="H798">
        <v>4.25</v>
      </c>
      <c r="J798">
        <v>4.25</v>
      </c>
      <c r="K798">
        <v>0</v>
      </c>
      <c r="L798">
        <v>0</v>
      </c>
      <c r="M798">
        <v>0</v>
      </c>
    </row>
    <row r="799" spans="1:13" x14ac:dyDescent="0.35">
      <c r="A799" t="s">
        <v>234</v>
      </c>
      <c r="B799">
        <f t="shared" si="36"/>
        <v>2018</v>
      </c>
      <c r="C799">
        <f t="shared" si="37"/>
        <v>12</v>
      </c>
      <c r="D799">
        <f t="shared" si="38"/>
        <v>4</v>
      </c>
      <c r="E799" t="s">
        <v>323</v>
      </c>
      <c r="F799">
        <v>0</v>
      </c>
      <c r="G799">
        <v>4.25</v>
      </c>
      <c r="H799">
        <v>4.25</v>
      </c>
      <c r="J799">
        <v>4.25</v>
      </c>
      <c r="K799">
        <v>0</v>
      </c>
      <c r="L799">
        <v>7.9566999999999999E-2</v>
      </c>
      <c r="M799">
        <v>0</v>
      </c>
    </row>
    <row r="800" spans="1:13" x14ac:dyDescent="0.35">
      <c r="A800" t="s">
        <v>235</v>
      </c>
      <c r="B800">
        <f t="shared" si="36"/>
        <v>2019</v>
      </c>
      <c r="C800">
        <f t="shared" si="37"/>
        <v>1</v>
      </c>
      <c r="D800">
        <f t="shared" si="38"/>
        <v>1</v>
      </c>
      <c r="E800" t="s">
        <v>323</v>
      </c>
      <c r="F800">
        <v>0</v>
      </c>
      <c r="G800">
        <v>4.25</v>
      </c>
      <c r="H800">
        <v>4.25</v>
      </c>
      <c r="J800">
        <v>4.25</v>
      </c>
      <c r="K800">
        <v>0</v>
      </c>
      <c r="L800">
        <v>4.8894E-2</v>
      </c>
      <c r="M800">
        <v>0</v>
      </c>
    </row>
    <row r="801" spans="1:13" x14ac:dyDescent="0.35">
      <c r="A801" t="s">
        <v>236</v>
      </c>
      <c r="B801">
        <f t="shared" si="36"/>
        <v>2019</v>
      </c>
      <c r="C801">
        <f t="shared" si="37"/>
        <v>2</v>
      </c>
      <c r="D801">
        <f t="shared" si="38"/>
        <v>1</v>
      </c>
      <c r="E801" t="s">
        <v>323</v>
      </c>
      <c r="F801">
        <v>0</v>
      </c>
      <c r="G801">
        <v>4.25</v>
      </c>
      <c r="H801">
        <v>4.25</v>
      </c>
      <c r="J801">
        <v>4.25</v>
      </c>
      <c r="K801">
        <v>0</v>
      </c>
      <c r="L801">
        <v>0</v>
      </c>
      <c r="M801">
        <v>0</v>
      </c>
    </row>
    <row r="802" spans="1:13" x14ac:dyDescent="0.35">
      <c r="A802" t="s">
        <v>237</v>
      </c>
      <c r="B802">
        <f t="shared" si="36"/>
        <v>2019</v>
      </c>
      <c r="C802">
        <f t="shared" si="37"/>
        <v>3</v>
      </c>
      <c r="D802">
        <f t="shared" si="38"/>
        <v>1</v>
      </c>
      <c r="E802" t="s">
        <v>323</v>
      </c>
      <c r="F802">
        <v>0</v>
      </c>
      <c r="G802">
        <v>4.25</v>
      </c>
      <c r="H802">
        <v>4.25</v>
      </c>
      <c r="J802">
        <v>4.25</v>
      </c>
      <c r="K802">
        <v>0</v>
      </c>
      <c r="L802">
        <v>9.6615000000000006E-2</v>
      </c>
      <c r="M802">
        <v>1E-3</v>
      </c>
    </row>
    <row r="803" spans="1:13" x14ac:dyDescent="0.35">
      <c r="A803" t="s">
        <v>238</v>
      </c>
      <c r="B803">
        <f t="shared" si="36"/>
        <v>2019</v>
      </c>
      <c r="C803">
        <f t="shared" si="37"/>
        <v>4</v>
      </c>
      <c r="D803">
        <f t="shared" si="38"/>
        <v>2</v>
      </c>
      <c r="E803" t="s">
        <v>323</v>
      </c>
      <c r="F803">
        <v>0</v>
      </c>
      <c r="G803">
        <v>4.25</v>
      </c>
      <c r="H803">
        <v>4.25</v>
      </c>
      <c r="J803">
        <v>4.25</v>
      </c>
      <c r="K803">
        <v>0</v>
      </c>
      <c r="L803">
        <v>2.8901E-2</v>
      </c>
      <c r="M803">
        <v>0</v>
      </c>
    </row>
    <row r="804" spans="1:13" x14ac:dyDescent="0.35">
      <c r="A804" t="s">
        <v>239</v>
      </c>
      <c r="B804">
        <f t="shared" si="36"/>
        <v>2019</v>
      </c>
      <c r="C804">
        <f t="shared" si="37"/>
        <v>5</v>
      </c>
      <c r="D804">
        <f t="shared" si="38"/>
        <v>2</v>
      </c>
      <c r="E804" t="s">
        <v>323</v>
      </c>
      <c r="F804">
        <v>0</v>
      </c>
      <c r="G804">
        <v>4.25</v>
      </c>
      <c r="H804">
        <v>4.25</v>
      </c>
      <c r="J804">
        <v>4.25</v>
      </c>
      <c r="K804">
        <v>0</v>
      </c>
      <c r="L804">
        <v>0</v>
      </c>
      <c r="M804">
        <v>0</v>
      </c>
    </row>
    <row r="805" spans="1:13" x14ac:dyDescent="0.35">
      <c r="A805" t="s">
        <v>240</v>
      </c>
      <c r="B805">
        <f t="shared" si="36"/>
        <v>2019</v>
      </c>
      <c r="C805">
        <f t="shared" si="37"/>
        <v>6</v>
      </c>
      <c r="D805">
        <f t="shared" si="38"/>
        <v>2</v>
      </c>
      <c r="E805" t="s">
        <v>323</v>
      </c>
      <c r="F805">
        <v>0</v>
      </c>
      <c r="G805">
        <v>4.25</v>
      </c>
      <c r="H805">
        <v>4.25</v>
      </c>
      <c r="J805">
        <v>4.25</v>
      </c>
      <c r="K805">
        <v>0</v>
      </c>
      <c r="L805">
        <v>6.1348E-2</v>
      </c>
      <c r="M805">
        <v>4.0000000000000001E-3</v>
      </c>
    </row>
    <row r="806" spans="1:13" x14ac:dyDescent="0.35">
      <c r="A806" t="s">
        <v>241</v>
      </c>
      <c r="B806">
        <f t="shared" si="36"/>
        <v>2019</v>
      </c>
      <c r="C806">
        <f t="shared" si="37"/>
        <v>7</v>
      </c>
      <c r="D806">
        <f t="shared" si="38"/>
        <v>3</v>
      </c>
      <c r="E806" t="s">
        <v>323</v>
      </c>
      <c r="F806">
        <v>0</v>
      </c>
      <c r="G806">
        <v>4.25</v>
      </c>
      <c r="H806">
        <v>4.25</v>
      </c>
      <c r="J806">
        <v>4.25</v>
      </c>
      <c r="K806">
        <v>0</v>
      </c>
      <c r="L806">
        <v>-6.4875999999999996E-4</v>
      </c>
      <c r="M806">
        <v>1.0999999999999999E-2</v>
      </c>
    </row>
    <row r="807" spans="1:13" x14ac:dyDescent="0.35">
      <c r="A807" t="s">
        <v>242</v>
      </c>
      <c r="B807">
        <f t="shared" si="36"/>
        <v>2019</v>
      </c>
      <c r="C807">
        <f t="shared" si="37"/>
        <v>8</v>
      </c>
      <c r="D807">
        <f t="shared" si="38"/>
        <v>3</v>
      </c>
      <c r="E807" t="s">
        <v>323</v>
      </c>
      <c r="F807">
        <v>0</v>
      </c>
      <c r="G807">
        <v>4.25</v>
      </c>
      <c r="H807">
        <v>4.25</v>
      </c>
      <c r="J807">
        <v>4.25</v>
      </c>
      <c r="K807">
        <v>0</v>
      </c>
      <c r="L807">
        <v>0</v>
      </c>
      <c r="M807">
        <v>0</v>
      </c>
    </row>
    <row r="808" spans="1:13" x14ac:dyDescent="0.35">
      <c r="A808" t="s">
        <v>243</v>
      </c>
      <c r="B808">
        <f t="shared" si="36"/>
        <v>2019</v>
      </c>
      <c r="C808">
        <f t="shared" si="37"/>
        <v>9</v>
      </c>
      <c r="D808">
        <f t="shared" si="38"/>
        <v>3</v>
      </c>
      <c r="E808" t="s">
        <v>323</v>
      </c>
      <c r="F808">
        <v>0</v>
      </c>
      <c r="G808">
        <v>4.25</v>
      </c>
      <c r="H808">
        <v>4.25</v>
      </c>
      <c r="J808">
        <v>4.25</v>
      </c>
      <c r="K808">
        <v>0</v>
      </c>
      <c r="L808">
        <v>-8.6164999999999992E-3</v>
      </c>
      <c r="M808">
        <v>-1E-3</v>
      </c>
    </row>
    <row r="809" spans="1:13" x14ac:dyDescent="0.35">
      <c r="A809" t="s">
        <v>244</v>
      </c>
      <c r="B809">
        <f t="shared" si="36"/>
        <v>2019</v>
      </c>
      <c r="C809">
        <f t="shared" si="37"/>
        <v>10</v>
      </c>
      <c r="D809">
        <f t="shared" si="38"/>
        <v>4</v>
      </c>
      <c r="E809" t="s">
        <v>323</v>
      </c>
      <c r="F809">
        <v>0</v>
      </c>
      <c r="G809">
        <v>4.25</v>
      </c>
      <c r="H809">
        <v>4.25</v>
      </c>
      <c r="J809">
        <v>4.25</v>
      </c>
      <c r="K809">
        <v>0</v>
      </c>
      <c r="L809">
        <v>-4.9875000000000003E-2</v>
      </c>
      <c r="M809">
        <v>-3.0000000000000001E-3</v>
      </c>
    </row>
    <row r="810" spans="1:13" x14ac:dyDescent="0.35">
      <c r="A810" t="s">
        <v>245</v>
      </c>
      <c r="B810">
        <f t="shared" si="36"/>
        <v>2019</v>
      </c>
      <c r="C810">
        <f t="shared" si="37"/>
        <v>11</v>
      </c>
      <c r="D810">
        <f t="shared" si="38"/>
        <v>4</v>
      </c>
      <c r="E810" t="s">
        <v>323</v>
      </c>
      <c r="F810">
        <v>0</v>
      </c>
      <c r="G810">
        <v>4.25</v>
      </c>
      <c r="H810">
        <v>4.25</v>
      </c>
      <c r="J810">
        <v>4.25</v>
      </c>
      <c r="K810">
        <v>0</v>
      </c>
      <c r="L810">
        <v>0</v>
      </c>
      <c r="M810">
        <v>0</v>
      </c>
    </row>
    <row r="811" spans="1:13" x14ac:dyDescent="0.35">
      <c r="A811" t="s">
        <v>246</v>
      </c>
      <c r="B811">
        <f t="shared" si="36"/>
        <v>2019</v>
      </c>
      <c r="C811">
        <f t="shared" si="37"/>
        <v>12</v>
      </c>
      <c r="D811">
        <f t="shared" si="38"/>
        <v>4</v>
      </c>
      <c r="E811" t="s">
        <v>323</v>
      </c>
      <c r="F811">
        <v>0</v>
      </c>
      <c r="G811">
        <v>4.25</v>
      </c>
      <c r="H811">
        <v>4.25</v>
      </c>
      <c r="J811">
        <v>4.25</v>
      </c>
      <c r="K811">
        <v>0</v>
      </c>
      <c r="L811">
        <v>8.5343999999999993E-3</v>
      </c>
      <c r="M811">
        <v>0</v>
      </c>
    </row>
    <row r="812" spans="1:13" x14ac:dyDescent="0.35">
      <c r="A812" t="s">
        <v>247</v>
      </c>
      <c r="B812">
        <f t="shared" si="36"/>
        <v>2020</v>
      </c>
      <c r="C812">
        <f t="shared" si="37"/>
        <v>1</v>
      </c>
      <c r="D812">
        <f t="shared" si="38"/>
        <v>1</v>
      </c>
      <c r="E812" t="s">
        <v>323</v>
      </c>
      <c r="F812">
        <v>0</v>
      </c>
      <c r="G812">
        <v>4.25</v>
      </c>
      <c r="H812">
        <v>4.25</v>
      </c>
      <c r="J812">
        <v>4.25962</v>
      </c>
      <c r="K812">
        <v>-9.6200000000000001E-3</v>
      </c>
      <c r="L812">
        <v>2.0124E-2</v>
      </c>
      <c r="M812">
        <v>-3.0000000000000001E-3</v>
      </c>
    </row>
    <row r="813" spans="1:13" x14ac:dyDescent="0.35">
      <c r="A813" t="s">
        <v>248</v>
      </c>
      <c r="B813">
        <f t="shared" si="36"/>
        <v>2020</v>
      </c>
      <c r="C813">
        <f t="shared" si="37"/>
        <v>2</v>
      </c>
      <c r="D813">
        <f t="shared" si="38"/>
        <v>1</v>
      </c>
      <c r="E813" t="s">
        <v>323</v>
      </c>
      <c r="F813">
        <v>0</v>
      </c>
      <c r="G813">
        <v>4.25</v>
      </c>
      <c r="H813">
        <v>4.25</v>
      </c>
      <c r="J813">
        <v>4.25</v>
      </c>
      <c r="K813">
        <v>0</v>
      </c>
      <c r="L813">
        <v>0</v>
      </c>
      <c r="M813">
        <v>-1E-3</v>
      </c>
    </row>
    <row r="814" spans="1:13" x14ac:dyDescent="0.35">
      <c r="A814" t="s">
        <v>249</v>
      </c>
      <c r="B814">
        <f t="shared" si="36"/>
        <v>2020</v>
      </c>
      <c r="C814">
        <f t="shared" si="37"/>
        <v>3</v>
      </c>
      <c r="D814">
        <f t="shared" si="38"/>
        <v>1</v>
      </c>
      <c r="E814" t="s">
        <v>323</v>
      </c>
      <c r="F814">
        <v>0</v>
      </c>
      <c r="G814">
        <v>3.75</v>
      </c>
      <c r="H814">
        <v>3.75</v>
      </c>
      <c r="J814">
        <v>3.9021699999999999</v>
      </c>
      <c r="K814">
        <v>-0.15217</v>
      </c>
      <c r="L814">
        <v>-0.12127</v>
      </c>
      <c r="M814">
        <v>-0.10299999999999999</v>
      </c>
    </row>
    <row r="815" spans="1:13" x14ac:dyDescent="0.35">
      <c r="A815" t="s">
        <v>250</v>
      </c>
      <c r="B815">
        <f t="shared" si="36"/>
        <v>2020</v>
      </c>
      <c r="C815">
        <f t="shared" si="37"/>
        <v>4</v>
      </c>
      <c r="D815">
        <f t="shared" si="38"/>
        <v>2</v>
      </c>
      <c r="E815" t="s">
        <v>323</v>
      </c>
      <c r="F815">
        <v>0</v>
      </c>
      <c r="G815">
        <v>3.25</v>
      </c>
      <c r="H815">
        <v>3.25</v>
      </c>
      <c r="J815">
        <v>3.2211500000000002</v>
      </c>
      <c r="K815">
        <v>2.8850000000000001E-2</v>
      </c>
      <c r="L815">
        <v>-0.23477000000000001</v>
      </c>
      <c r="M815">
        <v>7.6999999999999999E-2</v>
      </c>
    </row>
    <row r="816" spans="1:13" x14ac:dyDescent="0.35">
      <c r="A816" t="s">
        <v>251</v>
      </c>
      <c r="B816">
        <f t="shared" si="36"/>
        <v>2020</v>
      </c>
      <c r="C816">
        <f t="shared" si="37"/>
        <v>5</v>
      </c>
      <c r="D816">
        <f t="shared" si="38"/>
        <v>2</v>
      </c>
      <c r="E816" t="s">
        <v>323</v>
      </c>
      <c r="F816">
        <v>0</v>
      </c>
      <c r="G816">
        <v>2.75</v>
      </c>
      <c r="H816">
        <v>2.75</v>
      </c>
      <c r="J816">
        <v>2.7604199999999999</v>
      </c>
      <c r="K816">
        <v>-1.042E-2</v>
      </c>
      <c r="L816">
        <v>-0.15432999999999999</v>
      </c>
      <c r="M816">
        <v>3.0000000000000001E-3</v>
      </c>
    </row>
    <row r="817" spans="1:13" x14ac:dyDescent="0.35">
      <c r="A817" t="s">
        <v>252</v>
      </c>
      <c r="B817">
        <f t="shared" si="36"/>
        <v>2020</v>
      </c>
      <c r="C817">
        <f t="shared" si="37"/>
        <v>6</v>
      </c>
      <c r="D817">
        <f t="shared" si="38"/>
        <v>2</v>
      </c>
      <c r="E817" t="s">
        <v>323</v>
      </c>
      <c r="F817">
        <v>0.25</v>
      </c>
      <c r="G817">
        <v>2.25</v>
      </c>
      <c r="H817">
        <v>2.5</v>
      </c>
      <c r="J817">
        <v>2.3369599999999999</v>
      </c>
      <c r="K817">
        <v>0.16303999999999999</v>
      </c>
      <c r="L817">
        <v>0.33911000000000002</v>
      </c>
      <c r="M817">
        <v>0.14299999999999999</v>
      </c>
    </row>
    <row r="818" spans="1:13" x14ac:dyDescent="0.35">
      <c r="A818" t="s">
        <v>253</v>
      </c>
      <c r="B818">
        <f t="shared" si="36"/>
        <v>2020</v>
      </c>
      <c r="C818">
        <f t="shared" si="37"/>
        <v>7</v>
      </c>
      <c r="D818">
        <f t="shared" si="38"/>
        <v>3</v>
      </c>
      <c r="E818" t="s">
        <v>323</v>
      </c>
      <c r="F818">
        <v>0</v>
      </c>
      <c r="G818">
        <v>2.25</v>
      </c>
      <c r="H818">
        <v>2.25</v>
      </c>
      <c r="J818">
        <v>2.2592599999999998</v>
      </c>
      <c r="K818">
        <v>-9.2599999999999991E-3</v>
      </c>
      <c r="L818">
        <v>0.35879</v>
      </c>
      <c r="M818">
        <v>-1.2E-2</v>
      </c>
    </row>
    <row r="819" spans="1:13" x14ac:dyDescent="0.35">
      <c r="A819" t="s">
        <v>254</v>
      </c>
      <c r="B819">
        <f t="shared" si="36"/>
        <v>2020</v>
      </c>
      <c r="C819">
        <f t="shared" si="37"/>
        <v>8</v>
      </c>
      <c r="D819">
        <f t="shared" si="38"/>
        <v>3</v>
      </c>
      <c r="E819" t="s">
        <v>323</v>
      </c>
      <c r="F819">
        <v>0</v>
      </c>
      <c r="G819">
        <v>2</v>
      </c>
      <c r="H819">
        <v>2</v>
      </c>
      <c r="J819">
        <v>2</v>
      </c>
      <c r="K819">
        <v>0</v>
      </c>
      <c r="L819">
        <v>0.29464000000000001</v>
      </c>
      <c r="M819">
        <v>-4.7E-2</v>
      </c>
    </row>
    <row r="820" spans="1:13" x14ac:dyDescent="0.35">
      <c r="A820" t="s">
        <v>255</v>
      </c>
      <c r="B820">
        <f t="shared" si="36"/>
        <v>2020</v>
      </c>
      <c r="C820">
        <f t="shared" si="37"/>
        <v>9</v>
      </c>
      <c r="D820">
        <f t="shared" si="38"/>
        <v>3</v>
      </c>
      <c r="E820" t="s">
        <v>323</v>
      </c>
      <c r="F820">
        <v>0</v>
      </c>
      <c r="G820">
        <v>1.75</v>
      </c>
      <c r="H820">
        <v>1.75</v>
      </c>
      <c r="J820">
        <v>1.8522700000000001</v>
      </c>
      <c r="K820">
        <v>-0.10227</v>
      </c>
      <c r="L820">
        <v>0.26808999999999999</v>
      </c>
      <c r="M820">
        <v>-0.129</v>
      </c>
    </row>
    <row r="821" spans="1:13" x14ac:dyDescent="0.35">
      <c r="A821" t="s">
        <v>256</v>
      </c>
      <c r="B821">
        <f t="shared" si="36"/>
        <v>2020</v>
      </c>
      <c r="C821">
        <f t="shared" si="37"/>
        <v>10</v>
      </c>
      <c r="D821">
        <f t="shared" si="38"/>
        <v>4</v>
      </c>
      <c r="E821" t="s">
        <v>323</v>
      </c>
      <c r="F821">
        <v>0</v>
      </c>
      <c r="G821">
        <v>1.75</v>
      </c>
      <c r="H821">
        <v>1.75</v>
      </c>
      <c r="J821">
        <v>1.71739</v>
      </c>
      <c r="K821">
        <v>3.261E-2</v>
      </c>
      <c r="L821">
        <v>0.2311</v>
      </c>
      <c r="M821">
        <v>3.0000000000000001E-3</v>
      </c>
    </row>
    <row r="822" spans="1:13" x14ac:dyDescent="0.35">
      <c r="A822" t="s">
        <v>257</v>
      </c>
      <c r="B822">
        <f t="shared" si="36"/>
        <v>2020</v>
      </c>
      <c r="C822">
        <f t="shared" si="37"/>
        <v>11</v>
      </c>
      <c r="D822">
        <f t="shared" si="38"/>
        <v>4</v>
      </c>
      <c r="E822" t="s">
        <v>323</v>
      </c>
      <c r="F822">
        <v>0</v>
      </c>
      <c r="G822">
        <v>1.75</v>
      </c>
      <c r="H822">
        <v>1.75</v>
      </c>
      <c r="J822">
        <v>1.75</v>
      </c>
      <c r="K822">
        <v>0</v>
      </c>
      <c r="L822">
        <v>0</v>
      </c>
      <c r="M822">
        <v>-6.0000000000000001E-3</v>
      </c>
    </row>
    <row r="823" spans="1:13" x14ac:dyDescent="0.35">
      <c r="A823" t="s">
        <v>258</v>
      </c>
      <c r="B823">
        <f t="shared" si="36"/>
        <v>2020</v>
      </c>
      <c r="C823">
        <f t="shared" si="37"/>
        <v>12</v>
      </c>
      <c r="D823">
        <f t="shared" si="38"/>
        <v>4</v>
      </c>
      <c r="E823" t="s">
        <v>323</v>
      </c>
      <c r="F823">
        <v>0</v>
      </c>
      <c r="G823">
        <v>1.75</v>
      </c>
      <c r="H823">
        <v>1.75</v>
      </c>
      <c r="J823">
        <v>1.75</v>
      </c>
      <c r="K823">
        <v>0</v>
      </c>
      <c r="L823">
        <v>0.40161999999999998</v>
      </c>
      <c r="M823">
        <v>-3.0000000000000001E-3</v>
      </c>
    </row>
    <row r="824" spans="1:13" x14ac:dyDescent="0.35">
      <c r="A824" t="s">
        <v>259</v>
      </c>
      <c r="B824">
        <f t="shared" si="36"/>
        <v>2021</v>
      </c>
      <c r="C824">
        <f t="shared" si="37"/>
        <v>1</v>
      </c>
      <c r="D824">
        <f t="shared" si="38"/>
        <v>1</v>
      </c>
      <c r="E824" t="s">
        <v>323</v>
      </c>
      <c r="F824">
        <v>0</v>
      </c>
      <c r="G824">
        <v>1.75</v>
      </c>
      <c r="H824">
        <v>1.75</v>
      </c>
      <c r="J824">
        <v>1.75</v>
      </c>
      <c r="K824">
        <v>0</v>
      </c>
      <c r="L824">
        <v>2.4486000000000001E-2</v>
      </c>
      <c r="M824">
        <v>2.7E-2</v>
      </c>
    </row>
    <row r="825" spans="1:13" x14ac:dyDescent="0.35">
      <c r="A825" t="s">
        <v>260</v>
      </c>
      <c r="B825">
        <f t="shared" si="36"/>
        <v>2021</v>
      </c>
      <c r="C825">
        <f t="shared" si="37"/>
        <v>2</v>
      </c>
      <c r="D825">
        <f t="shared" si="38"/>
        <v>1</v>
      </c>
      <c r="E825" t="s">
        <v>323</v>
      </c>
      <c r="F825">
        <v>0</v>
      </c>
      <c r="G825">
        <v>1.75</v>
      </c>
      <c r="H825">
        <v>1.75</v>
      </c>
      <c r="J825">
        <v>1.75</v>
      </c>
      <c r="K825">
        <v>0</v>
      </c>
      <c r="L825">
        <v>0</v>
      </c>
      <c r="M825">
        <v>-1E-3</v>
      </c>
    </row>
    <row r="826" spans="1:13" x14ac:dyDescent="0.35">
      <c r="A826" t="s">
        <v>261</v>
      </c>
      <c r="B826">
        <f t="shared" si="36"/>
        <v>2021</v>
      </c>
      <c r="C826">
        <f t="shared" si="37"/>
        <v>3</v>
      </c>
      <c r="D826">
        <f t="shared" si="38"/>
        <v>1</v>
      </c>
      <c r="E826" t="s">
        <v>323</v>
      </c>
      <c r="F826">
        <v>0</v>
      </c>
      <c r="G826">
        <v>1.75</v>
      </c>
      <c r="H826">
        <v>1.75</v>
      </c>
      <c r="J826">
        <v>1.75</v>
      </c>
      <c r="K826">
        <v>0</v>
      </c>
      <c r="L826">
        <v>-5.5664999999999999E-2</v>
      </c>
      <c r="M826">
        <v>4.0000000000000001E-3</v>
      </c>
    </row>
    <row r="827" spans="1:13" x14ac:dyDescent="0.35">
      <c r="A827" t="s">
        <v>262</v>
      </c>
      <c r="B827">
        <f t="shared" si="36"/>
        <v>2021</v>
      </c>
      <c r="C827">
        <f t="shared" si="37"/>
        <v>4</v>
      </c>
      <c r="D827">
        <f t="shared" si="38"/>
        <v>2</v>
      </c>
      <c r="E827" t="s">
        <v>323</v>
      </c>
      <c r="F827">
        <v>0</v>
      </c>
      <c r="G827">
        <v>1.75</v>
      </c>
      <c r="H827">
        <v>1.75</v>
      </c>
      <c r="J827">
        <v>1.75</v>
      </c>
      <c r="K827">
        <v>0</v>
      </c>
      <c r="L827">
        <v>-0.34566999999999998</v>
      </c>
      <c r="M827">
        <v>7.0000000000000001E-3</v>
      </c>
    </row>
    <row r="828" spans="1:13" x14ac:dyDescent="0.35">
      <c r="A828" t="s">
        <v>263</v>
      </c>
      <c r="B828">
        <f t="shared" si="36"/>
        <v>2021</v>
      </c>
      <c r="C828">
        <f t="shared" si="37"/>
        <v>5</v>
      </c>
      <c r="D828">
        <f t="shared" si="38"/>
        <v>2</v>
      </c>
      <c r="E828" t="s">
        <v>323</v>
      </c>
      <c r="F828">
        <v>0</v>
      </c>
      <c r="G828">
        <v>1.75</v>
      </c>
      <c r="H828">
        <v>1.75</v>
      </c>
      <c r="J828">
        <v>1.75</v>
      </c>
      <c r="K828">
        <v>0</v>
      </c>
      <c r="L828">
        <v>0</v>
      </c>
      <c r="M828">
        <v>-6.0000000000000001E-3</v>
      </c>
    </row>
    <row r="829" spans="1:13" x14ac:dyDescent="0.35">
      <c r="A829" t="s">
        <v>264</v>
      </c>
      <c r="B829">
        <f t="shared" si="36"/>
        <v>2021</v>
      </c>
      <c r="C829">
        <f t="shared" si="37"/>
        <v>6</v>
      </c>
      <c r="D829">
        <f t="shared" si="38"/>
        <v>2</v>
      </c>
      <c r="E829" t="s">
        <v>323</v>
      </c>
      <c r="F829">
        <v>0</v>
      </c>
      <c r="G829">
        <v>1.75</v>
      </c>
      <c r="H829">
        <v>1.75</v>
      </c>
      <c r="J829">
        <v>1.75</v>
      </c>
      <c r="K829">
        <v>0</v>
      </c>
      <c r="L829">
        <v>-0.20937</v>
      </c>
      <c r="M829">
        <v>-3.4000000000000002E-2</v>
      </c>
    </row>
    <row r="830" spans="1:13" x14ac:dyDescent="0.35">
      <c r="A830" t="s">
        <v>265</v>
      </c>
      <c r="B830">
        <f t="shared" si="36"/>
        <v>2021</v>
      </c>
      <c r="C830">
        <f t="shared" si="37"/>
        <v>7</v>
      </c>
      <c r="D830">
        <f t="shared" si="38"/>
        <v>3</v>
      </c>
      <c r="E830" t="s">
        <v>323</v>
      </c>
      <c r="F830">
        <v>0</v>
      </c>
      <c r="G830">
        <v>1.75</v>
      </c>
      <c r="H830">
        <v>1.75</v>
      </c>
      <c r="J830">
        <v>1.75</v>
      </c>
      <c r="K830">
        <v>0</v>
      </c>
      <c r="L830">
        <v>-0.77193999999999996</v>
      </c>
      <c r="M830">
        <v>-1E-3</v>
      </c>
    </row>
    <row r="831" spans="1:13" x14ac:dyDescent="0.35">
      <c r="A831" t="s">
        <v>266</v>
      </c>
      <c r="B831">
        <f t="shared" si="36"/>
        <v>2021</v>
      </c>
      <c r="C831">
        <f t="shared" si="37"/>
        <v>8</v>
      </c>
      <c r="D831">
        <f t="shared" si="38"/>
        <v>3</v>
      </c>
      <c r="E831" t="s">
        <v>323</v>
      </c>
      <c r="F831">
        <v>0</v>
      </c>
      <c r="G831">
        <v>1.75</v>
      </c>
      <c r="H831">
        <v>1.75</v>
      </c>
      <c r="J831">
        <v>1.75</v>
      </c>
      <c r="K831">
        <v>0</v>
      </c>
      <c r="L831">
        <v>0</v>
      </c>
      <c r="M831">
        <v>-2.3E-2</v>
      </c>
    </row>
    <row r="832" spans="1:13" x14ac:dyDescent="0.35">
      <c r="A832" t="s">
        <v>267</v>
      </c>
      <c r="B832">
        <f t="shared" si="36"/>
        <v>2021</v>
      </c>
      <c r="C832">
        <f t="shared" si="37"/>
        <v>9</v>
      </c>
      <c r="D832">
        <f t="shared" si="38"/>
        <v>3</v>
      </c>
      <c r="E832" t="s">
        <v>323</v>
      </c>
      <c r="F832">
        <v>0</v>
      </c>
      <c r="G832">
        <v>2</v>
      </c>
      <c r="H832">
        <v>2</v>
      </c>
      <c r="J832">
        <v>2.0113599999999998</v>
      </c>
      <c r="K832">
        <v>-1.136E-2</v>
      </c>
      <c r="L832">
        <v>-0.39282</v>
      </c>
      <c r="M832">
        <v>-8.3000000000000004E-2</v>
      </c>
    </row>
    <row r="833" spans="1:13" x14ac:dyDescent="0.35">
      <c r="A833" t="s">
        <v>268</v>
      </c>
      <c r="B833">
        <f t="shared" si="36"/>
        <v>2021</v>
      </c>
      <c r="C833">
        <f t="shared" si="37"/>
        <v>10</v>
      </c>
      <c r="D833">
        <f t="shared" si="38"/>
        <v>4</v>
      </c>
      <c r="E833" t="s">
        <v>323</v>
      </c>
      <c r="F833">
        <v>0.25</v>
      </c>
      <c r="G833">
        <v>2.25</v>
      </c>
      <c r="H833">
        <v>2.5</v>
      </c>
      <c r="J833">
        <v>2.34375</v>
      </c>
      <c r="K833">
        <v>0.15625</v>
      </c>
      <c r="L833">
        <v>-0.37264000000000003</v>
      </c>
      <c r="M833">
        <v>7.5999999999999998E-2</v>
      </c>
    </row>
    <row r="834" spans="1:13" x14ac:dyDescent="0.35">
      <c r="A834" t="s">
        <v>269</v>
      </c>
      <c r="B834">
        <f t="shared" si="36"/>
        <v>2021</v>
      </c>
      <c r="C834">
        <f t="shared" si="37"/>
        <v>11</v>
      </c>
      <c r="D834">
        <f t="shared" si="38"/>
        <v>4</v>
      </c>
      <c r="E834" t="s">
        <v>323</v>
      </c>
      <c r="F834">
        <v>0</v>
      </c>
      <c r="G834">
        <v>2.5</v>
      </c>
      <c r="H834">
        <v>2.5</v>
      </c>
      <c r="J834">
        <v>2.5</v>
      </c>
      <c r="K834">
        <v>0</v>
      </c>
      <c r="L834">
        <v>0</v>
      </c>
      <c r="M834">
        <v>0</v>
      </c>
    </row>
    <row r="835" spans="1:13" x14ac:dyDescent="0.35">
      <c r="A835" t="s">
        <v>270</v>
      </c>
      <c r="B835">
        <f t="shared" ref="B835:B898" si="39">LEFT(A835,4)*1</f>
        <v>2021</v>
      </c>
      <c r="C835">
        <f t="shared" ref="C835:C898" si="40">MID(A835,6,2)*1</f>
        <v>12</v>
      </c>
      <c r="D835">
        <f t="shared" ref="D835:D898" si="41">ROUNDUP(C835/3,0)</f>
        <v>4</v>
      </c>
      <c r="E835" t="s">
        <v>323</v>
      </c>
      <c r="F835">
        <v>0</v>
      </c>
      <c r="G835">
        <v>3</v>
      </c>
      <c r="H835">
        <v>3</v>
      </c>
      <c r="J835">
        <v>3.0370400000000002</v>
      </c>
      <c r="K835">
        <v>-3.7039999999999997E-2</v>
      </c>
      <c r="L835">
        <v>-8.1256999999999996E-2</v>
      </c>
      <c r="M835">
        <v>-0.129</v>
      </c>
    </row>
    <row r="836" spans="1:13" x14ac:dyDescent="0.35">
      <c r="A836" t="s">
        <v>271</v>
      </c>
      <c r="B836">
        <f t="shared" si="39"/>
        <v>2022</v>
      </c>
      <c r="C836">
        <f t="shared" si="40"/>
        <v>1</v>
      </c>
      <c r="D836">
        <f t="shared" si="41"/>
        <v>1</v>
      </c>
      <c r="E836" t="s">
        <v>323</v>
      </c>
      <c r="F836">
        <v>0.25</v>
      </c>
      <c r="G836">
        <v>3.75</v>
      </c>
      <c r="H836">
        <v>4</v>
      </c>
      <c r="J836">
        <v>3.73</v>
      </c>
      <c r="K836">
        <v>0.27</v>
      </c>
      <c r="L836">
        <v>0.43430999999999997</v>
      </c>
      <c r="M836">
        <v>0.13300000000000001</v>
      </c>
    </row>
    <row r="837" spans="1:13" x14ac:dyDescent="0.35">
      <c r="A837" t="s">
        <v>272</v>
      </c>
      <c r="B837">
        <f t="shared" si="39"/>
        <v>2022</v>
      </c>
      <c r="C837">
        <f t="shared" si="40"/>
        <v>2</v>
      </c>
      <c r="D837">
        <f t="shared" si="41"/>
        <v>1</v>
      </c>
      <c r="E837" t="s">
        <v>323</v>
      </c>
      <c r="F837">
        <v>0</v>
      </c>
      <c r="G837">
        <v>4</v>
      </c>
      <c r="H837">
        <v>4</v>
      </c>
      <c r="J837">
        <v>4</v>
      </c>
      <c r="K837">
        <v>0</v>
      </c>
      <c r="L837">
        <v>0</v>
      </c>
      <c r="M837">
        <v>0</v>
      </c>
    </row>
    <row r="838" spans="1:13" x14ac:dyDescent="0.35">
      <c r="A838" t="s">
        <v>273</v>
      </c>
      <c r="B838">
        <f t="shared" si="39"/>
        <v>2022</v>
      </c>
      <c r="C838">
        <f t="shared" si="40"/>
        <v>3</v>
      </c>
      <c r="D838">
        <f t="shared" si="41"/>
        <v>1</v>
      </c>
      <c r="E838" t="s">
        <v>323</v>
      </c>
      <c r="F838">
        <v>-0.5</v>
      </c>
      <c r="G838">
        <v>5.5</v>
      </c>
      <c r="H838">
        <v>5</v>
      </c>
      <c r="J838">
        <v>5.4583300000000001</v>
      </c>
      <c r="K838">
        <v>-0.45833000000000002</v>
      </c>
      <c r="L838">
        <v>1.8605E-2</v>
      </c>
      <c r="M838">
        <v>-0.46700000000000003</v>
      </c>
    </row>
    <row r="839" spans="1:13" x14ac:dyDescent="0.35">
      <c r="A839" t="s">
        <v>274</v>
      </c>
      <c r="B839">
        <f t="shared" si="39"/>
        <v>2022</v>
      </c>
      <c r="C839">
        <f t="shared" si="40"/>
        <v>4</v>
      </c>
      <c r="D839">
        <f t="shared" si="41"/>
        <v>2</v>
      </c>
      <c r="E839" t="s">
        <v>323</v>
      </c>
      <c r="F839">
        <v>0</v>
      </c>
      <c r="G839">
        <v>6</v>
      </c>
      <c r="H839">
        <v>6</v>
      </c>
      <c r="J839">
        <v>6.04</v>
      </c>
      <c r="K839">
        <v>-0.04</v>
      </c>
      <c r="L839">
        <v>0.4672</v>
      </c>
      <c r="M839">
        <v>-4.5999999999999999E-2</v>
      </c>
    </row>
    <row r="840" spans="1:13" x14ac:dyDescent="0.35">
      <c r="A840" t="s">
        <v>275</v>
      </c>
      <c r="B840">
        <f t="shared" si="39"/>
        <v>2022</v>
      </c>
      <c r="C840">
        <f t="shared" si="40"/>
        <v>5</v>
      </c>
      <c r="D840">
        <f t="shared" si="41"/>
        <v>2</v>
      </c>
      <c r="E840" t="s">
        <v>323</v>
      </c>
      <c r="F840">
        <v>0</v>
      </c>
      <c r="G840">
        <v>6</v>
      </c>
      <c r="H840">
        <v>6</v>
      </c>
      <c r="J840">
        <v>6</v>
      </c>
      <c r="K840">
        <v>0</v>
      </c>
      <c r="L840">
        <v>0</v>
      </c>
      <c r="M840">
        <v>0</v>
      </c>
    </row>
    <row r="841" spans="1:13" x14ac:dyDescent="0.35">
      <c r="A841" t="s">
        <v>276</v>
      </c>
      <c r="B841">
        <f t="shared" si="39"/>
        <v>2022</v>
      </c>
      <c r="C841">
        <f t="shared" si="40"/>
        <v>6</v>
      </c>
      <c r="D841">
        <f t="shared" si="41"/>
        <v>2</v>
      </c>
      <c r="E841" t="s">
        <v>323</v>
      </c>
      <c r="F841">
        <v>0</v>
      </c>
      <c r="G841">
        <v>7.5</v>
      </c>
      <c r="H841">
        <v>7.5</v>
      </c>
      <c r="J841">
        <v>7.3229199999999999</v>
      </c>
      <c r="K841">
        <v>0.17707999999999999</v>
      </c>
      <c r="L841">
        <v>0.57955000000000001</v>
      </c>
      <c r="M841">
        <v>3.0000000000000001E-3</v>
      </c>
    </row>
    <row r="842" spans="1:13" x14ac:dyDescent="0.35">
      <c r="A842" t="s">
        <v>277</v>
      </c>
      <c r="B842">
        <f t="shared" si="39"/>
        <v>2022</v>
      </c>
      <c r="C842">
        <f t="shared" si="40"/>
        <v>7</v>
      </c>
      <c r="D842">
        <f t="shared" si="41"/>
        <v>3</v>
      </c>
      <c r="E842" t="s">
        <v>323</v>
      </c>
      <c r="F842">
        <v>0</v>
      </c>
      <c r="G842">
        <v>9</v>
      </c>
      <c r="H842">
        <v>9</v>
      </c>
      <c r="J842">
        <v>8.9732099999999999</v>
      </c>
      <c r="K842">
        <v>2.6790000000000001E-2</v>
      </c>
      <c r="L842">
        <v>0.78764999999999996</v>
      </c>
      <c r="M842">
        <v>1.7000000000000001E-2</v>
      </c>
    </row>
    <row r="843" spans="1:13" x14ac:dyDescent="0.35">
      <c r="A843" t="s">
        <v>278</v>
      </c>
      <c r="B843">
        <f t="shared" si="39"/>
        <v>2022</v>
      </c>
      <c r="C843">
        <f t="shared" si="40"/>
        <v>8</v>
      </c>
      <c r="D843">
        <f t="shared" si="41"/>
        <v>3</v>
      </c>
      <c r="E843" t="s">
        <v>323</v>
      </c>
      <c r="F843">
        <v>0</v>
      </c>
      <c r="G843">
        <v>9</v>
      </c>
      <c r="H843">
        <v>9</v>
      </c>
      <c r="J843">
        <v>9</v>
      </c>
      <c r="K843">
        <v>0</v>
      </c>
      <c r="L843">
        <v>0</v>
      </c>
      <c r="M843">
        <v>0</v>
      </c>
    </row>
    <row r="844" spans="1:13" x14ac:dyDescent="0.35">
      <c r="A844" t="s">
        <v>279</v>
      </c>
      <c r="B844">
        <f t="shared" si="39"/>
        <v>2022</v>
      </c>
      <c r="C844">
        <f t="shared" si="40"/>
        <v>9</v>
      </c>
      <c r="D844">
        <f t="shared" si="41"/>
        <v>3</v>
      </c>
      <c r="E844" t="s">
        <v>323</v>
      </c>
      <c r="F844">
        <v>-0.5</v>
      </c>
      <c r="G844">
        <v>10.5</v>
      </c>
      <c r="H844">
        <v>10</v>
      </c>
      <c r="J844">
        <v>10.319000000000001</v>
      </c>
      <c r="K844">
        <v>-0.31900000000000001</v>
      </c>
      <c r="L844">
        <v>0.28583999999999998</v>
      </c>
      <c r="M844">
        <v>-0.34899999999999998</v>
      </c>
    </row>
    <row r="845" spans="1:13" x14ac:dyDescent="0.35">
      <c r="A845" t="s">
        <v>280</v>
      </c>
      <c r="B845">
        <f t="shared" si="39"/>
        <v>2022</v>
      </c>
      <c r="C845">
        <f t="shared" si="40"/>
        <v>10</v>
      </c>
      <c r="D845">
        <f t="shared" si="41"/>
        <v>4</v>
      </c>
      <c r="E845" t="s">
        <v>323</v>
      </c>
      <c r="F845">
        <v>0</v>
      </c>
      <c r="G845">
        <v>11</v>
      </c>
      <c r="H845">
        <v>11</v>
      </c>
      <c r="J845">
        <v>11.0268</v>
      </c>
      <c r="K845">
        <v>-2.6800000000000001E-2</v>
      </c>
      <c r="L845">
        <v>0.5575</v>
      </c>
      <c r="M845">
        <v>-1.6E-2</v>
      </c>
    </row>
    <row r="846" spans="1:13" x14ac:dyDescent="0.35">
      <c r="A846" t="s">
        <v>281</v>
      </c>
      <c r="B846">
        <f t="shared" si="39"/>
        <v>2022</v>
      </c>
      <c r="C846">
        <f t="shared" si="40"/>
        <v>11</v>
      </c>
      <c r="D846">
        <f t="shared" si="41"/>
        <v>4</v>
      </c>
      <c r="E846" t="s">
        <v>323</v>
      </c>
      <c r="F846">
        <v>0</v>
      </c>
      <c r="G846">
        <v>11</v>
      </c>
      <c r="H846">
        <v>11</v>
      </c>
      <c r="J846">
        <v>11</v>
      </c>
      <c r="K846">
        <v>0</v>
      </c>
      <c r="L846">
        <v>0</v>
      </c>
      <c r="M846">
        <v>0</v>
      </c>
    </row>
    <row r="847" spans="1:13" x14ac:dyDescent="0.35">
      <c r="A847" t="s">
        <v>282</v>
      </c>
      <c r="B847">
        <f t="shared" si="39"/>
        <v>2022</v>
      </c>
      <c r="C847">
        <f t="shared" si="40"/>
        <v>12</v>
      </c>
      <c r="D847">
        <f t="shared" si="41"/>
        <v>4</v>
      </c>
      <c r="E847" t="s">
        <v>323</v>
      </c>
      <c r="F847">
        <v>0</v>
      </c>
      <c r="G847">
        <v>12</v>
      </c>
      <c r="H847">
        <v>12</v>
      </c>
      <c r="J847">
        <v>11.954499999999999</v>
      </c>
      <c r="K847">
        <v>4.5499999999999999E-2</v>
      </c>
      <c r="L847">
        <v>0.55574000000000001</v>
      </c>
      <c r="M847">
        <v>0.20100000000000001</v>
      </c>
    </row>
    <row r="848" spans="1:13" x14ac:dyDescent="0.35">
      <c r="A848" t="s">
        <v>283</v>
      </c>
      <c r="B848">
        <f t="shared" si="39"/>
        <v>2023</v>
      </c>
      <c r="C848">
        <f t="shared" si="40"/>
        <v>1</v>
      </c>
      <c r="D848">
        <f t="shared" si="41"/>
        <v>1</v>
      </c>
      <c r="E848" t="s">
        <v>323</v>
      </c>
      <c r="F848">
        <v>-0.25</v>
      </c>
      <c r="G848">
        <v>13</v>
      </c>
      <c r="H848">
        <v>12.75</v>
      </c>
      <c r="J848">
        <v>12.866099999999999</v>
      </c>
      <c r="K848">
        <v>-0.11609999999999999</v>
      </c>
      <c r="L848">
        <v>0.16749</v>
      </c>
      <c r="M848">
        <v>8.3000000000000004E-2</v>
      </c>
    </row>
    <row r="849" spans="1:13" x14ac:dyDescent="0.35">
      <c r="A849" t="s">
        <v>284</v>
      </c>
      <c r="B849">
        <f t="shared" si="39"/>
        <v>2023</v>
      </c>
      <c r="C849">
        <f t="shared" si="40"/>
        <v>2</v>
      </c>
      <c r="D849">
        <f t="shared" si="41"/>
        <v>1</v>
      </c>
      <c r="E849" t="s">
        <v>323</v>
      </c>
      <c r="F849">
        <v>0</v>
      </c>
      <c r="G849">
        <v>12.75</v>
      </c>
      <c r="H849">
        <v>12.75</v>
      </c>
      <c r="J849">
        <v>12.75</v>
      </c>
      <c r="K849">
        <v>0</v>
      </c>
      <c r="L849">
        <v>0</v>
      </c>
      <c r="M849">
        <v>0</v>
      </c>
    </row>
    <row r="850" spans="1:13" x14ac:dyDescent="0.35">
      <c r="A850" t="s">
        <v>285</v>
      </c>
      <c r="B850">
        <f t="shared" si="39"/>
        <v>2023</v>
      </c>
      <c r="C850">
        <f t="shared" si="40"/>
        <v>3</v>
      </c>
      <c r="D850">
        <f t="shared" si="41"/>
        <v>1</v>
      </c>
      <c r="E850" t="s">
        <v>323</v>
      </c>
      <c r="F850">
        <v>0</v>
      </c>
      <c r="G850">
        <v>13</v>
      </c>
      <c r="H850">
        <v>13</v>
      </c>
      <c r="J850">
        <v>13.069000000000001</v>
      </c>
      <c r="K850">
        <v>-6.9000000000000006E-2</v>
      </c>
      <c r="L850">
        <v>-5.1173999999999997E-2</v>
      </c>
      <c r="M850">
        <v>1.2999999999999999E-2</v>
      </c>
    </row>
    <row r="851" spans="1:13" x14ac:dyDescent="0.35">
      <c r="A851" t="s">
        <v>286</v>
      </c>
      <c r="B851">
        <f t="shared" si="39"/>
        <v>2023</v>
      </c>
      <c r="C851">
        <f t="shared" si="40"/>
        <v>4</v>
      </c>
      <c r="D851">
        <f t="shared" si="41"/>
        <v>2</v>
      </c>
      <c r="E851" t="s">
        <v>323</v>
      </c>
      <c r="F851">
        <v>0</v>
      </c>
      <c r="G851">
        <v>13.25</v>
      </c>
      <c r="H851">
        <v>13.25</v>
      </c>
      <c r="J851">
        <v>13.1296</v>
      </c>
      <c r="K851">
        <v>0.12039999999999999</v>
      </c>
      <c r="L851">
        <v>9.1239000000000001E-2</v>
      </c>
      <c r="M851">
        <v>0.13300000000000001</v>
      </c>
    </row>
    <row r="852" spans="1:13" x14ac:dyDescent="0.35">
      <c r="A852" t="s">
        <v>287</v>
      </c>
      <c r="B852">
        <f t="shared" si="39"/>
        <v>2023</v>
      </c>
      <c r="C852">
        <f t="shared" si="40"/>
        <v>5</v>
      </c>
      <c r="D852">
        <f t="shared" si="41"/>
        <v>2</v>
      </c>
      <c r="E852" t="s">
        <v>323</v>
      </c>
      <c r="F852">
        <v>0</v>
      </c>
      <c r="G852">
        <v>13.25</v>
      </c>
      <c r="H852">
        <v>13.25</v>
      </c>
      <c r="J852">
        <v>13.25</v>
      </c>
      <c r="K852">
        <v>0</v>
      </c>
      <c r="L852">
        <v>0</v>
      </c>
      <c r="M852">
        <v>0</v>
      </c>
    </row>
    <row r="853" spans="1:13" x14ac:dyDescent="0.35">
      <c r="A853" t="s">
        <v>288</v>
      </c>
      <c r="B853">
        <f t="shared" si="39"/>
        <v>2023</v>
      </c>
      <c r="C853">
        <f t="shared" si="40"/>
        <v>6</v>
      </c>
      <c r="D853">
        <f t="shared" si="41"/>
        <v>2</v>
      </c>
      <c r="E853" t="s">
        <v>323</v>
      </c>
      <c r="F853">
        <v>0</v>
      </c>
      <c r="G853">
        <v>13.25</v>
      </c>
      <c r="H853">
        <v>13.25</v>
      </c>
      <c r="J853">
        <v>13.25</v>
      </c>
      <c r="K853">
        <v>0</v>
      </c>
      <c r="L853">
        <v>-7.8941999999999998E-2</v>
      </c>
      <c r="M853">
        <v>2E-3</v>
      </c>
    </row>
    <row r="854" spans="1:13" x14ac:dyDescent="0.35">
      <c r="A854" t="s">
        <v>289</v>
      </c>
      <c r="B854">
        <f t="shared" si="39"/>
        <v>2023</v>
      </c>
      <c r="C854">
        <f t="shared" si="40"/>
        <v>7</v>
      </c>
      <c r="D854">
        <f t="shared" si="41"/>
        <v>3</v>
      </c>
      <c r="E854" t="s">
        <v>323</v>
      </c>
      <c r="F854">
        <v>0</v>
      </c>
      <c r="G854">
        <v>13.25</v>
      </c>
      <c r="H854">
        <v>13.25</v>
      </c>
      <c r="J854">
        <v>13.25</v>
      </c>
      <c r="K854">
        <v>0</v>
      </c>
      <c r="L854">
        <v>0.35066000000000003</v>
      </c>
      <c r="M854">
        <v>0</v>
      </c>
    </row>
    <row r="855" spans="1:13" x14ac:dyDescent="0.35">
      <c r="A855" t="s">
        <v>290</v>
      </c>
      <c r="B855">
        <f t="shared" si="39"/>
        <v>2023</v>
      </c>
      <c r="C855">
        <f t="shared" si="40"/>
        <v>8</v>
      </c>
      <c r="D855">
        <f t="shared" si="41"/>
        <v>3</v>
      </c>
      <c r="E855" t="s">
        <v>323</v>
      </c>
      <c r="F855">
        <v>0</v>
      </c>
      <c r="G855">
        <v>13.25</v>
      </c>
      <c r="H855">
        <v>13.25</v>
      </c>
      <c r="J855">
        <v>13.25</v>
      </c>
      <c r="K855">
        <v>0</v>
      </c>
      <c r="L855">
        <v>0</v>
      </c>
      <c r="M855">
        <v>0</v>
      </c>
    </row>
    <row r="856" spans="1:13" x14ac:dyDescent="0.35">
      <c r="A856" t="s">
        <v>291</v>
      </c>
      <c r="B856">
        <f t="shared" si="39"/>
        <v>2023</v>
      </c>
      <c r="C856">
        <f t="shared" si="40"/>
        <v>9</v>
      </c>
      <c r="D856">
        <f t="shared" si="41"/>
        <v>3</v>
      </c>
      <c r="E856" t="s">
        <v>323</v>
      </c>
      <c r="F856">
        <v>0</v>
      </c>
      <c r="G856">
        <v>13.25</v>
      </c>
      <c r="H856">
        <v>13.25</v>
      </c>
      <c r="J856">
        <v>13.25</v>
      </c>
      <c r="K856">
        <v>0</v>
      </c>
      <c r="L856">
        <v>1.8856000000000001E-2</v>
      </c>
      <c r="M856">
        <v>1.0999999999999999E-2</v>
      </c>
    </row>
    <row r="857" spans="1:13" x14ac:dyDescent="0.35">
      <c r="A857" t="s">
        <v>292</v>
      </c>
      <c r="B857">
        <f t="shared" si="39"/>
        <v>2023</v>
      </c>
      <c r="C857">
        <f t="shared" si="40"/>
        <v>10</v>
      </c>
      <c r="D857">
        <f t="shared" si="41"/>
        <v>4</v>
      </c>
      <c r="E857" t="s">
        <v>323</v>
      </c>
      <c r="F857">
        <v>0</v>
      </c>
      <c r="G857">
        <v>13.25</v>
      </c>
      <c r="H857">
        <v>13.25</v>
      </c>
      <c r="J857">
        <v>13.22</v>
      </c>
      <c r="K857">
        <v>0.03</v>
      </c>
      <c r="L857">
        <v>0.18028</v>
      </c>
      <c r="M857">
        <v>-1E-3</v>
      </c>
    </row>
    <row r="858" spans="1:13" x14ac:dyDescent="0.35">
      <c r="A858" t="s">
        <v>293</v>
      </c>
      <c r="B858">
        <f t="shared" si="39"/>
        <v>2023</v>
      </c>
      <c r="C858">
        <f t="shared" si="40"/>
        <v>11</v>
      </c>
      <c r="D858">
        <f t="shared" si="41"/>
        <v>4</v>
      </c>
      <c r="E858" t="s">
        <v>323</v>
      </c>
      <c r="F858">
        <v>0</v>
      </c>
      <c r="G858">
        <v>13.25</v>
      </c>
      <c r="H858">
        <v>13.25</v>
      </c>
      <c r="J858">
        <v>13.25</v>
      </c>
      <c r="K858">
        <v>0</v>
      </c>
      <c r="L858">
        <v>0</v>
      </c>
      <c r="M858">
        <v>0</v>
      </c>
    </row>
    <row r="859" spans="1:13" x14ac:dyDescent="0.35">
      <c r="A859" t="s">
        <v>294</v>
      </c>
      <c r="B859">
        <f t="shared" si="39"/>
        <v>2023</v>
      </c>
      <c r="C859">
        <f t="shared" si="40"/>
        <v>12</v>
      </c>
      <c r="D859">
        <f t="shared" si="41"/>
        <v>4</v>
      </c>
      <c r="E859" t="s">
        <v>323</v>
      </c>
      <c r="F859">
        <v>0</v>
      </c>
      <c r="G859">
        <v>13</v>
      </c>
      <c r="H859">
        <v>13</v>
      </c>
      <c r="J859">
        <v>13.1136</v>
      </c>
      <c r="K859">
        <v>-0.11360000000000001</v>
      </c>
      <c r="L859">
        <v>1.3176999999999999E-2</v>
      </c>
      <c r="M859">
        <v>-0.1</v>
      </c>
    </row>
    <row r="860" spans="1:13" x14ac:dyDescent="0.35">
      <c r="A860" t="s">
        <v>295</v>
      </c>
      <c r="B860">
        <f t="shared" si="39"/>
        <v>2024</v>
      </c>
      <c r="C860">
        <f t="shared" si="40"/>
        <v>1</v>
      </c>
      <c r="D860">
        <f t="shared" si="41"/>
        <v>1</v>
      </c>
      <c r="E860" t="s">
        <v>323</v>
      </c>
      <c r="F860">
        <v>0.25</v>
      </c>
      <c r="G860">
        <v>12.5</v>
      </c>
      <c r="H860">
        <v>12.75</v>
      </c>
      <c r="J860">
        <v>12.586499999999999</v>
      </c>
      <c r="K860">
        <v>0.16350000000000001</v>
      </c>
      <c r="L860">
        <v>6.7888000000000004E-2</v>
      </c>
      <c r="M860">
        <v>0.183</v>
      </c>
    </row>
    <row r="861" spans="1:13" x14ac:dyDescent="0.35">
      <c r="A861" t="s">
        <v>296</v>
      </c>
      <c r="B861">
        <f t="shared" si="39"/>
        <v>2024</v>
      </c>
      <c r="C861">
        <f t="shared" si="40"/>
        <v>2</v>
      </c>
      <c r="D861">
        <f t="shared" si="41"/>
        <v>1</v>
      </c>
      <c r="E861" t="s">
        <v>323</v>
      </c>
      <c r="F861">
        <v>0</v>
      </c>
      <c r="G861">
        <v>12.75</v>
      </c>
      <c r="H861">
        <v>12.75</v>
      </c>
      <c r="J861">
        <v>12.75</v>
      </c>
      <c r="K861">
        <v>0</v>
      </c>
      <c r="L861">
        <v>0</v>
      </c>
      <c r="M861">
        <v>0</v>
      </c>
    </row>
    <row r="862" spans="1:13" x14ac:dyDescent="0.35">
      <c r="A862" t="s">
        <v>297</v>
      </c>
      <c r="B862">
        <f t="shared" si="39"/>
        <v>2024</v>
      </c>
      <c r="C862">
        <f t="shared" si="40"/>
        <v>3</v>
      </c>
      <c r="D862">
        <f t="shared" si="41"/>
        <v>1</v>
      </c>
      <c r="E862" t="s">
        <v>323</v>
      </c>
      <c r="F862">
        <v>0</v>
      </c>
      <c r="G862">
        <v>12.25</v>
      </c>
      <c r="H862">
        <v>12.25</v>
      </c>
      <c r="J862">
        <v>12.2333</v>
      </c>
      <c r="K862">
        <v>1.67E-2</v>
      </c>
      <c r="L862">
        <v>-6.6535999999999998E-2</v>
      </c>
      <c r="M862">
        <v>-1.7999999999999999E-2</v>
      </c>
    </row>
    <row r="863" spans="1:13" x14ac:dyDescent="0.35">
      <c r="A863" t="s">
        <v>298</v>
      </c>
      <c r="B863">
        <f t="shared" si="39"/>
        <v>2024</v>
      </c>
      <c r="C863">
        <f t="shared" si="40"/>
        <v>4</v>
      </c>
      <c r="D863">
        <f t="shared" si="41"/>
        <v>2</v>
      </c>
      <c r="E863" t="s">
        <v>323</v>
      </c>
      <c r="F863">
        <v>0</v>
      </c>
      <c r="G863">
        <v>11.75</v>
      </c>
      <c r="H863">
        <v>11.75</v>
      </c>
      <c r="J863">
        <v>11.75</v>
      </c>
      <c r="K863">
        <v>0</v>
      </c>
      <c r="L863">
        <v>-0.19162999999999999</v>
      </c>
      <c r="M863">
        <v>-2.1999999999999999E-2</v>
      </c>
    </row>
    <row r="864" spans="1:13" x14ac:dyDescent="0.35">
      <c r="A864" t="s">
        <v>299</v>
      </c>
      <c r="B864">
        <f t="shared" si="39"/>
        <v>2024</v>
      </c>
      <c r="C864">
        <f t="shared" si="40"/>
        <v>5</v>
      </c>
      <c r="D864">
        <f t="shared" si="41"/>
        <v>2</v>
      </c>
      <c r="E864" t="s">
        <v>323</v>
      </c>
      <c r="F864">
        <v>0</v>
      </c>
      <c r="G864">
        <v>11.75</v>
      </c>
      <c r="H864">
        <v>11.75</v>
      </c>
      <c r="J864">
        <v>11.75</v>
      </c>
      <c r="K864">
        <v>0</v>
      </c>
      <c r="L864">
        <v>0</v>
      </c>
      <c r="M864">
        <v>0</v>
      </c>
    </row>
    <row r="865" spans="1:13" x14ac:dyDescent="0.35">
      <c r="A865" t="s">
        <v>300</v>
      </c>
      <c r="B865">
        <f t="shared" si="39"/>
        <v>2024</v>
      </c>
      <c r="C865">
        <f t="shared" si="40"/>
        <v>6</v>
      </c>
      <c r="D865">
        <f t="shared" si="41"/>
        <v>2</v>
      </c>
      <c r="E865" t="s">
        <v>323</v>
      </c>
      <c r="F865">
        <v>0</v>
      </c>
      <c r="G865">
        <v>11.25</v>
      </c>
      <c r="H865">
        <v>11.25</v>
      </c>
      <c r="J865">
        <v>11.25</v>
      </c>
      <c r="K865">
        <v>0</v>
      </c>
      <c r="L865">
        <v>-0.22961999999999999</v>
      </c>
      <c r="M865">
        <v>2.8000000000000001E-2</v>
      </c>
    </row>
    <row r="866" spans="1:13" x14ac:dyDescent="0.35">
      <c r="A866" t="s">
        <v>301</v>
      </c>
      <c r="B866">
        <f t="shared" si="39"/>
        <v>2024</v>
      </c>
      <c r="C866">
        <f t="shared" si="40"/>
        <v>7</v>
      </c>
      <c r="D866">
        <f t="shared" si="41"/>
        <v>3</v>
      </c>
      <c r="E866" t="s">
        <v>323</v>
      </c>
      <c r="F866">
        <v>0</v>
      </c>
      <c r="G866">
        <v>10.75</v>
      </c>
      <c r="H866">
        <v>10.75</v>
      </c>
      <c r="J866">
        <v>10.741099999999999</v>
      </c>
      <c r="K866">
        <v>8.8999999999999999E-3</v>
      </c>
      <c r="L866">
        <v>-0.12801999999999999</v>
      </c>
      <c r="M866">
        <v>1.2E-2</v>
      </c>
    </row>
    <row r="867" spans="1:13" x14ac:dyDescent="0.35">
      <c r="A867" t="s">
        <v>302</v>
      </c>
      <c r="B867">
        <f t="shared" si="39"/>
        <v>2024</v>
      </c>
      <c r="C867">
        <f t="shared" si="40"/>
        <v>8</v>
      </c>
      <c r="D867">
        <f t="shared" si="41"/>
        <v>3</v>
      </c>
      <c r="E867" t="s">
        <v>323</v>
      </c>
      <c r="F867">
        <v>0</v>
      </c>
      <c r="G867">
        <v>10.75</v>
      </c>
      <c r="H867">
        <v>10.75</v>
      </c>
      <c r="J867">
        <v>10.75</v>
      </c>
      <c r="K867">
        <v>0</v>
      </c>
      <c r="L867">
        <v>0</v>
      </c>
      <c r="M867">
        <v>0</v>
      </c>
    </row>
    <row r="868" spans="1:13" x14ac:dyDescent="0.35">
      <c r="A868" t="s">
        <v>303</v>
      </c>
      <c r="B868">
        <f t="shared" si="39"/>
        <v>2024</v>
      </c>
      <c r="C868">
        <f t="shared" si="40"/>
        <v>9</v>
      </c>
      <c r="D868">
        <f t="shared" si="41"/>
        <v>3</v>
      </c>
      <c r="E868" t="s">
        <v>323</v>
      </c>
      <c r="F868">
        <v>0</v>
      </c>
      <c r="G868">
        <v>10.25</v>
      </c>
      <c r="H868">
        <v>10.25</v>
      </c>
      <c r="J868">
        <v>10.1852</v>
      </c>
      <c r="K868">
        <v>6.4799999999999996E-2</v>
      </c>
      <c r="L868">
        <v>-0.13346</v>
      </c>
      <c r="M868">
        <v>7.8E-2</v>
      </c>
    </row>
    <row r="869" spans="1:13" x14ac:dyDescent="0.35">
      <c r="A869" t="s">
        <v>304</v>
      </c>
      <c r="B869">
        <f t="shared" si="39"/>
        <v>2024</v>
      </c>
      <c r="C869">
        <f t="shared" si="40"/>
        <v>10</v>
      </c>
      <c r="D869">
        <f t="shared" si="41"/>
        <v>4</v>
      </c>
      <c r="E869" t="s">
        <v>323</v>
      </c>
      <c r="F869">
        <v>0</v>
      </c>
      <c r="G869">
        <v>9.75</v>
      </c>
      <c r="H869">
        <v>9.75</v>
      </c>
      <c r="J869">
        <v>9.6875</v>
      </c>
      <c r="K869">
        <v>6.25E-2</v>
      </c>
      <c r="L869">
        <v>-9.9823999999999996E-2</v>
      </c>
      <c r="M869">
        <v>1.7000000000000001E-2</v>
      </c>
    </row>
    <row r="870" spans="1:13" x14ac:dyDescent="0.35">
      <c r="A870" t="s">
        <v>305</v>
      </c>
      <c r="B870">
        <f t="shared" si="39"/>
        <v>2024</v>
      </c>
      <c r="C870">
        <f t="shared" si="40"/>
        <v>11</v>
      </c>
      <c r="D870">
        <f t="shared" si="41"/>
        <v>4</v>
      </c>
      <c r="E870" t="s">
        <v>323</v>
      </c>
      <c r="F870">
        <v>0</v>
      </c>
      <c r="G870">
        <v>9.75</v>
      </c>
      <c r="H870">
        <v>9.75</v>
      </c>
      <c r="J870">
        <v>9.75</v>
      </c>
      <c r="K870">
        <v>0</v>
      </c>
      <c r="L870">
        <v>0</v>
      </c>
      <c r="M870">
        <v>0</v>
      </c>
    </row>
    <row r="871" spans="1:13" x14ac:dyDescent="0.35">
      <c r="A871" t="s">
        <v>306</v>
      </c>
      <c r="B871">
        <f t="shared" si="39"/>
        <v>2024</v>
      </c>
      <c r="C871">
        <f t="shared" si="40"/>
        <v>12</v>
      </c>
      <c r="D871">
        <f t="shared" si="41"/>
        <v>4</v>
      </c>
      <c r="E871" t="s">
        <v>323</v>
      </c>
      <c r="F871">
        <v>0.25</v>
      </c>
      <c r="G871">
        <v>9.25</v>
      </c>
      <c r="H871">
        <v>9.5</v>
      </c>
      <c r="J871">
        <v>9.2583300000000008</v>
      </c>
      <c r="K871">
        <v>0.24167</v>
      </c>
      <c r="L871">
        <v>7.4902999999999997E-2</v>
      </c>
      <c r="M871">
        <v>0.23699999999999999</v>
      </c>
    </row>
    <row r="872" spans="1:13" x14ac:dyDescent="0.35">
      <c r="A872" t="s">
        <v>307</v>
      </c>
      <c r="B872">
        <f t="shared" si="39"/>
        <v>2025</v>
      </c>
      <c r="C872">
        <f t="shared" si="40"/>
        <v>1</v>
      </c>
      <c r="D872">
        <f t="shared" si="41"/>
        <v>1</v>
      </c>
      <c r="E872" t="s">
        <v>323</v>
      </c>
      <c r="F872">
        <v>0.25</v>
      </c>
      <c r="G872">
        <v>9.25</v>
      </c>
      <c r="H872">
        <v>9.5</v>
      </c>
      <c r="J872">
        <v>9.3125</v>
      </c>
      <c r="K872">
        <v>0.1875</v>
      </c>
      <c r="L872">
        <v>0.29083999999999999</v>
      </c>
      <c r="M872">
        <v>0.14499999999999999</v>
      </c>
    </row>
    <row r="873" spans="1:13" x14ac:dyDescent="0.35">
      <c r="A873" t="s">
        <v>308</v>
      </c>
      <c r="B873">
        <f t="shared" si="39"/>
        <v>2025</v>
      </c>
      <c r="C873">
        <f t="shared" si="40"/>
        <v>2</v>
      </c>
      <c r="D873">
        <f t="shared" si="41"/>
        <v>1</v>
      </c>
      <c r="E873" t="s">
        <v>323</v>
      </c>
      <c r="F873">
        <v>0</v>
      </c>
      <c r="G873">
        <v>9.5</v>
      </c>
      <c r="H873">
        <v>9.5</v>
      </c>
      <c r="J873">
        <v>9.5</v>
      </c>
      <c r="K873">
        <v>0</v>
      </c>
      <c r="L873">
        <v>0</v>
      </c>
      <c r="M873">
        <v>0</v>
      </c>
    </row>
    <row r="874" spans="1:13" x14ac:dyDescent="0.35">
      <c r="A874" t="s">
        <v>309</v>
      </c>
      <c r="B874">
        <f t="shared" si="39"/>
        <v>2025</v>
      </c>
      <c r="C874">
        <f t="shared" si="40"/>
        <v>3</v>
      </c>
      <c r="D874">
        <f t="shared" si="41"/>
        <v>1</v>
      </c>
      <c r="E874" t="s">
        <v>323</v>
      </c>
      <c r="F874">
        <v>0</v>
      </c>
      <c r="G874">
        <v>9.5</v>
      </c>
      <c r="H874">
        <v>9.5</v>
      </c>
      <c r="J874">
        <v>9.4134600000000006</v>
      </c>
      <c r="K874">
        <v>8.6540000000000006E-2</v>
      </c>
      <c r="L874">
        <v>0.28105999999999998</v>
      </c>
    </row>
    <row r="875" spans="1:13" x14ac:dyDescent="0.35">
      <c r="A875" t="s">
        <v>310</v>
      </c>
      <c r="B875">
        <f t="shared" si="39"/>
        <v>2025</v>
      </c>
      <c r="C875">
        <f t="shared" si="40"/>
        <v>4</v>
      </c>
      <c r="D875">
        <f t="shared" si="41"/>
        <v>2</v>
      </c>
      <c r="E875" t="s">
        <v>323</v>
      </c>
      <c r="F875">
        <v>-0.25</v>
      </c>
      <c r="G875">
        <v>9.5</v>
      </c>
      <c r="H875">
        <v>9.25</v>
      </c>
      <c r="J875">
        <v>9.4741400000000002</v>
      </c>
      <c r="K875">
        <v>-0.22414000000000001</v>
      </c>
      <c r="L875" t="s">
        <v>320</v>
      </c>
    </row>
    <row r="876" spans="1:13" hidden="1" x14ac:dyDescent="0.35">
      <c r="A876" t="s">
        <v>76</v>
      </c>
      <c r="B876">
        <f t="shared" si="39"/>
        <v>2005</v>
      </c>
      <c r="C876">
        <f t="shared" si="40"/>
        <v>10</v>
      </c>
      <c r="D876">
        <f t="shared" si="41"/>
        <v>4</v>
      </c>
      <c r="E876" t="s">
        <v>326</v>
      </c>
      <c r="F876">
        <v>0</v>
      </c>
      <c r="G876">
        <v>9</v>
      </c>
      <c r="H876">
        <v>9</v>
      </c>
      <c r="I876">
        <v>-7</v>
      </c>
      <c r="J876">
        <v>9</v>
      </c>
      <c r="K876">
        <v>0</v>
      </c>
    </row>
    <row r="877" spans="1:13" hidden="1" x14ac:dyDescent="0.35">
      <c r="A877" t="s">
        <v>77</v>
      </c>
      <c r="B877">
        <f t="shared" si="39"/>
        <v>2005</v>
      </c>
      <c r="C877">
        <f t="shared" si="40"/>
        <v>11</v>
      </c>
      <c r="D877">
        <f t="shared" si="41"/>
        <v>4</v>
      </c>
      <c r="E877" t="s">
        <v>326</v>
      </c>
      <c r="F877">
        <v>0</v>
      </c>
      <c r="G877">
        <v>8.75</v>
      </c>
      <c r="H877">
        <v>8.75</v>
      </c>
      <c r="I877">
        <v>-1.5</v>
      </c>
      <c r="J877">
        <v>8.75</v>
      </c>
      <c r="K877">
        <v>0</v>
      </c>
    </row>
    <row r="878" spans="1:13" hidden="1" x14ac:dyDescent="0.35">
      <c r="A878" t="s">
        <v>78</v>
      </c>
      <c r="B878">
        <f t="shared" si="39"/>
        <v>2005</v>
      </c>
      <c r="C878">
        <f t="shared" si="40"/>
        <v>12</v>
      </c>
      <c r="D878">
        <f t="shared" si="41"/>
        <v>4</v>
      </c>
      <c r="E878" t="s">
        <v>326</v>
      </c>
      <c r="F878">
        <v>-0.25</v>
      </c>
      <c r="G878">
        <v>8.5</v>
      </c>
      <c r="H878">
        <v>8.25</v>
      </c>
      <c r="I878">
        <v>-16</v>
      </c>
      <c r="J878">
        <v>8.5657899999999998</v>
      </c>
      <c r="K878">
        <v>-0.31579000000000002</v>
      </c>
    </row>
    <row r="879" spans="1:13" hidden="1" x14ac:dyDescent="0.35">
      <c r="A879" t="s">
        <v>79</v>
      </c>
      <c r="B879">
        <f t="shared" si="39"/>
        <v>2006</v>
      </c>
      <c r="C879">
        <f t="shared" si="40"/>
        <v>1</v>
      </c>
      <c r="D879">
        <f t="shared" si="41"/>
        <v>1</v>
      </c>
      <c r="E879" t="s">
        <v>326</v>
      </c>
      <c r="F879">
        <v>0</v>
      </c>
      <c r="G879">
        <v>7.75</v>
      </c>
      <c r="H879">
        <v>7.75</v>
      </c>
      <c r="I879">
        <v>9.5</v>
      </c>
      <c r="J879">
        <v>7.7934799999999997</v>
      </c>
      <c r="K879">
        <v>-4.3479999999999998E-2</v>
      </c>
    </row>
    <row r="880" spans="1:13" hidden="1" x14ac:dyDescent="0.35">
      <c r="A880" t="s">
        <v>80</v>
      </c>
      <c r="B880">
        <f t="shared" si="39"/>
        <v>2006</v>
      </c>
      <c r="C880">
        <f t="shared" si="40"/>
        <v>2</v>
      </c>
      <c r="D880">
        <f t="shared" si="41"/>
        <v>1</v>
      </c>
      <c r="E880" t="s">
        <v>326</v>
      </c>
      <c r="F880">
        <v>0</v>
      </c>
      <c r="G880">
        <v>7.5</v>
      </c>
      <c r="H880">
        <v>7.5</v>
      </c>
      <c r="I880">
        <v>-2</v>
      </c>
      <c r="J880">
        <v>7.46875</v>
      </c>
      <c r="K880">
        <v>3.125E-2</v>
      </c>
    </row>
    <row r="881" spans="1:11" hidden="1" x14ac:dyDescent="0.35">
      <c r="A881" t="s">
        <v>81</v>
      </c>
      <c r="B881">
        <f t="shared" si="39"/>
        <v>2006</v>
      </c>
      <c r="C881">
        <f t="shared" si="40"/>
        <v>3</v>
      </c>
      <c r="D881">
        <f t="shared" si="41"/>
        <v>1</v>
      </c>
      <c r="E881" t="s">
        <v>326</v>
      </c>
      <c r="F881">
        <v>0</v>
      </c>
      <c r="G881">
        <v>7.25</v>
      </c>
      <c r="H881">
        <v>7.25</v>
      </c>
      <c r="I881">
        <v>-11</v>
      </c>
      <c r="J881">
        <v>7.25</v>
      </c>
      <c r="K881">
        <v>0</v>
      </c>
    </row>
    <row r="882" spans="1:11" hidden="1" x14ac:dyDescent="0.35">
      <c r="A882" t="s">
        <v>82</v>
      </c>
      <c r="B882">
        <f t="shared" si="39"/>
        <v>2006</v>
      </c>
      <c r="C882">
        <f t="shared" si="40"/>
        <v>4</v>
      </c>
      <c r="D882">
        <f t="shared" si="41"/>
        <v>2</v>
      </c>
      <c r="E882" t="s">
        <v>326</v>
      </c>
      <c r="F882">
        <v>-0.25</v>
      </c>
      <c r="G882">
        <v>7.25</v>
      </c>
      <c r="H882">
        <v>7</v>
      </c>
      <c r="I882">
        <v>-7</v>
      </c>
      <c r="J882">
        <v>7.1375000000000002</v>
      </c>
      <c r="K882">
        <v>-0.13750000000000001</v>
      </c>
    </row>
    <row r="883" spans="1:11" hidden="1" x14ac:dyDescent="0.35">
      <c r="A883" t="s">
        <v>83</v>
      </c>
      <c r="B883">
        <f t="shared" si="39"/>
        <v>2006</v>
      </c>
      <c r="C883">
        <f t="shared" si="40"/>
        <v>5</v>
      </c>
      <c r="D883">
        <f t="shared" si="41"/>
        <v>2</v>
      </c>
      <c r="E883" t="s">
        <v>326</v>
      </c>
      <c r="F883">
        <v>0</v>
      </c>
      <c r="G883">
        <v>7</v>
      </c>
      <c r="H883">
        <v>7</v>
      </c>
      <c r="I883">
        <v>-3.5</v>
      </c>
      <c r="J883">
        <v>7</v>
      </c>
      <c r="K883">
        <v>0</v>
      </c>
    </row>
    <row r="884" spans="1:11" hidden="1" x14ac:dyDescent="0.35">
      <c r="A884" t="s">
        <v>84</v>
      </c>
      <c r="B884">
        <f t="shared" si="39"/>
        <v>2006</v>
      </c>
      <c r="C884">
        <f t="shared" si="40"/>
        <v>6</v>
      </c>
      <c r="D884">
        <f t="shared" si="41"/>
        <v>2</v>
      </c>
      <c r="E884" t="s">
        <v>326</v>
      </c>
      <c r="F884">
        <v>0</v>
      </c>
      <c r="G884">
        <v>7</v>
      </c>
      <c r="H884">
        <v>7</v>
      </c>
      <c r="I884">
        <v>-10.5</v>
      </c>
      <c r="J884">
        <v>7</v>
      </c>
      <c r="K884">
        <v>0</v>
      </c>
    </row>
    <row r="885" spans="1:11" hidden="1" x14ac:dyDescent="0.35">
      <c r="A885" t="s">
        <v>85</v>
      </c>
      <c r="B885">
        <f t="shared" si="39"/>
        <v>2006</v>
      </c>
      <c r="C885">
        <f t="shared" si="40"/>
        <v>7</v>
      </c>
      <c r="D885">
        <f t="shared" si="41"/>
        <v>3</v>
      </c>
      <c r="E885" t="s">
        <v>326</v>
      </c>
      <c r="F885">
        <v>0</v>
      </c>
      <c r="G885">
        <v>7</v>
      </c>
      <c r="H885">
        <v>7</v>
      </c>
      <c r="I885">
        <v>-1.5</v>
      </c>
      <c r="J885">
        <v>7</v>
      </c>
      <c r="K885">
        <v>0</v>
      </c>
    </row>
    <row r="886" spans="1:11" hidden="1" x14ac:dyDescent="0.35">
      <c r="A886" t="s">
        <v>86</v>
      </c>
      <c r="B886">
        <f t="shared" si="39"/>
        <v>2006</v>
      </c>
      <c r="C886">
        <f t="shared" si="40"/>
        <v>8</v>
      </c>
      <c r="D886">
        <f t="shared" si="41"/>
        <v>3</v>
      </c>
      <c r="E886" t="s">
        <v>326</v>
      </c>
      <c r="F886">
        <v>0</v>
      </c>
      <c r="G886">
        <v>7</v>
      </c>
      <c r="H886">
        <v>7</v>
      </c>
      <c r="I886">
        <v>7.5</v>
      </c>
      <c r="J886">
        <v>7</v>
      </c>
      <c r="K886">
        <v>0</v>
      </c>
    </row>
    <row r="887" spans="1:11" hidden="1" x14ac:dyDescent="0.35">
      <c r="A887" t="s">
        <v>87</v>
      </c>
      <c r="B887">
        <f t="shared" si="39"/>
        <v>2006</v>
      </c>
      <c r="C887">
        <f t="shared" si="40"/>
        <v>9</v>
      </c>
      <c r="D887">
        <f t="shared" si="41"/>
        <v>3</v>
      </c>
      <c r="E887" t="s">
        <v>326</v>
      </c>
      <c r="F887">
        <v>0</v>
      </c>
      <c r="G887">
        <v>7</v>
      </c>
      <c r="H887">
        <v>7</v>
      </c>
      <c r="I887">
        <v>2</v>
      </c>
      <c r="J887">
        <v>7</v>
      </c>
      <c r="K887">
        <v>0</v>
      </c>
    </row>
    <row r="888" spans="1:11" hidden="1" x14ac:dyDescent="0.35">
      <c r="A888" t="s">
        <v>88</v>
      </c>
      <c r="B888">
        <f t="shared" si="39"/>
        <v>2006</v>
      </c>
      <c r="C888">
        <f t="shared" si="40"/>
        <v>10</v>
      </c>
      <c r="D888">
        <f t="shared" si="41"/>
        <v>4</v>
      </c>
      <c r="E888" t="s">
        <v>326</v>
      </c>
      <c r="F888">
        <v>0</v>
      </c>
      <c r="G888">
        <v>7</v>
      </c>
      <c r="H888">
        <v>7</v>
      </c>
      <c r="I888">
        <v>4</v>
      </c>
      <c r="J888">
        <v>7</v>
      </c>
      <c r="K888">
        <v>0</v>
      </c>
    </row>
    <row r="889" spans="1:11" hidden="1" x14ac:dyDescent="0.35">
      <c r="A889" t="s">
        <v>89</v>
      </c>
      <c r="B889">
        <f t="shared" si="39"/>
        <v>2006</v>
      </c>
      <c r="C889">
        <f t="shared" si="40"/>
        <v>11</v>
      </c>
      <c r="D889">
        <f t="shared" si="41"/>
        <v>4</v>
      </c>
      <c r="E889" t="s">
        <v>326</v>
      </c>
      <c r="F889">
        <v>0</v>
      </c>
      <c r="G889">
        <v>7</v>
      </c>
      <c r="H889">
        <v>7</v>
      </c>
      <c r="I889">
        <v>0</v>
      </c>
      <c r="J889">
        <v>7</v>
      </c>
      <c r="K889">
        <v>0</v>
      </c>
    </row>
    <row r="890" spans="1:11" hidden="1" x14ac:dyDescent="0.35">
      <c r="A890" t="s">
        <v>90</v>
      </c>
      <c r="B890">
        <f t="shared" si="39"/>
        <v>2006</v>
      </c>
      <c r="C890">
        <f t="shared" si="40"/>
        <v>12</v>
      </c>
      <c r="D890">
        <f t="shared" si="41"/>
        <v>4</v>
      </c>
      <c r="E890" t="s">
        <v>326</v>
      </c>
      <c r="F890">
        <v>0</v>
      </c>
      <c r="G890">
        <v>7</v>
      </c>
      <c r="H890">
        <v>7</v>
      </c>
      <c r="I890">
        <v>-0.5</v>
      </c>
      <c r="J890">
        <v>7</v>
      </c>
      <c r="K890">
        <v>0</v>
      </c>
    </row>
    <row r="891" spans="1:11" hidden="1" x14ac:dyDescent="0.35">
      <c r="A891" t="s">
        <v>91</v>
      </c>
      <c r="B891">
        <f t="shared" si="39"/>
        <v>2007</v>
      </c>
      <c r="C891">
        <f t="shared" si="40"/>
        <v>1</v>
      </c>
      <c r="D891">
        <f t="shared" si="41"/>
        <v>1</v>
      </c>
      <c r="E891" t="s">
        <v>326</v>
      </c>
      <c r="F891">
        <v>0</v>
      </c>
      <c r="G891">
        <v>7</v>
      </c>
      <c r="H891">
        <v>7</v>
      </c>
      <c r="I891">
        <v>8</v>
      </c>
      <c r="J891">
        <v>7</v>
      </c>
      <c r="K891">
        <v>0</v>
      </c>
    </row>
    <row r="892" spans="1:11" hidden="1" x14ac:dyDescent="0.35">
      <c r="A892" t="s">
        <v>92</v>
      </c>
      <c r="B892">
        <f t="shared" si="39"/>
        <v>2007</v>
      </c>
      <c r="C892">
        <f t="shared" si="40"/>
        <v>2</v>
      </c>
      <c r="D892">
        <f t="shared" si="41"/>
        <v>1</v>
      </c>
      <c r="E892" t="s">
        <v>326</v>
      </c>
      <c r="F892">
        <v>0</v>
      </c>
      <c r="G892">
        <v>7</v>
      </c>
      <c r="H892">
        <v>7</v>
      </c>
      <c r="I892">
        <v>10.5</v>
      </c>
      <c r="J892">
        <v>7.0131600000000001</v>
      </c>
      <c r="K892">
        <v>-1.316E-2</v>
      </c>
    </row>
    <row r="893" spans="1:11" hidden="1" x14ac:dyDescent="0.35">
      <c r="A893" t="s">
        <v>93</v>
      </c>
      <c r="B893">
        <f t="shared" si="39"/>
        <v>2007</v>
      </c>
      <c r="C893">
        <f t="shared" si="40"/>
        <v>3</v>
      </c>
      <c r="D893">
        <f t="shared" si="41"/>
        <v>1</v>
      </c>
      <c r="E893" t="s">
        <v>326</v>
      </c>
      <c r="F893">
        <v>0</v>
      </c>
      <c r="G893">
        <v>7</v>
      </c>
      <c r="H893">
        <v>7</v>
      </c>
      <c r="I893">
        <v>8</v>
      </c>
      <c r="J893">
        <v>7</v>
      </c>
      <c r="K893">
        <v>0</v>
      </c>
    </row>
    <row r="894" spans="1:11" hidden="1" x14ac:dyDescent="0.35">
      <c r="A894" t="s">
        <v>94</v>
      </c>
      <c r="B894">
        <f t="shared" si="39"/>
        <v>2007</v>
      </c>
      <c r="C894">
        <f t="shared" si="40"/>
        <v>4</v>
      </c>
      <c r="D894">
        <f t="shared" si="41"/>
        <v>2</v>
      </c>
      <c r="E894" t="s">
        <v>326</v>
      </c>
      <c r="F894">
        <v>0.25</v>
      </c>
      <c r="G894">
        <v>7</v>
      </c>
      <c r="H894">
        <v>7.25</v>
      </c>
      <c r="I894">
        <v>25.5</v>
      </c>
      <c r="J894">
        <v>7</v>
      </c>
      <c r="K894">
        <v>0.25</v>
      </c>
    </row>
    <row r="895" spans="1:11" hidden="1" x14ac:dyDescent="0.35">
      <c r="A895" t="s">
        <v>95</v>
      </c>
      <c r="B895">
        <f t="shared" si="39"/>
        <v>2007</v>
      </c>
      <c r="C895">
        <f t="shared" si="40"/>
        <v>5</v>
      </c>
      <c r="D895">
        <f t="shared" si="41"/>
        <v>2</v>
      </c>
      <c r="E895" t="s">
        <v>326</v>
      </c>
      <c r="F895">
        <v>0</v>
      </c>
      <c r="G895">
        <v>7.25</v>
      </c>
      <c r="H895">
        <v>7.25</v>
      </c>
      <c r="I895">
        <v>-1</v>
      </c>
      <c r="J895">
        <v>7.3194400000000002</v>
      </c>
      <c r="K895">
        <v>-6.9440000000000002E-2</v>
      </c>
    </row>
    <row r="896" spans="1:11" hidden="1" x14ac:dyDescent="0.35">
      <c r="A896" t="s">
        <v>96</v>
      </c>
      <c r="B896">
        <f t="shared" si="39"/>
        <v>2007</v>
      </c>
      <c r="C896">
        <f t="shared" si="40"/>
        <v>6</v>
      </c>
      <c r="D896">
        <f t="shared" si="41"/>
        <v>2</v>
      </c>
      <c r="E896" t="s">
        <v>326</v>
      </c>
      <c r="F896">
        <v>0</v>
      </c>
      <c r="G896">
        <v>7.25</v>
      </c>
      <c r="H896">
        <v>7.25</v>
      </c>
      <c r="I896">
        <v>-6</v>
      </c>
      <c r="J896">
        <v>7.2941200000000004</v>
      </c>
      <c r="K896">
        <v>-4.4119999999999999E-2</v>
      </c>
    </row>
    <row r="897" spans="1:11" hidden="1" x14ac:dyDescent="0.35">
      <c r="A897" t="s">
        <v>97</v>
      </c>
      <c r="B897">
        <f t="shared" si="39"/>
        <v>2007</v>
      </c>
      <c r="C897">
        <f t="shared" si="40"/>
        <v>7</v>
      </c>
      <c r="D897">
        <f t="shared" si="41"/>
        <v>3</v>
      </c>
      <c r="E897" t="s">
        <v>326</v>
      </c>
      <c r="F897">
        <v>0</v>
      </c>
      <c r="G897">
        <v>7.25</v>
      </c>
      <c r="H897">
        <v>7.25</v>
      </c>
      <c r="I897">
        <v>-3</v>
      </c>
      <c r="J897">
        <v>7.3068200000000001</v>
      </c>
      <c r="K897">
        <v>-5.6820000000000002E-2</v>
      </c>
    </row>
    <row r="898" spans="1:11" hidden="1" x14ac:dyDescent="0.35">
      <c r="A898" t="s">
        <v>98</v>
      </c>
      <c r="B898">
        <f t="shared" si="39"/>
        <v>2007</v>
      </c>
      <c r="C898">
        <f t="shared" si="40"/>
        <v>8</v>
      </c>
      <c r="D898">
        <f t="shared" si="41"/>
        <v>3</v>
      </c>
      <c r="E898" t="s">
        <v>326</v>
      </c>
      <c r="F898">
        <v>0</v>
      </c>
      <c r="G898">
        <v>7.25</v>
      </c>
      <c r="H898">
        <v>7.25</v>
      </c>
      <c r="I898">
        <v>-0.5</v>
      </c>
      <c r="J898">
        <v>7.2685199999999996</v>
      </c>
      <c r="K898">
        <v>-1.8519999999999998E-2</v>
      </c>
    </row>
    <row r="899" spans="1:11" hidden="1" x14ac:dyDescent="0.35">
      <c r="A899" t="s">
        <v>99</v>
      </c>
      <c r="B899">
        <f t="shared" ref="B899:B962" si="42">LEFT(A899,4)*1</f>
        <v>2007</v>
      </c>
      <c r="C899">
        <f t="shared" ref="C899:C962" si="43">MID(A899,6,2)*1</f>
        <v>9</v>
      </c>
      <c r="D899">
        <f t="shared" ref="D899:D962" si="44">ROUNDUP(C899/3,0)</f>
        <v>3</v>
      </c>
      <c r="E899" t="s">
        <v>326</v>
      </c>
      <c r="F899">
        <v>0</v>
      </c>
      <c r="G899">
        <v>7.25</v>
      </c>
      <c r="H899">
        <v>7.25</v>
      </c>
      <c r="I899">
        <v>3</v>
      </c>
      <c r="J899">
        <v>7.2604199999999999</v>
      </c>
      <c r="K899">
        <v>-1.042E-2</v>
      </c>
    </row>
    <row r="900" spans="1:11" hidden="1" x14ac:dyDescent="0.35">
      <c r="A900" t="s">
        <v>100</v>
      </c>
      <c r="B900">
        <f t="shared" si="42"/>
        <v>2007</v>
      </c>
      <c r="C900">
        <f t="shared" si="43"/>
        <v>10</v>
      </c>
      <c r="D900">
        <f t="shared" si="44"/>
        <v>4</v>
      </c>
      <c r="E900" t="s">
        <v>326</v>
      </c>
      <c r="F900">
        <v>0.25</v>
      </c>
      <c r="G900">
        <v>7.25</v>
      </c>
      <c r="H900">
        <v>7.5</v>
      </c>
      <c r="I900">
        <v>7</v>
      </c>
      <c r="J900">
        <v>7.3103400000000001</v>
      </c>
      <c r="K900">
        <v>0.18966</v>
      </c>
    </row>
    <row r="901" spans="1:11" hidden="1" x14ac:dyDescent="0.35">
      <c r="A901" t="s">
        <v>101</v>
      </c>
      <c r="B901">
        <f t="shared" si="42"/>
        <v>2007</v>
      </c>
      <c r="C901">
        <f t="shared" si="43"/>
        <v>11</v>
      </c>
      <c r="D901">
        <f t="shared" si="44"/>
        <v>4</v>
      </c>
      <c r="E901" t="s">
        <v>326</v>
      </c>
      <c r="F901">
        <v>0</v>
      </c>
      <c r="G901">
        <v>7.5</v>
      </c>
      <c r="H901">
        <v>7.5</v>
      </c>
      <c r="I901">
        <v>-3</v>
      </c>
      <c r="J901">
        <v>7.5108699999999997</v>
      </c>
      <c r="K901">
        <v>-1.0869999999999999E-2</v>
      </c>
    </row>
    <row r="902" spans="1:11" hidden="1" x14ac:dyDescent="0.35">
      <c r="A902" t="s">
        <v>102</v>
      </c>
      <c r="B902">
        <f t="shared" si="42"/>
        <v>2007</v>
      </c>
      <c r="C902">
        <f t="shared" si="43"/>
        <v>12</v>
      </c>
      <c r="D902">
        <f t="shared" si="44"/>
        <v>4</v>
      </c>
      <c r="E902" t="s">
        <v>326</v>
      </c>
      <c r="F902">
        <v>0</v>
      </c>
      <c r="G902">
        <v>7.5</v>
      </c>
      <c r="H902">
        <v>7.5</v>
      </c>
      <c r="I902">
        <v>2</v>
      </c>
      <c r="J902">
        <v>7.5</v>
      </c>
      <c r="K902">
        <v>0</v>
      </c>
    </row>
    <row r="903" spans="1:11" hidden="1" x14ac:dyDescent="0.35">
      <c r="A903" t="s">
        <v>103</v>
      </c>
      <c r="B903">
        <f t="shared" si="42"/>
        <v>2008</v>
      </c>
      <c r="C903">
        <f t="shared" si="43"/>
        <v>1</v>
      </c>
      <c r="D903">
        <f t="shared" si="44"/>
        <v>1</v>
      </c>
      <c r="E903" t="s">
        <v>326</v>
      </c>
      <c r="F903">
        <v>0</v>
      </c>
      <c r="G903">
        <v>7.5</v>
      </c>
      <c r="H903">
        <v>7.5</v>
      </c>
      <c r="I903">
        <v>-2.5</v>
      </c>
      <c r="J903">
        <v>7.5</v>
      </c>
      <c r="K903">
        <v>0</v>
      </c>
    </row>
    <row r="904" spans="1:11" hidden="1" x14ac:dyDescent="0.35">
      <c r="A904" t="s">
        <v>104</v>
      </c>
      <c r="B904">
        <f t="shared" si="42"/>
        <v>2008</v>
      </c>
      <c r="C904">
        <f t="shared" si="43"/>
        <v>2</v>
      </c>
      <c r="D904">
        <f t="shared" si="44"/>
        <v>1</v>
      </c>
      <c r="E904" t="s">
        <v>326</v>
      </c>
      <c r="F904">
        <v>0</v>
      </c>
      <c r="G904">
        <v>7.5</v>
      </c>
      <c r="H904">
        <v>7.5</v>
      </c>
      <c r="I904">
        <v>-2</v>
      </c>
      <c r="J904">
        <v>7.5</v>
      </c>
      <c r="K904">
        <v>0</v>
      </c>
    </row>
    <row r="905" spans="1:11" hidden="1" x14ac:dyDescent="0.35">
      <c r="A905" t="s">
        <v>105</v>
      </c>
      <c r="B905">
        <f t="shared" si="42"/>
        <v>2008</v>
      </c>
      <c r="C905">
        <f t="shared" si="43"/>
        <v>3</v>
      </c>
      <c r="D905">
        <f t="shared" si="44"/>
        <v>1</v>
      </c>
      <c r="E905" t="s">
        <v>326</v>
      </c>
      <c r="F905">
        <v>0</v>
      </c>
      <c r="G905">
        <v>7.5</v>
      </c>
      <c r="H905">
        <v>7.5</v>
      </c>
      <c r="I905">
        <v>-6</v>
      </c>
      <c r="J905">
        <v>7.4868399999999999</v>
      </c>
      <c r="K905">
        <v>1.316E-2</v>
      </c>
    </row>
    <row r="906" spans="1:11" hidden="1" x14ac:dyDescent="0.35">
      <c r="A906" t="s">
        <v>106</v>
      </c>
      <c r="B906">
        <f t="shared" si="42"/>
        <v>2008</v>
      </c>
      <c r="C906">
        <f t="shared" si="43"/>
        <v>4</v>
      </c>
      <c r="D906">
        <f t="shared" si="44"/>
        <v>2</v>
      </c>
      <c r="E906" t="s">
        <v>326</v>
      </c>
      <c r="F906">
        <v>0</v>
      </c>
      <c r="G906">
        <v>7.5</v>
      </c>
      <c r="H906">
        <v>7.5</v>
      </c>
      <c r="I906">
        <v>7.3000002000000004</v>
      </c>
      <c r="J906">
        <v>7.4814800000000004</v>
      </c>
      <c r="K906">
        <v>1.8519999999999998E-2</v>
      </c>
    </row>
    <row r="907" spans="1:11" hidden="1" x14ac:dyDescent="0.35">
      <c r="A907" t="s">
        <v>107</v>
      </c>
      <c r="B907">
        <f t="shared" si="42"/>
        <v>2008</v>
      </c>
      <c r="C907">
        <f t="shared" si="43"/>
        <v>5</v>
      </c>
      <c r="D907">
        <f t="shared" si="44"/>
        <v>2</v>
      </c>
      <c r="E907" t="s">
        <v>326</v>
      </c>
      <c r="F907">
        <v>0</v>
      </c>
      <c r="G907">
        <v>7.5</v>
      </c>
      <c r="H907">
        <v>7.5</v>
      </c>
      <c r="I907">
        <v>-3</v>
      </c>
      <c r="J907">
        <v>7.5</v>
      </c>
      <c r="K907">
        <v>0</v>
      </c>
    </row>
    <row r="908" spans="1:11" hidden="1" x14ac:dyDescent="0.35">
      <c r="A908" t="s">
        <v>108</v>
      </c>
      <c r="B908">
        <f t="shared" si="42"/>
        <v>2008</v>
      </c>
      <c r="C908">
        <f t="shared" si="43"/>
        <v>6</v>
      </c>
      <c r="D908">
        <f t="shared" si="44"/>
        <v>2</v>
      </c>
      <c r="E908" t="s">
        <v>326</v>
      </c>
      <c r="F908">
        <v>0.25</v>
      </c>
      <c r="G908">
        <v>7.5</v>
      </c>
      <c r="H908">
        <v>7.75</v>
      </c>
      <c r="I908">
        <v>8</v>
      </c>
      <c r="J908">
        <v>7.5769200000000003</v>
      </c>
      <c r="K908">
        <v>0.17308000000000001</v>
      </c>
    </row>
    <row r="909" spans="1:11" hidden="1" x14ac:dyDescent="0.35">
      <c r="A909" t="s">
        <v>109</v>
      </c>
      <c r="B909">
        <f t="shared" si="42"/>
        <v>2008</v>
      </c>
      <c r="C909">
        <f t="shared" si="43"/>
        <v>7</v>
      </c>
      <c r="D909">
        <f t="shared" si="44"/>
        <v>3</v>
      </c>
      <c r="E909" t="s">
        <v>326</v>
      </c>
      <c r="F909">
        <v>0</v>
      </c>
      <c r="G909">
        <v>8</v>
      </c>
      <c r="H909">
        <v>8</v>
      </c>
      <c r="I909">
        <v>16</v>
      </c>
      <c r="J909">
        <v>7.9375</v>
      </c>
      <c r="K909">
        <v>6.25E-2</v>
      </c>
    </row>
    <row r="910" spans="1:11" hidden="1" x14ac:dyDescent="0.35">
      <c r="A910" t="s">
        <v>110</v>
      </c>
      <c r="B910">
        <f t="shared" si="42"/>
        <v>2008</v>
      </c>
      <c r="C910">
        <f t="shared" si="43"/>
        <v>8</v>
      </c>
      <c r="D910">
        <f t="shared" si="44"/>
        <v>3</v>
      </c>
      <c r="E910" t="s">
        <v>326</v>
      </c>
      <c r="F910">
        <v>0</v>
      </c>
      <c r="G910">
        <v>8.25</v>
      </c>
      <c r="H910">
        <v>8.25</v>
      </c>
      <c r="I910">
        <v>-13.9</v>
      </c>
      <c r="J910">
        <v>8.1999999999999993</v>
      </c>
      <c r="K910">
        <v>0.05</v>
      </c>
    </row>
    <row r="911" spans="1:11" hidden="1" x14ac:dyDescent="0.35">
      <c r="A911" t="s">
        <v>111</v>
      </c>
      <c r="B911">
        <f t="shared" si="42"/>
        <v>2008</v>
      </c>
      <c r="C911">
        <f t="shared" si="43"/>
        <v>9</v>
      </c>
      <c r="D911">
        <f t="shared" si="44"/>
        <v>3</v>
      </c>
      <c r="E911" t="s">
        <v>326</v>
      </c>
      <c r="F911">
        <v>0</v>
      </c>
      <c r="G911">
        <v>8.25</v>
      </c>
      <c r="H911">
        <v>8.25</v>
      </c>
      <c r="I911">
        <v>-14.4</v>
      </c>
      <c r="J911">
        <v>8.2608700000000006</v>
      </c>
      <c r="K911">
        <v>-1.0869999999999999E-2</v>
      </c>
    </row>
    <row r="912" spans="1:11" hidden="1" x14ac:dyDescent="0.35">
      <c r="A912" t="s">
        <v>112</v>
      </c>
      <c r="B912">
        <f t="shared" si="42"/>
        <v>2008</v>
      </c>
      <c r="C912">
        <f t="shared" si="43"/>
        <v>10</v>
      </c>
      <c r="D912">
        <f t="shared" si="44"/>
        <v>4</v>
      </c>
      <c r="E912" t="s">
        <v>326</v>
      </c>
      <c r="F912">
        <v>0</v>
      </c>
      <c r="G912">
        <v>8.25</v>
      </c>
      <c r="H912">
        <v>8.25</v>
      </c>
      <c r="I912">
        <v>-2.0999998999999998</v>
      </c>
      <c r="J912">
        <v>8.2249999999999996</v>
      </c>
      <c r="K912">
        <v>2.5000000000000001E-2</v>
      </c>
    </row>
    <row r="913" spans="1:11" hidden="1" x14ac:dyDescent="0.35">
      <c r="A913" t="s">
        <v>113</v>
      </c>
      <c r="B913">
        <f t="shared" si="42"/>
        <v>2008</v>
      </c>
      <c r="C913">
        <f t="shared" si="43"/>
        <v>11</v>
      </c>
      <c r="D913">
        <f t="shared" si="44"/>
        <v>4</v>
      </c>
      <c r="E913" t="s">
        <v>326</v>
      </c>
      <c r="F913">
        <v>0</v>
      </c>
      <c r="G913">
        <v>8.25</v>
      </c>
      <c r="H913">
        <v>8.25</v>
      </c>
      <c r="I913">
        <v>0</v>
      </c>
      <c r="J913">
        <v>8.2065199999999994</v>
      </c>
      <c r="K913">
        <v>4.3479999999999998E-2</v>
      </c>
    </row>
    <row r="914" spans="1:11" hidden="1" x14ac:dyDescent="0.35">
      <c r="A914" t="s">
        <v>114</v>
      </c>
      <c r="B914">
        <f t="shared" si="42"/>
        <v>2008</v>
      </c>
      <c r="C914">
        <f t="shared" si="43"/>
        <v>12</v>
      </c>
      <c r="D914">
        <f t="shared" si="44"/>
        <v>4</v>
      </c>
      <c r="E914" t="s">
        <v>326</v>
      </c>
      <c r="F914">
        <v>0</v>
      </c>
      <c r="G914">
        <v>8.25</v>
      </c>
      <c r="H914">
        <v>8.25</v>
      </c>
      <c r="I914">
        <v>0</v>
      </c>
      <c r="J914">
        <v>8.25</v>
      </c>
      <c r="K914">
        <v>0</v>
      </c>
    </row>
    <row r="915" spans="1:11" hidden="1" x14ac:dyDescent="0.35">
      <c r="A915" t="s">
        <v>115</v>
      </c>
      <c r="B915">
        <f t="shared" si="42"/>
        <v>2009</v>
      </c>
      <c r="C915">
        <f t="shared" si="43"/>
        <v>1</v>
      </c>
      <c r="D915">
        <f t="shared" si="44"/>
        <v>1</v>
      </c>
      <c r="E915" t="s">
        <v>326</v>
      </c>
      <c r="F915">
        <v>0</v>
      </c>
      <c r="G915">
        <v>7.75</v>
      </c>
      <c r="H915">
        <v>7.75</v>
      </c>
      <c r="I915">
        <v>0.60000001999999997</v>
      </c>
      <c r="J915">
        <v>7.8796299999999997</v>
      </c>
      <c r="K915">
        <v>-0.12963</v>
      </c>
    </row>
    <row r="916" spans="1:11" hidden="1" x14ac:dyDescent="0.35">
      <c r="A916" t="s">
        <v>116</v>
      </c>
      <c r="B916">
        <f t="shared" si="42"/>
        <v>2009</v>
      </c>
      <c r="C916">
        <f t="shared" si="43"/>
        <v>2</v>
      </c>
      <c r="D916">
        <f t="shared" si="44"/>
        <v>1</v>
      </c>
      <c r="E916" t="s">
        <v>326</v>
      </c>
      <c r="F916">
        <v>0.25</v>
      </c>
      <c r="G916">
        <v>7.25</v>
      </c>
      <c r="H916">
        <v>7.5</v>
      </c>
      <c r="I916">
        <v>52.599997999999999</v>
      </c>
      <c r="J916">
        <v>7.3020800000000001</v>
      </c>
      <c r="K916">
        <v>0.19792000000000001</v>
      </c>
    </row>
    <row r="917" spans="1:11" hidden="1" x14ac:dyDescent="0.35">
      <c r="A917" t="s">
        <v>117</v>
      </c>
      <c r="B917">
        <f t="shared" si="42"/>
        <v>2009</v>
      </c>
      <c r="C917">
        <f t="shared" si="43"/>
        <v>3</v>
      </c>
      <c r="D917">
        <f t="shared" si="44"/>
        <v>1</v>
      </c>
      <c r="E917" t="s">
        <v>326</v>
      </c>
      <c r="F917">
        <v>-0.5</v>
      </c>
      <c r="G917">
        <v>7.25</v>
      </c>
      <c r="H917">
        <v>6.75</v>
      </c>
      <c r="I917">
        <v>-57.5</v>
      </c>
      <c r="J917">
        <v>7.1847799999999999</v>
      </c>
      <c r="K917">
        <v>-0.43478</v>
      </c>
    </row>
    <row r="918" spans="1:11" hidden="1" x14ac:dyDescent="0.35">
      <c r="A918" t="s">
        <v>118</v>
      </c>
      <c r="B918">
        <f t="shared" si="42"/>
        <v>2009</v>
      </c>
      <c r="C918">
        <f t="shared" si="43"/>
        <v>4</v>
      </c>
      <c r="D918">
        <f t="shared" si="44"/>
        <v>2</v>
      </c>
      <c r="E918" t="s">
        <v>326</v>
      </c>
      <c r="F918">
        <v>-0.25</v>
      </c>
      <c r="G918">
        <v>6.25</v>
      </c>
      <c r="H918">
        <v>6</v>
      </c>
      <c r="I918">
        <v>-13.3</v>
      </c>
      <c r="J918">
        <v>6.1203700000000003</v>
      </c>
      <c r="K918">
        <v>-0.12037</v>
      </c>
    </row>
    <row r="919" spans="1:11" hidden="1" x14ac:dyDescent="0.35">
      <c r="A919" t="s">
        <v>119</v>
      </c>
      <c r="B919">
        <f t="shared" si="42"/>
        <v>2009</v>
      </c>
      <c r="C919">
        <f t="shared" si="43"/>
        <v>5</v>
      </c>
      <c r="D919">
        <f t="shared" si="44"/>
        <v>2</v>
      </c>
      <c r="E919" t="s">
        <v>326</v>
      </c>
      <c r="F919">
        <v>0</v>
      </c>
      <c r="G919">
        <v>5.25</v>
      </c>
      <c r="H919">
        <v>5.25</v>
      </c>
      <c r="I919">
        <v>7</v>
      </c>
      <c r="J919">
        <v>5.28125</v>
      </c>
      <c r="K919">
        <v>-3.125E-2</v>
      </c>
    </row>
    <row r="920" spans="1:11" hidden="1" x14ac:dyDescent="0.35">
      <c r="A920" t="s">
        <v>120</v>
      </c>
      <c r="B920">
        <f t="shared" si="42"/>
        <v>2009</v>
      </c>
      <c r="C920">
        <f t="shared" si="43"/>
        <v>6</v>
      </c>
      <c r="D920">
        <f t="shared" si="44"/>
        <v>2</v>
      </c>
      <c r="E920" t="s">
        <v>326</v>
      </c>
      <c r="F920">
        <v>0</v>
      </c>
      <c r="G920">
        <v>4.75</v>
      </c>
      <c r="H920">
        <v>4.75</v>
      </c>
      <c r="I920">
        <v>1.5</v>
      </c>
      <c r="J920">
        <v>4.7692300000000003</v>
      </c>
      <c r="K920">
        <v>-1.9230000000000001E-2</v>
      </c>
    </row>
    <row r="921" spans="1:11" hidden="1" x14ac:dyDescent="0.35">
      <c r="A921" t="s">
        <v>121</v>
      </c>
      <c r="B921">
        <f t="shared" si="42"/>
        <v>2009</v>
      </c>
      <c r="C921">
        <f t="shared" si="43"/>
        <v>7</v>
      </c>
      <c r="D921">
        <f t="shared" si="44"/>
        <v>3</v>
      </c>
      <c r="E921" t="s">
        <v>326</v>
      </c>
      <c r="F921">
        <v>0</v>
      </c>
      <c r="G921">
        <v>4.5</v>
      </c>
      <c r="H921">
        <v>4.5</v>
      </c>
      <c r="I921">
        <v>5</v>
      </c>
      <c r="J921">
        <v>4.5</v>
      </c>
      <c r="K921">
        <v>0</v>
      </c>
    </row>
    <row r="922" spans="1:11" hidden="1" x14ac:dyDescent="0.35">
      <c r="A922" t="s">
        <v>122</v>
      </c>
      <c r="B922">
        <f t="shared" si="42"/>
        <v>2009</v>
      </c>
      <c r="C922">
        <f t="shared" si="43"/>
        <v>8</v>
      </c>
      <c r="D922">
        <f t="shared" si="44"/>
        <v>3</v>
      </c>
      <c r="E922" t="s">
        <v>326</v>
      </c>
      <c r="F922">
        <v>0</v>
      </c>
      <c r="G922">
        <v>4.5</v>
      </c>
      <c r="H922">
        <v>4.5</v>
      </c>
      <c r="I922">
        <v>1.5</v>
      </c>
      <c r="J922">
        <v>4.5</v>
      </c>
      <c r="K922">
        <v>0</v>
      </c>
    </row>
    <row r="923" spans="1:11" hidden="1" x14ac:dyDescent="0.35">
      <c r="A923" t="s">
        <v>123</v>
      </c>
      <c r="B923">
        <f t="shared" si="42"/>
        <v>2009</v>
      </c>
      <c r="C923">
        <f t="shared" si="43"/>
        <v>9</v>
      </c>
      <c r="D923">
        <f t="shared" si="44"/>
        <v>3</v>
      </c>
      <c r="E923" t="s">
        <v>326</v>
      </c>
      <c r="F923">
        <v>0</v>
      </c>
      <c r="G923">
        <v>4.5</v>
      </c>
      <c r="H923">
        <v>4.5</v>
      </c>
      <c r="I923">
        <v>9</v>
      </c>
      <c r="J923">
        <v>4.5</v>
      </c>
      <c r="K923">
        <v>0</v>
      </c>
    </row>
    <row r="924" spans="1:11" hidden="1" x14ac:dyDescent="0.35">
      <c r="A924" t="s">
        <v>124</v>
      </c>
      <c r="B924">
        <f t="shared" si="42"/>
        <v>2009</v>
      </c>
      <c r="C924">
        <f t="shared" si="43"/>
        <v>10</v>
      </c>
      <c r="D924">
        <f t="shared" si="44"/>
        <v>4</v>
      </c>
      <c r="E924" t="s">
        <v>326</v>
      </c>
      <c r="F924">
        <v>0</v>
      </c>
      <c r="G924">
        <v>4.5</v>
      </c>
      <c r="H924">
        <v>4.5</v>
      </c>
      <c r="I924">
        <v>-1</v>
      </c>
      <c r="J924">
        <v>4.5</v>
      </c>
      <c r="K924">
        <v>0</v>
      </c>
    </row>
    <row r="925" spans="1:11" hidden="1" x14ac:dyDescent="0.35">
      <c r="A925" t="s">
        <v>125</v>
      </c>
      <c r="B925">
        <f t="shared" si="42"/>
        <v>2009</v>
      </c>
      <c r="C925">
        <f t="shared" si="43"/>
        <v>11</v>
      </c>
      <c r="D925">
        <f t="shared" si="44"/>
        <v>4</v>
      </c>
      <c r="E925" t="s">
        <v>326</v>
      </c>
      <c r="F925">
        <v>0</v>
      </c>
      <c r="G925">
        <v>4.5</v>
      </c>
      <c r="H925">
        <v>4.5</v>
      </c>
      <c r="I925">
        <v>1.9</v>
      </c>
      <c r="J925">
        <v>4.5</v>
      </c>
      <c r="K925">
        <v>0</v>
      </c>
    </row>
    <row r="926" spans="1:11" hidden="1" x14ac:dyDescent="0.35">
      <c r="A926" t="s">
        <v>126</v>
      </c>
      <c r="B926">
        <f t="shared" si="42"/>
        <v>2009</v>
      </c>
      <c r="C926">
        <f t="shared" si="43"/>
        <v>12</v>
      </c>
      <c r="D926">
        <f t="shared" si="44"/>
        <v>4</v>
      </c>
      <c r="E926" t="s">
        <v>326</v>
      </c>
      <c r="F926">
        <v>0</v>
      </c>
      <c r="G926">
        <v>4.5</v>
      </c>
      <c r="H926">
        <v>4.5</v>
      </c>
      <c r="I926">
        <v>0</v>
      </c>
      <c r="J926">
        <v>4.5</v>
      </c>
      <c r="K926">
        <v>0</v>
      </c>
    </row>
    <row r="927" spans="1:11" hidden="1" x14ac:dyDescent="0.35">
      <c r="A927" t="s">
        <v>127</v>
      </c>
      <c r="B927">
        <f t="shared" si="42"/>
        <v>2010</v>
      </c>
      <c r="C927">
        <f t="shared" si="43"/>
        <v>1</v>
      </c>
      <c r="D927">
        <f t="shared" si="44"/>
        <v>1</v>
      </c>
      <c r="E927" t="s">
        <v>326</v>
      </c>
      <c r="F927">
        <v>0</v>
      </c>
      <c r="G927">
        <v>4.5</v>
      </c>
      <c r="H927">
        <v>4.5</v>
      </c>
      <c r="I927">
        <v>2</v>
      </c>
      <c r="J927">
        <v>4.5</v>
      </c>
      <c r="K927">
        <v>0</v>
      </c>
    </row>
    <row r="928" spans="1:11" hidden="1" x14ac:dyDescent="0.35">
      <c r="A928" t="s">
        <v>128</v>
      </c>
      <c r="B928">
        <f t="shared" si="42"/>
        <v>2010</v>
      </c>
      <c r="C928">
        <f t="shared" si="43"/>
        <v>2</v>
      </c>
      <c r="D928">
        <f t="shared" si="44"/>
        <v>1</v>
      </c>
      <c r="E928" t="s">
        <v>326</v>
      </c>
      <c r="F928">
        <v>0</v>
      </c>
      <c r="G928">
        <v>4.5</v>
      </c>
      <c r="H928">
        <v>4.5</v>
      </c>
      <c r="I928">
        <v>3</v>
      </c>
      <c r="J928">
        <v>4.5</v>
      </c>
      <c r="K928">
        <v>0</v>
      </c>
    </row>
    <row r="929" spans="1:11" hidden="1" x14ac:dyDescent="0.35">
      <c r="A929" t="s">
        <v>129</v>
      </c>
      <c r="B929">
        <f t="shared" si="42"/>
        <v>2010</v>
      </c>
      <c r="C929">
        <f t="shared" si="43"/>
        <v>3</v>
      </c>
      <c r="D929">
        <f t="shared" si="44"/>
        <v>1</v>
      </c>
      <c r="E929" t="s">
        <v>326</v>
      </c>
      <c r="F929">
        <v>0</v>
      </c>
      <c r="G929">
        <v>4.5</v>
      </c>
      <c r="H929">
        <v>4.5</v>
      </c>
      <c r="I929">
        <v>1</v>
      </c>
      <c r="J929">
        <v>4.5</v>
      </c>
      <c r="K929">
        <v>0</v>
      </c>
    </row>
    <row r="930" spans="1:11" hidden="1" x14ac:dyDescent="0.35">
      <c r="A930" t="s">
        <v>130</v>
      </c>
      <c r="B930">
        <f t="shared" si="42"/>
        <v>2010</v>
      </c>
      <c r="C930">
        <f t="shared" si="43"/>
        <v>4</v>
      </c>
      <c r="D930">
        <f t="shared" si="44"/>
        <v>2</v>
      </c>
      <c r="E930" t="s">
        <v>326</v>
      </c>
      <c r="F930">
        <v>0</v>
      </c>
      <c r="G930">
        <v>4.5</v>
      </c>
      <c r="H930">
        <v>4.5</v>
      </c>
      <c r="I930">
        <v>-3</v>
      </c>
      <c r="J930">
        <v>4.5</v>
      </c>
      <c r="K930">
        <v>0</v>
      </c>
    </row>
    <row r="931" spans="1:11" hidden="1" x14ac:dyDescent="0.35">
      <c r="A931" t="s">
        <v>131</v>
      </c>
      <c r="B931">
        <f t="shared" si="42"/>
        <v>2010</v>
      </c>
      <c r="C931">
        <f t="shared" si="43"/>
        <v>5</v>
      </c>
      <c r="D931">
        <f t="shared" si="44"/>
        <v>2</v>
      </c>
      <c r="E931" t="s">
        <v>326</v>
      </c>
      <c r="F931">
        <v>0</v>
      </c>
      <c r="G931">
        <v>4.5</v>
      </c>
      <c r="H931">
        <v>4.5</v>
      </c>
      <c r="I931">
        <v>-2</v>
      </c>
      <c r="J931">
        <v>4.5</v>
      </c>
      <c r="K931">
        <v>0</v>
      </c>
    </row>
    <row r="932" spans="1:11" hidden="1" x14ac:dyDescent="0.35">
      <c r="A932" t="s">
        <v>132</v>
      </c>
      <c r="B932">
        <f t="shared" si="42"/>
        <v>2010</v>
      </c>
      <c r="C932">
        <f t="shared" si="43"/>
        <v>6</v>
      </c>
      <c r="D932">
        <f t="shared" si="44"/>
        <v>2</v>
      </c>
      <c r="E932" t="s">
        <v>326</v>
      </c>
      <c r="F932">
        <v>0</v>
      </c>
      <c r="G932">
        <v>4.5</v>
      </c>
      <c r="H932">
        <v>4.5</v>
      </c>
      <c r="I932">
        <v>0</v>
      </c>
      <c r="J932">
        <v>4.5</v>
      </c>
      <c r="K932">
        <v>0</v>
      </c>
    </row>
    <row r="933" spans="1:11" hidden="1" x14ac:dyDescent="0.35">
      <c r="A933" t="s">
        <v>133</v>
      </c>
      <c r="B933">
        <f t="shared" si="42"/>
        <v>2010</v>
      </c>
      <c r="C933">
        <f t="shared" si="43"/>
        <v>7</v>
      </c>
      <c r="D933">
        <f t="shared" si="44"/>
        <v>3</v>
      </c>
      <c r="E933" t="s">
        <v>326</v>
      </c>
      <c r="F933">
        <v>0</v>
      </c>
      <c r="G933">
        <v>4.5</v>
      </c>
      <c r="H933">
        <v>4.5</v>
      </c>
      <c r="I933">
        <v>-0.5</v>
      </c>
      <c r="J933">
        <v>4.5</v>
      </c>
      <c r="K933">
        <v>0</v>
      </c>
    </row>
    <row r="934" spans="1:11" hidden="1" x14ac:dyDescent="0.35">
      <c r="A934" t="s">
        <v>134</v>
      </c>
      <c r="B934">
        <f t="shared" si="42"/>
        <v>2010</v>
      </c>
      <c r="C934">
        <f t="shared" si="43"/>
        <v>8</v>
      </c>
      <c r="D934">
        <f t="shared" si="44"/>
        <v>3</v>
      </c>
      <c r="E934" t="s">
        <v>326</v>
      </c>
      <c r="F934">
        <v>0</v>
      </c>
      <c r="G934">
        <v>4.5</v>
      </c>
      <c r="H934">
        <v>4.5</v>
      </c>
      <c r="I934">
        <v>-4</v>
      </c>
      <c r="J934">
        <v>4.5</v>
      </c>
      <c r="K934">
        <v>0</v>
      </c>
    </row>
    <row r="935" spans="1:11" hidden="1" x14ac:dyDescent="0.35">
      <c r="A935" t="s">
        <v>135</v>
      </c>
      <c r="B935">
        <f t="shared" si="42"/>
        <v>2010</v>
      </c>
      <c r="C935">
        <f t="shared" si="43"/>
        <v>9</v>
      </c>
      <c r="D935">
        <f t="shared" si="44"/>
        <v>3</v>
      </c>
      <c r="E935" t="s">
        <v>326</v>
      </c>
      <c r="F935">
        <v>0</v>
      </c>
      <c r="G935">
        <v>4.5</v>
      </c>
      <c r="H935">
        <v>4.5</v>
      </c>
      <c r="I935">
        <v>17.5</v>
      </c>
      <c r="J935">
        <v>4.5</v>
      </c>
      <c r="K935">
        <v>0</v>
      </c>
    </row>
    <row r="936" spans="1:11" hidden="1" x14ac:dyDescent="0.35">
      <c r="A936" t="s">
        <v>136</v>
      </c>
      <c r="B936">
        <f t="shared" si="42"/>
        <v>2010</v>
      </c>
      <c r="C936">
        <f t="shared" si="43"/>
        <v>10</v>
      </c>
      <c r="D936">
        <f t="shared" si="44"/>
        <v>4</v>
      </c>
      <c r="E936" t="s">
        <v>326</v>
      </c>
      <c r="F936">
        <v>0</v>
      </c>
      <c r="G936">
        <v>4.5</v>
      </c>
      <c r="H936">
        <v>4.5</v>
      </c>
      <c r="I936">
        <v>-2.5</v>
      </c>
      <c r="J936">
        <v>4.5</v>
      </c>
      <c r="K936">
        <v>0</v>
      </c>
    </row>
    <row r="937" spans="1:11" hidden="1" x14ac:dyDescent="0.35">
      <c r="A937" t="s">
        <v>137</v>
      </c>
      <c r="B937">
        <f t="shared" si="42"/>
        <v>2010</v>
      </c>
      <c r="C937">
        <f t="shared" si="43"/>
        <v>11</v>
      </c>
      <c r="D937">
        <f t="shared" si="44"/>
        <v>4</v>
      </c>
      <c r="E937" t="s">
        <v>326</v>
      </c>
      <c r="F937">
        <v>0</v>
      </c>
      <c r="G937">
        <v>4.5</v>
      </c>
      <c r="H937">
        <v>4.5</v>
      </c>
      <c r="I937">
        <v>8.3500004000000008</v>
      </c>
      <c r="J937">
        <v>4.5</v>
      </c>
      <c r="K937">
        <v>0</v>
      </c>
    </row>
    <row r="938" spans="1:11" hidden="1" x14ac:dyDescent="0.35">
      <c r="A938" t="s">
        <v>138</v>
      </c>
      <c r="B938">
        <f t="shared" si="42"/>
        <v>2010</v>
      </c>
      <c r="C938">
        <f t="shared" si="43"/>
        <v>12</v>
      </c>
      <c r="D938">
        <f t="shared" si="44"/>
        <v>4</v>
      </c>
      <c r="E938" t="s">
        <v>326</v>
      </c>
      <c r="F938">
        <v>0</v>
      </c>
      <c r="G938">
        <v>4.5</v>
      </c>
      <c r="H938">
        <v>4.5</v>
      </c>
      <c r="I938">
        <v>0</v>
      </c>
      <c r="J938">
        <v>4.5</v>
      </c>
      <c r="K938">
        <v>0</v>
      </c>
    </row>
    <row r="939" spans="1:11" hidden="1" x14ac:dyDescent="0.35">
      <c r="A939" t="s">
        <v>139</v>
      </c>
      <c r="B939">
        <f t="shared" si="42"/>
        <v>2011</v>
      </c>
      <c r="C939">
        <f t="shared" si="43"/>
        <v>1</v>
      </c>
      <c r="D939">
        <f t="shared" si="44"/>
        <v>1</v>
      </c>
      <c r="E939" t="s">
        <v>326</v>
      </c>
      <c r="F939">
        <v>0</v>
      </c>
      <c r="G939">
        <v>4.5</v>
      </c>
      <c r="H939">
        <v>4.5</v>
      </c>
      <c r="I939">
        <v>-4</v>
      </c>
      <c r="J939">
        <v>4.5</v>
      </c>
      <c r="K939">
        <v>0</v>
      </c>
    </row>
    <row r="940" spans="1:11" hidden="1" x14ac:dyDescent="0.35">
      <c r="A940" t="s">
        <v>140</v>
      </c>
      <c r="B940">
        <f t="shared" si="42"/>
        <v>2011</v>
      </c>
      <c r="C940">
        <f t="shared" si="43"/>
        <v>2</v>
      </c>
      <c r="D940">
        <f t="shared" si="44"/>
        <v>1</v>
      </c>
      <c r="E940" t="s">
        <v>326</v>
      </c>
      <c r="F940">
        <v>0</v>
      </c>
      <c r="G940">
        <v>4.5</v>
      </c>
      <c r="H940">
        <v>4.5</v>
      </c>
      <c r="I940">
        <v>0</v>
      </c>
      <c r="J940">
        <v>4.5</v>
      </c>
      <c r="K940">
        <v>0</v>
      </c>
    </row>
    <row r="941" spans="1:11" hidden="1" x14ac:dyDescent="0.35">
      <c r="A941" t="s">
        <v>141</v>
      </c>
      <c r="B941">
        <f t="shared" si="42"/>
        <v>2011</v>
      </c>
      <c r="C941">
        <f t="shared" si="43"/>
        <v>3</v>
      </c>
      <c r="D941">
        <f t="shared" si="44"/>
        <v>1</v>
      </c>
      <c r="E941" t="s">
        <v>326</v>
      </c>
      <c r="F941">
        <v>0</v>
      </c>
      <c r="G941">
        <v>4.5</v>
      </c>
      <c r="H941">
        <v>4.5</v>
      </c>
      <c r="I941">
        <v>-2.0999998999999998</v>
      </c>
      <c r="J941">
        <v>4.5</v>
      </c>
      <c r="K941">
        <v>0</v>
      </c>
    </row>
    <row r="942" spans="1:11" hidden="1" x14ac:dyDescent="0.35">
      <c r="A942" t="s">
        <v>142</v>
      </c>
      <c r="B942">
        <f t="shared" si="42"/>
        <v>2011</v>
      </c>
      <c r="C942">
        <f t="shared" si="43"/>
        <v>4</v>
      </c>
      <c r="D942">
        <f t="shared" si="44"/>
        <v>2</v>
      </c>
      <c r="E942" t="s">
        <v>326</v>
      </c>
      <c r="F942">
        <v>0</v>
      </c>
      <c r="G942">
        <v>4.5</v>
      </c>
      <c r="H942">
        <v>4.5</v>
      </c>
      <c r="I942">
        <v>-0.89999998000000003</v>
      </c>
      <c r="J942">
        <v>4.5</v>
      </c>
      <c r="K942">
        <v>0</v>
      </c>
    </row>
    <row r="943" spans="1:11" hidden="1" x14ac:dyDescent="0.35">
      <c r="A943" t="s">
        <v>143</v>
      </c>
      <c r="B943">
        <f t="shared" si="42"/>
        <v>2011</v>
      </c>
      <c r="C943">
        <f t="shared" si="43"/>
        <v>5</v>
      </c>
      <c r="D943">
        <f t="shared" si="44"/>
        <v>2</v>
      </c>
      <c r="E943" t="s">
        <v>326</v>
      </c>
      <c r="F943">
        <v>0</v>
      </c>
      <c r="G943">
        <v>4.5</v>
      </c>
      <c r="H943">
        <v>4.5</v>
      </c>
      <c r="I943">
        <v>0</v>
      </c>
      <c r="J943">
        <v>4.5</v>
      </c>
      <c r="K943">
        <v>0</v>
      </c>
    </row>
    <row r="944" spans="1:11" hidden="1" x14ac:dyDescent="0.35">
      <c r="A944" t="s">
        <v>144</v>
      </c>
      <c r="B944">
        <f t="shared" si="42"/>
        <v>2011</v>
      </c>
      <c r="C944">
        <f t="shared" si="43"/>
        <v>6</v>
      </c>
      <c r="D944">
        <f t="shared" si="44"/>
        <v>2</v>
      </c>
      <c r="E944" t="s">
        <v>326</v>
      </c>
      <c r="F944">
        <v>0</v>
      </c>
      <c r="G944">
        <v>4.5</v>
      </c>
      <c r="H944">
        <v>4.5</v>
      </c>
      <c r="I944">
        <v>0</v>
      </c>
      <c r="J944">
        <v>4.5</v>
      </c>
      <c r="K944">
        <v>0</v>
      </c>
    </row>
    <row r="945" spans="1:11" hidden="1" x14ac:dyDescent="0.35">
      <c r="A945" t="s">
        <v>145</v>
      </c>
      <c r="B945">
        <f t="shared" si="42"/>
        <v>2011</v>
      </c>
      <c r="C945">
        <f t="shared" si="43"/>
        <v>7</v>
      </c>
      <c r="D945">
        <f t="shared" si="44"/>
        <v>3</v>
      </c>
      <c r="E945" t="s">
        <v>326</v>
      </c>
      <c r="F945">
        <v>0</v>
      </c>
      <c r="G945">
        <v>4.5</v>
      </c>
      <c r="H945">
        <v>4.5</v>
      </c>
      <c r="I945">
        <v>-3.5</v>
      </c>
      <c r="J945">
        <v>4.5</v>
      </c>
      <c r="K945">
        <v>0</v>
      </c>
    </row>
    <row r="946" spans="1:11" hidden="1" x14ac:dyDescent="0.35">
      <c r="A946" t="s">
        <v>146</v>
      </c>
      <c r="B946">
        <f t="shared" si="42"/>
        <v>2011</v>
      </c>
      <c r="C946">
        <f t="shared" si="43"/>
        <v>8</v>
      </c>
      <c r="D946">
        <f t="shared" si="44"/>
        <v>3</v>
      </c>
      <c r="E946" t="s">
        <v>326</v>
      </c>
      <c r="F946">
        <v>0</v>
      </c>
      <c r="G946">
        <v>4.5</v>
      </c>
      <c r="H946">
        <v>4.5</v>
      </c>
      <c r="I946">
        <v>-17</v>
      </c>
      <c r="J946">
        <v>4.5</v>
      </c>
      <c r="K946">
        <v>0</v>
      </c>
    </row>
    <row r="947" spans="1:11" hidden="1" x14ac:dyDescent="0.35">
      <c r="A947" t="s">
        <v>147</v>
      </c>
      <c r="B947">
        <f t="shared" si="42"/>
        <v>2011</v>
      </c>
      <c r="C947">
        <f t="shared" si="43"/>
        <v>9</v>
      </c>
      <c r="D947">
        <f t="shared" si="44"/>
        <v>3</v>
      </c>
      <c r="E947" t="s">
        <v>326</v>
      </c>
      <c r="F947">
        <v>0</v>
      </c>
      <c r="G947">
        <v>4.5</v>
      </c>
      <c r="H947">
        <v>4.5</v>
      </c>
      <c r="I947">
        <v>0</v>
      </c>
      <c r="J947">
        <v>4.5</v>
      </c>
      <c r="K947">
        <v>0</v>
      </c>
    </row>
    <row r="948" spans="1:11" hidden="1" x14ac:dyDescent="0.35">
      <c r="A948" t="s">
        <v>148</v>
      </c>
      <c r="B948">
        <f t="shared" si="42"/>
        <v>2011</v>
      </c>
      <c r="C948">
        <f t="shared" si="43"/>
        <v>10</v>
      </c>
      <c r="D948">
        <f t="shared" si="44"/>
        <v>4</v>
      </c>
      <c r="E948" t="s">
        <v>326</v>
      </c>
      <c r="F948">
        <v>0</v>
      </c>
      <c r="G948">
        <v>4.5</v>
      </c>
      <c r="H948">
        <v>4.5</v>
      </c>
      <c r="I948">
        <v>-3.7</v>
      </c>
      <c r="J948">
        <v>4.4558799999999996</v>
      </c>
      <c r="K948">
        <v>4.4119999999999999E-2</v>
      </c>
    </row>
    <row r="949" spans="1:11" hidden="1" x14ac:dyDescent="0.35">
      <c r="A949" t="s">
        <v>149</v>
      </c>
      <c r="B949">
        <f t="shared" si="42"/>
        <v>2011</v>
      </c>
      <c r="C949">
        <f t="shared" si="43"/>
        <v>11</v>
      </c>
      <c r="D949">
        <f t="shared" si="44"/>
        <v>4</v>
      </c>
      <c r="E949" t="s">
        <v>326</v>
      </c>
      <c r="F949">
        <v>0</v>
      </c>
      <c r="G949">
        <v>4.5</v>
      </c>
      <c r="H949">
        <v>4.5</v>
      </c>
      <c r="I949">
        <v>0</v>
      </c>
      <c r="J949">
        <v>4.5</v>
      </c>
      <c r="K949">
        <v>0</v>
      </c>
    </row>
    <row r="950" spans="1:11" hidden="1" x14ac:dyDescent="0.35">
      <c r="A950" t="s">
        <v>150</v>
      </c>
      <c r="B950">
        <f t="shared" si="42"/>
        <v>2011</v>
      </c>
      <c r="C950">
        <f t="shared" si="43"/>
        <v>12</v>
      </c>
      <c r="D950">
        <f t="shared" si="44"/>
        <v>4</v>
      </c>
      <c r="E950" t="s">
        <v>326</v>
      </c>
      <c r="F950">
        <v>0</v>
      </c>
      <c r="G950">
        <v>4.5</v>
      </c>
      <c r="H950">
        <v>4.5</v>
      </c>
      <c r="I950">
        <v>9.8000001999999995</v>
      </c>
      <c r="J950">
        <v>4.4886400000000002</v>
      </c>
      <c r="K950">
        <v>1.136E-2</v>
      </c>
    </row>
    <row r="951" spans="1:11" hidden="1" x14ac:dyDescent="0.35">
      <c r="A951" t="s">
        <v>151</v>
      </c>
      <c r="B951">
        <f t="shared" si="42"/>
        <v>2012</v>
      </c>
      <c r="C951">
        <f t="shared" si="43"/>
        <v>1</v>
      </c>
      <c r="D951">
        <f t="shared" si="44"/>
        <v>1</v>
      </c>
      <c r="E951" t="s">
        <v>326</v>
      </c>
      <c r="F951">
        <v>0</v>
      </c>
      <c r="G951">
        <v>4.5</v>
      </c>
      <c r="H951">
        <v>4.5</v>
      </c>
      <c r="I951">
        <v>-4.5</v>
      </c>
      <c r="J951">
        <v>4.5</v>
      </c>
      <c r="K951">
        <v>0</v>
      </c>
    </row>
    <row r="952" spans="1:11" hidden="1" x14ac:dyDescent="0.35">
      <c r="A952" t="s">
        <v>152</v>
      </c>
      <c r="B952">
        <f t="shared" si="42"/>
        <v>2012</v>
      </c>
      <c r="C952">
        <f t="shared" si="43"/>
        <v>2</v>
      </c>
      <c r="D952">
        <f t="shared" si="44"/>
        <v>1</v>
      </c>
      <c r="E952" t="s">
        <v>326</v>
      </c>
      <c r="F952">
        <v>0</v>
      </c>
      <c r="G952">
        <v>4.5</v>
      </c>
      <c r="H952">
        <v>4.5</v>
      </c>
      <c r="I952">
        <v>0</v>
      </c>
      <c r="J952">
        <v>4.5</v>
      </c>
      <c r="K952">
        <v>0</v>
      </c>
    </row>
    <row r="953" spans="1:11" hidden="1" x14ac:dyDescent="0.35">
      <c r="A953" t="s">
        <v>153</v>
      </c>
      <c r="B953">
        <f t="shared" si="42"/>
        <v>2012</v>
      </c>
      <c r="C953">
        <f t="shared" si="43"/>
        <v>3</v>
      </c>
      <c r="D953">
        <f t="shared" si="44"/>
        <v>1</v>
      </c>
      <c r="E953" t="s">
        <v>326</v>
      </c>
      <c r="F953">
        <v>0</v>
      </c>
      <c r="G953">
        <v>4.5</v>
      </c>
      <c r="H953">
        <v>4.5</v>
      </c>
      <c r="I953">
        <v>-0.80000000999999998</v>
      </c>
      <c r="J953">
        <v>4.5</v>
      </c>
      <c r="K953">
        <v>0</v>
      </c>
    </row>
    <row r="954" spans="1:11" hidden="1" x14ac:dyDescent="0.35">
      <c r="A954" t="s">
        <v>154</v>
      </c>
      <c r="B954">
        <f t="shared" si="42"/>
        <v>2012</v>
      </c>
      <c r="C954">
        <f t="shared" si="43"/>
        <v>4</v>
      </c>
      <c r="D954">
        <f t="shared" si="44"/>
        <v>2</v>
      </c>
      <c r="E954" t="s">
        <v>326</v>
      </c>
      <c r="F954">
        <v>0</v>
      </c>
      <c r="G954">
        <v>4.5</v>
      </c>
      <c r="H954">
        <v>4.5</v>
      </c>
      <c r="I954">
        <v>25</v>
      </c>
      <c r="J954">
        <v>4.4545500000000002</v>
      </c>
      <c r="K954">
        <v>4.5449999999999997E-2</v>
      </c>
    </row>
    <row r="955" spans="1:11" hidden="1" x14ac:dyDescent="0.35">
      <c r="A955" t="s">
        <v>155</v>
      </c>
      <c r="B955">
        <f t="shared" si="42"/>
        <v>2012</v>
      </c>
      <c r="C955">
        <f t="shared" si="43"/>
        <v>5</v>
      </c>
      <c r="D955">
        <f t="shared" si="44"/>
        <v>2</v>
      </c>
      <c r="E955" t="s">
        <v>326</v>
      </c>
      <c r="F955">
        <v>0</v>
      </c>
      <c r="G955">
        <v>4.5</v>
      </c>
      <c r="H955">
        <v>4.5</v>
      </c>
      <c r="I955">
        <v>0</v>
      </c>
      <c r="J955">
        <v>4.5</v>
      </c>
      <c r="K955">
        <v>0</v>
      </c>
    </row>
    <row r="956" spans="1:11" hidden="1" x14ac:dyDescent="0.35">
      <c r="A956" t="s">
        <v>156</v>
      </c>
      <c r="B956">
        <f t="shared" si="42"/>
        <v>2012</v>
      </c>
      <c r="C956">
        <f t="shared" si="43"/>
        <v>6</v>
      </c>
      <c r="D956">
        <f t="shared" si="44"/>
        <v>2</v>
      </c>
      <c r="E956" t="s">
        <v>326</v>
      </c>
      <c r="F956">
        <v>0</v>
      </c>
      <c r="G956">
        <v>4.5</v>
      </c>
      <c r="H956">
        <v>4.5</v>
      </c>
      <c r="I956">
        <v>-1.5</v>
      </c>
      <c r="J956">
        <v>4.5</v>
      </c>
      <c r="K956">
        <v>0</v>
      </c>
    </row>
    <row r="957" spans="1:11" hidden="1" x14ac:dyDescent="0.35">
      <c r="A957" t="s">
        <v>157</v>
      </c>
      <c r="B957">
        <f t="shared" si="42"/>
        <v>2012</v>
      </c>
      <c r="C957">
        <f t="shared" si="43"/>
        <v>7</v>
      </c>
      <c r="D957">
        <f t="shared" si="44"/>
        <v>3</v>
      </c>
      <c r="E957" t="s">
        <v>326</v>
      </c>
      <c r="F957">
        <v>0</v>
      </c>
      <c r="G957">
        <v>4.5</v>
      </c>
      <c r="H957">
        <v>4.5</v>
      </c>
      <c r="I957">
        <v>0.5</v>
      </c>
      <c r="J957">
        <v>4.5</v>
      </c>
      <c r="K957">
        <v>0</v>
      </c>
    </row>
    <row r="958" spans="1:11" hidden="1" x14ac:dyDescent="0.35">
      <c r="A958" t="s">
        <v>158</v>
      </c>
      <c r="B958">
        <f t="shared" si="42"/>
        <v>2012</v>
      </c>
      <c r="C958">
        <f t="shared" si="43"/>
        <v>8</v>
      </c>
      <c r="D958">
        <f t="shared" si="44"/>
        <v>3</v>
      </c>
      <c r="E958" t="s">
        <v>326</v>
      </c>
      <c r="F958">
        <v>0</v>
      </c>
      <c r="G958">
        <v>4.5</v>
      </c>
      <c r="H958">
        <v>4.5</v>
      </c>
      <c r="I958">
        <v>0</v>
      </c>
      <c r="J958">
        <v>4.5</v>
      </c>
      <c r="K958">
        <v>0</v>
      </c>
    </row>
    <row r="959" spans="1:11" hidden="1" x14ac:dyDescent="0.35">
      <c r="A959" t="s">
        <v>159</v>
      </c>
      <c r="B959">
        <f t="shared" si="42"/>
        <v>2012</v>
      </c>
      <c r="C959">
        <f t="shared" si="43"/>
        <v>9</v>
      </c>
      <c r="D959">
        <f t="shared" si="44"/>
        <v>3</v>
      </c>
      <c r="E959" t="s">
        <v>326</v>
      </c>
      <c r="F959">
        <v>0</v>
      </c>
      <c r="G959">
        <v>4.5</v>
      </c>
      <c r="H959">
        <v>4.5</v>
      </c>
      <c r="I959">
        <v>3.5</v>
      </c>
      <c r="J959">
        <v>4.5</v>
      </c>
      <c r="K959">
        <v>0</v>
      </c>
    </row>
    <row r="960" spans="1:11" hidden="1" x14ac:dyDescent="0.35">
      <c r="A960" t="s">
        <v>160</v>
      </c>
      <c r="B960">
        <f t="shared" si="42"/>
        <v>2012</v>
      </c>
      <c r="C960">
        <f t="shared" si="43"/>
        <v>10</v>
      </c>
      <c r="D960">
        <f t="shared" si="44"/>
        <v>4</v>
      </c>
      <c r="E960" t="s">
        <v>326</v>
      </c>
      <c r="F960">
        <v>0</v>
      </c>
      <c r="G960">
        <v>4.5</v>
      </c>
      <c r="H960">
        <v>4.5</v>
      </c>
      <c r="I960">
        <v>4</v>
      </c>
      <c r="J960">
        <v>4.5113599999999998</v>
      </c>
      <c r="K960">
        <v>-1.136E-2</v>
      </c>
    </row>
    <row r="961" spans="1:11" hidden="1" x14ac:dyDescent="0.35">
      <c r="A961" t="s">
        <v>161</v>
      </c>
      <c r="B961">
        <f t="shared" si="42"/>
        <v>2012</v>
      </c>
      <c r="C961">
        <f t="shared" si="43"/>
        <v>11</v>
      </c>
      <c r="D961">
        <f t="shared" si="44"/>
        <v>4</v>
      </c>
      <c r="E961" t="s">
        <v>326</v>
      </c>
      <c r="F961">
        <v>0</v>
      </c>
      <c r="G961">
        <v>4.5</v>
      </c>
      <c r="H961">
        <v>4.5</v>
      </c>
      <c r="I961">
        <v>-3.5</v>
      </c>
      <c r="J961">
        <v>4.5113599999999998</v>
      </c>
      <c r="K961">
        <v>-1.136E-2</v>
      </c>
    </row>
    <row r="962" spans="1:11" hidden="1" x14ac:dyDescent="0.35">
      <c r="A962" t="s">
        <v>162</v>
      </c>
      <c r="B962">
        <f t="shared" si="42"/>
        <v>2012</v>
      </c>
      <c r="C962">
        <f t="shared" si="43"/>
        <v>12</v>
      </c>
      <c r="D962">
        <f t="shared" si="44"/>
        <v>4</v>
      </c>
      <c r="E962" t="s">
        <v>326</v>
      </c>
      <c r="F962">
        <v>0</v>
      </c>
      <c r="G962">
        <v>4.5</v>
      </c>
      <c r="H962">
        <v>4.5</v>
      </c>
      <c r="I962">
        <v>0</v>
      </c>
      <c r="J962">
        <v>4.5</v>
      </c>
      <c r="K962">
        <v>0</v>
      </c>
    </row>
    <row r="963" spans="1:11" hidden="1" x14ac:dyDescent="0.35">
      <c r="A963" t="s">
        <v>163</v>
      </c>
      <c r="B963">
        <f t="shared" ref="B963:B1026" si="45">LEFT(A963,4)*1</f>
        <v>2013</v>
      </c>
      <c r="C963">
        <f t="shared" ref="C963:C1026" si="46">MID(A963,6,2)*1</f>
        <v>1</v>
      </c>
      <c r="D963">
        <f t="shared" ref="D963:D1026" si="47">ROUNDUP(C963/3,0)</f>
        <v>1</v>
      </c>
      <c r="E963" t="s">
        <v>326</v>
      </c>
      <c r="F963">
        <v>0</v>
      </c>
      <c r="G963">
        <v>4.5</v>
      </c>
      <c r="H963">
        <v>4.5</v>
      </c>
      <c r="I963">
        <v>-8</v>
      </c>
      <c r="J963">
        <v>4.5</v>
      </c>
      <c r="K963">
        <v>0</v>
      </c>
    </row>
    <row r="964" spans="1:11" hidden="1" x14ac:dyDescent="0.35">
      <c r="A964" t="s">
        <v>164</v>
      </c>
      <c r="B964">
        <f t="shared" si="45"/>
        <v>2013</v>
      </c>
      <c r="C964">
        <f t="shared" si="46"/>
        <v>2</v>
      </c>
      <c r="D964">
        <f t="shared" si="47"/>
        <v>1</v>
      </c>
      <c r="E964" t="s">
        <v>326</v>
      </c>
      <c r="F964">
        <v>0</v>
      </c>
      <c r="G964">
        <v>4.5</v>
      </c>
      <c r="H964">
        <v>4.5</v>
      </c>
      <c r="I964">
        <v>0</v>
      </c>
      <c r="J964">
        <v>4.5</v>
      </c>
      <c r="K964">
        <v>0</v>
      </c>
    </row>
    <row r="965" spans="1:11" hidden="1" x14ac:dyDescent="0.35">
      <c r="A965" t="s">
        <v>165</v>
      </c>
      <c r="B965">
        <f t="shared" si="45"/>
        <v>2013</v>
      </c>
      <c r="C965">
        <f t="shared" si="46"/>
        <v>3</v>
      </c>
      <c r="D965">
        <f t="shared" si="47"/>
        <v>1</v>
      </c>
      <c r="E965" t="s">
        <v>326</v>
      </c>
      <c r="F965">
        <v>-0.5</v>
      </c>
      <c r="G965">
        <v>4.5</v>
      </c>
      <c r="H965">
        <v>4</v>
      </c>
      <c r="I965">
        <v>-7</v>
      </c>
      <c r="J965">
        <v>4.3600000000000003</v>
      </c>
      <c r="K965">
        <v>-0.36</v>
      </c>
    </row>
    <row r="966" spans="1:11" hidden="1" x14ac:dyDescent="0.35">
      <c r="A966" t="s">
        <v>166</v>
      </c>
      <c r="B966">
        <f t="shared" si="45"/>
        <v>2013</v>
      </c>
      <c r="C966">
        <f t="shared" si="46"/>
        <v>4</v>
      </c>
      <c r="D966">
        <f t="shared" si="47"/>
        <v>2</v>
      </c>
      <c r="E966" t="s">
        <v>326</v>
      </c>
      <c r="F966">
        <v>0</v>
      </c>
      <c r="G966">
        <v>4</v>
      </c>
      <c r="H966">
        <v>4</v>
      </c>
      <c r="I966">
        <v>2</v>
      </c>
      <c r="J966">
        <v>4</v>
      </c>
      <c r="K966">
        <v>0</v>
      </c>
    </row>
    <row r="967" spans="1:11" hidden="1" x14ac:dyDescent="0.35">
      <c r="A967" t="s">
        <v>167</v>
      </c>
      <c r="B967">
        <f t="shared" si="45"/>
        <v>2013</v>
      </c>
      <c r="C967">
        <f t="shared" si="46"/>
        <v>5</v>
      </c>
      <c r="D967">
        <f t="shared" si="47"/>
        <v>2</v>
      </c>
      <c r="E967" t="s">
        <v>326</v>
      </c>
      <c r="F967">
        <v>0</v>
      </c>
      <c r="G967">
        <v>4</v>
      </c>
      <c r="H967">
        <v>4</v>
      </c>
      <c r="I967">
        <v>0</v>
      </c>
      <c r="J967">
        <v>4</v>
      </c>
      <c r="K967">
        <v>0</v>
      </c>
    </row>
    <row r="968" spans="1:11" hidden="1" x14ac:dyDescent="0.35">
      <c r="A968" t="s">
        <v>168</v>
      </c>
      <c r="B968">
        <f t="shared" si="45"/>
        <v>2013</v>
      </c>
      <c r="C968">
        <f t="shared" si="46"/>
        <v>6</v>
      </c>
      <c r="D968">
        <f t="shared" si="47"/>
        <v>2</v>
      </c>
      <c r="E968" t="s">
        <v>326</v>
      </c>
      <c r="F968">
        <v>0</v>
      </c>
      <c r="G968">
        <v>4</v>
      </c>
      <c r="H968">
        <v>4</v>
      </c>
      <c r="I968">
        <v>3</v>
      </c>
      <c r="J968">
        <v>4</v>
      </c>
      <c r="K968">
        <v>0</v>
      </c>
    </row>
    <row r="969" spans="1:11" hidden="1" x14ac:dyDescent="0.35">
      <c r="A969" t="s">
        <v>169</v>
      </c>
      <c r="B969">
        <f t="shared" si="45"/>
        <v>2013</v>
      </c>
      <c r="C969">
        <f t="shared" si="46"/>
        <v>7</v>
      </c>
      <c r="D969">
        <f t="shared" si="47"/>
        <v>3</v>
      </c>
      <c r="E969" t="s">
        <v>326</v>
      </c>
      <c r="F969">
        <v>0</v>
      </c>
      <c r="G969">
        <v>4</v>
      </c>
      <c r="H969">
        <v>4</v>
      </c>
      <c r="I969">
        <v>0</v>
      </c>
      <c r="J969">
        <v>4</v>
      </c>
      <c r="K969">
        <v>0</v>
      </c>
    </row>
    <row r="970" spans="1:11" hidden="1" x14ac:dyDescent="0.35">
      <c r="A970" t="s">
        <v>170</v>
      </c>
      <c r="B970">
        <f t="shared" si="45"/>
        <v>2013</v>
      </c>
      <c r="C970">
        <f t="shared" si="46"/>
        <v>8</v>
      </c>
      <c r="D970">
        <f t="shared" si="47"/>
        <v>3</v>
      </c>
      <c r="E970" t="s">
        <v>326</v>
      </c>
      <c r="F970">
        <v>0</v>
      </c>
      <c r="G970">
        <v>4</v>
      </c>
      <c r="H970">
        <v>4</v>
      </c>
      <c r="I970">
        <v>0</v>
      </c>
      <c r="J970">
        <v>4</v>
      </c>
      <c r="K970">
        <v>0</v>
      </c>
    </row>
    <row r="971" spans="1:11" hidden="1" x14ac:dyDescent="0.35">
      <c r="A971" t="s">
        <v>171</v>
      </c>
      <c r="B971">
        <f t="shared" si="45"/>
        <v>2013</v>
      </c>
      <c r="C971">
        <f t="shared" si="46"/>
        <v>9</v>
      </c>
      <c r="D971">
        <f t="shared" si="47"/>
        <v>3</v>
      </c>
      <c r="E971" t="s">
        <v>326</v>
      </c>
      <c r="F971">
        <v>-0.25</v>
      </c>
      <c r="G971">
        <v>4</v>
      </c>
      <c r="H971">
        <v>3.75</v>
      </c>
      <c r="I971">
        <v>-31</v>
      </c>
      <c r="J971">
        <v>3.9874999999999998</v>
      </c>
      <c r="K971">
        <v>-0.23749999999999999</v>
      </c>
    </row>
    <row r="972" spans="1:11" hidden="1" x14ac:dyDescent="0.35">
      <c r="A972" t="s">
        <v>172</v>
      </c>
      <c r="B972">
        <f t="shared" si="45"/>
        <v>2013</v>
      </c>
      <c r="C972">
        <f t="shared" si="46"/>
        <v>10</v>
      </c>
      <c r="D972">
        <f t="shared" si="47"/>
        <v>4</v>
      </c>
      <c r="E972" t="s">
        <v>326</v>
      </c>
      <c r="F972">
        <v>0</v>
      </c>
      <c r="G972">
        <v>3.5</v>
      </c>
      <c r="H972">
        <v>3.5</v>
      </c>
      <c r="I972">
        <v>12</v>
      </c>
      <c r="J972">
        <v>3.49038</v>
      </c>
      <c r="K972">
        <v>9.6200000000000001E-3</v>
      </c>
    </row>
    <row r="973" spans="1:11" hidden="1" x14ac:dyDescent="0.35">
      <c r="A973" t="s">
        <v>173</v>
      </c>
      <c r="B973">
        <f t="shared" si="45"/>
        <v>2013</v>
      </c>
      <c r="C973">
        <f t="shared" si="46"/>
        <v>11</v>
      </c>
      <c r="D973">
        <f t="shared" si="47"/>
        <v>4</v>
      </c>
      <c r="E973" t="s">
        <v>326</v>
      </c>
      <c r="F973">
        <v>0</v>
      </c>
      <c r="G973">
        <v>3.5</v>
      </c>
      <c r="H973">
        <v>3.5</v>
      </c>
      <c r="I973">
        <v>0</v>
      </c>
      <c r="J973">
        <v>3.5</v>
      </c>
      <c r="K973">
        <v>0</v>
      </c>
    </row>
    <row r="974" spans="1:11" hidden="1" x14ac:dyDescent="0.35">
      <c r="A974" t="s">
        <v>174</v>
      </c>
      <c r="B974">
        <f t="shared" si="45"/>
        <v>2013</v>
      </c>
      <c r="C974">
        <f t="shared" si="46"/>
        <v>12</v>
      </c>
      <c r="D974">
        <f t="shared" si="47"/>
        <v>4</v>
      </c>
      <c r="E974" t="s">
        <v>326</v>
      </c>
      <c r="F974">
        <v>0</v>
      </c>
      <c r="G974">
        <v>3.5</v>
      </c>
      <c r="H974">
        <v>3.5</v>
      </c>
      <c r="I974">
        <v>0</v>
      </c>
      <c r="J974">
        <v>3.5</v>
      </c>
      <c r="K974">
        <v>0</v>
      </c>
    </row>
    <row r="975" spans="1:11" hidden="1" x14ac:dyDescent="0.35">
      <c r="A975" t="s">
        <v>175</v>
      </c>
      <c r="B975">
        <f t="shared" si="45"/>
        <v>2014</v>
      </c>
      <c r="C975">
        <f t="shared" si="46"/>
        <v>1</v>
      </c>
      <c r="D975">
        <f t="shared" si="47"/>
        <v>1</v>
      </c>
      <c r="E975" t="s">
        <v>326</v>
      </c>
      <c r="F975">
        <v>0</v>
      </c>
      <c r="G975">
        <v>3.5</v>
      </c>
      <c r="H975">
        <v>3.5</v>
      </c>
      <c r="I975">
        <v>-4</v>
      </c>
      <c r="J975">
        <v>3.5</v>
      </c>
      <c r="K975">
        <v>0</v>
      </c>
    </row>
    <row r="976" spans="1:11" hidden="1" x14ac:dyDescent="0.35">
      <c r="A976" t="s">
        <v>176</v>
      </c>
      <c r="B976">
        <f t="shared" si="45"/>
        <v>2014</v>
      </c>
      <c r="C976">
        <f t="shared" si="46"/>
        <v>2</v>
      </c>
      <c r="D976">
        <f t="shared" si="47"/>
        <v>1</v>
      </c>
      <c r="E976" t="s">
        <v>326</v>
      </c>
      <c r="F976">
        <v>0</v>
      </c>
      <c r="G976">
        <v>3.5</v>
      </c>
      <c r="H976">
        <v>3.5</v>
      </c>
      <c r="I976">
        <v>0</v>
      </c>
      <c r="J976">
        <v>3.5</v>
      </c>
      <c r="K976">
        <v>0</v>
      </c>
    </row>
    <row r="977" spans="1:11" hidden="1" x14ac:dyDescent="0.35">
      <c r="A977" t="s">
        <v>177</v>
      </c>
      <c r="B977">
        <f t="shared" si="45"/>
        <v>2014</v>
      </c>
      <c r="C977">
        <f t="shared" si="46"/>
        <v>3</v>
      </c>
      <c r="D977">
        <f t="shared" si="47"/>
        <v>1</v>
      </c>
      <c r="E977" t="s">
        <v>326</v>
      </c>
      <c r="F977">
        <v>0</v>
      </c>
      <c r="G977">
        <v>3.5</v>
      </c>
      <c r="H977">
        <v>3.5</v>
      </c>
      <c r="I977">
        <v>-2.5</v>
      </c>
      <c r="J977">
        <v>3.5</v>
      </c>
      <c r="K977">
        <v>0</v>
      </c>
    </row>
    <row r="978" spans="1:11" hidden="1" x14ac:dyDescent="0.35">
      <c r="A978" t="s">
        <v>178</v>
      </c>
      <c r="B978">
        <f t="shared" si="45"/>
        <v>2014</v>
      </c>
      <c r="C978">
        <f t="shared" si="46"/>
        <v>4</v>
      </c>
      <c r="D978">
        <f t="shared" si="47"/>
        <v>2</v>
      </c>
      <c r="E978" t="s">
        <v>326</v>
      </c>
      <c r="F978">
        <v>0</v>
      </c>
      <c r="G978">
        <v>3.5</v>
      </c>
      <c r="H978">
        <v>3.5</v>
      </c>
      <c r="I978">
        <v>2</v>
      </c>
      <c r="J978">
        <v>3.5</v>
      </c>
      <c r="K978">
        <v>0</v>
      </c>
    </row>
    <row r="979" spans="1:11" hidden="1" x14ac:dyDescent="0.35">
      <c r="A979" t="s">
        <v>179</v>
      </c>
      <c r="B979">
        <f t="shared" si="45"/>
        <v>2014</v>
      </c>
      <c r="C979">
        <f t="shared" si="46"/>
        <v>5</v>
      </c>
      <c r="D979">
        <f t="shared" si="47"/>
        <v>2</v>
      </c>
      <c r="E979" t="s">
        <v>326</v>
      </c>
      <c r="F979">
        <v>0</v>
      </c>
      <c r="G979">
        <v>3.5</v>
      </c>
      <c r="H979">
        <v>3.5</v>
      </c>
      <c r="I979">
        <v>0</v>
      </c>
      <c r="J979">
        <v>3.5</v>
      </c>
      <c r="K979">
        <v>0</v>
      </c>
    </row>
    <row r="980" spans="1:11" hidden="1" x14ac:dyDescent="0.35">
      <c r="A980" t="s">
        <v>180</v>
      </c>
      <c r="B980">
        <f t="shared" si="45"/>
        <v>2014</v>
      </c>
      <c r="C980">
        <f t="shared" si="46"/>
        <v>6</v>
      </c>
      <c r="D980">
        <f t="shared" si="47"/>
        <v>2</v>
      </c>
      <c r="E980" t="s">
        <v>326</v>
      </c>
      <c r="F980">
        <v>-0.5</v>
      </c>
      <c r="G980">
        <v>3.5</v>
      </c>
      <c r="H980">
        <v>3</v>
      </c>
      <c r="I980">
        <v>-45.5</v>
      </c>
      <c r="J980">
        <v>3.5</v>
      </c>
      <c r="K980">
        <v>-0.5</v>
      </c>
    </row>
    <row r="981" spans="1:11" hidden="1" x14ac:dyDescent="0.35">
      <c r="A981" t="s">
        <v>181</v>
      </c>
      <c r="B981">
        <f t="shared" si="45"/>
        <v>2014</v>
      </c>
      <c r="C981">
        <f t="shared" si="46"/>
        <v>7</v>
      </c>
      <c r="D981">
        <f t="shared" si="47"/>
        <v>3</v>
      </c>
      <c r="E981" t="s">
        <v>326</v>
      </c>
      <c r="F981">
        <v>0</v>
      </c>
      <c r="G981">
        <v>3</v>
      </c>
      <c r="H981">
        <v>3</v>
      </c>
      <c r="I981">
        <v>1</v>
      </c>
      <c r="J981">
        <v>3</v>
      </c>
      <c r="K981">
        <v>0</v>
      </c>
    </row>
    <row r="982" spans="1:11" hidden="1" x14ac:dyDescent="0.35">
      <c r="A982" t="s">
        <v>182</v>
      </c>
      <c r="B982">
        <f t="shared" si="45"/>
        <v>2014</v>
      </c>
      <c r="C982">
        <f t="shared" si="46"/>
        <v>8</v>
      </c>
      <c r="D982">
        <f t="shared" si="47"/>
        <v>3</v>
      </c>
      <c r="E982" t="s">
        <v>326</v>
      </c>
      <c r="F982">
        <v>0</v>
      </c>
      <c r="G982">
        <v>3</v>
      </c>
      <c r="H982">
        <v>3</v>
      </c>
      <c r="I982">
        <v>0</v>
      </c>
      <c r="J982">
        <v>3</v>
      </c>
      <c r="K982">
        <v>0</v>
      </c>
    </row>
    <row r="983" spans="1:11" hidden="1" x14ac:dyDescent="0.35">
      <c r="A983" t="s">
        <v>183</v>
      </c>
      <c r="B983">
        <f t="shared" si="45"/>
        <v>2014</v>
      </c>
      <c r="C983">
        <f t="shared" si="46"/>
        <v>9</v>
      </c>
      <c r="D983">
        <f t="shared" si="47"/>
        <v>3</v>
      </c>
      <c r="E983" t="s">
        <v>326</v>
      </c>
      <c r="F983">
        <v>0</v>
      </c>
      <c r="G983">
        <v>3</v>
      </c>
      <c r="H983">
        <v>3</v>
      </c>
      <c r="I983">
        <v>3</v>
      </c>
      <c r="J983">
        <v>3</v>
      </c>
      <c r="K983">
        <v>0</v>
      </c>
    </row>
    <row r="984" spans="1:11" hidden="1" x14ac:dyDescent="0.35">
      <c r="A984" t="s">
        <v>184</v>
      </c>
      <c r="B984">
        <f t="shared" si="45"/>
        <v>2014</v>
      </c>
      <c r="C984">
        <f t="shared" si="46"/>
        <v>10</v>
      </c>
      <c r="D984">
        <f t="shared" si="47"/>
        <v>4</v>
      </c>
      <c r="E984" t="s">
        <v>326</v>
      </c>
      <c r="F984">
        <v>0</v>
      </c>
      <c r="G984">
        <v>3</v>
      </c>
      <c r="H984">
        <v>3</v>
      </c>
      <c r="I984">
        <v>2</v>
      </c>
      <c r="J984">
        <v>2.9907400000000002</v>
      </c>
      <c r="K984">
        <v>9.2599999999999991E-3</v>
      </c>
    </row>
    <row r="985" spans="1:11" hidden="1" x14ac:dyDescent="0.35">
      <c r="A985" t="s">
        <v>185</v>
      </c>
      <c r="B985">
        <f t="shared" si="45"/>
        <v>2014</v>
      </c>
      <c r="C985">
        <f t="shared" si="46"/>
        <v>11</v>
      </c>
      <c r="D985">
        <f t="shared" si="47"/>
        <v>4</v>
      </c>
      <c r="E985" t="s">
        <v>326</v>
      </c>
      <c r="F985">
        <v>0</v>
      </c>
      <c r="G985">
        <v>3</v>
      </c>
      <c r="H985">
        <v>3</v>
      </c>
      <c r="I985">
        <v>0</v>
      </c>
      <c r="J985">
        <v>3</v>
      </c>
      <c r="K985">
        <v>0</v>
      </c>
    </row>
    <row r="986" spans="1:11" hidden="1" x14ac:dyDescent="0.35">
      <c r="A986" t="s">
        <v>186</v>
      </c>
      <c r="B986">
        <f t="shared" si="45"/>
        <v>2014</v>
      </c>
      <c r="C986">
        <f t="shared" si="46"/>
        <v>12</v>
      </c>
      <c r="D986">
        <f t="shared" si="47"/>
        <v>4</v>
      </c>
      <c r="E986" t="s">
        <v>326</v>
      </c>
      <c r="F986">
        <v>0</v>
      </c>
      <c r="G986">
        <v>3</v>
      </c>
      <c r="H986">
        <v>3</v>
      </c>
      <c r="I986">
        <v>9.5</v>
      </c>
      <c r="J986">
        <v>2.98333</v>
      </c>
      <c r="K986">
        <v>1.6670000000000001E-2</v>
      </c>
    </row>
    <row r="987" spans="1:11" hidden="1" x14ac:dyDescent="0.35">
      <c r="A987" t="s">
        <v>187</v>
      </c>
      <c r="B987">
        <f t="shared" si="45"/>
        <v>2015</v>
      </c>
      <c r="C987">
        <f t="shared" si="46"/>
        <v>1</v>
      </c>
      <c r="D987">
        <f t="shared" si="47"/>
        <v>1</v>
      </c>
      <c r="E987" t="s">
        <v>326</v>
      </c>
      <c r="F987">
        <v>0</v>
      </c>
      <c r="G987">
        <v>3</v>
      </c>
      <c r="H987">
        <v>3</v>
      </c>
      <c r="I987">
        <v>7</v>
      </c>
      <c r="J987">
        <v>2.9916700000000001</v>
      </c>
      <c r="K987">
        <v>8.3300000000000006E-3</v>
      </c>
    </row>
    <row r="988" spans="1:11" hidden="1" x14ac:dyDescent="0.35">
      <c r="A988" t="s">
        <v>188</v>
      </c>
      <c r="B988">
        <f t="shared" si="45"/>
        <v>2015</v>
      </c>
      <c r="C988">
        <f t="shared" si="46"/>
        <v>2</v>
      </c>
      <c r="D988">
        <f t="shared" si="47"/>
        <v>1</v>
      </c>
      <c r="E988" t="s">
        <v>326</v>
      </c>
      <c r="F988">
        <v>0</v>
      </c>
      <c r="G988">
        <v>3</v>
      </c>
      <c r="H988">
        <v>3</v>
      </c>
      <c r="I988">
        <v>0</v>
      </c>
      <c r="J988">
        <v>3</v>
      </c>
      <c r="K988">
        <v>0</v>
      </c>
    </row>
    <row r="989" spans="1:11" hidden="1" x14ac:dyDescent="0.35">
      <c r="A989" t="s">
        <v>189</v>
      </c>
      <c r="B989">
        <f t="shared" si="45"/>
        <v>2015</v>
      </c>
      <c r="C989">
        <f t="shared" si="46"/>
        <v>3</v>
      </c>
      <c r="D989">
        <f t="shared" si="47"/>
        <v>1</v>
      </c>
      <c r="E989" t="s">
        <v>326</v>
      </c>
      <c r="F989">
        <v>0</v>
      </c>
      <c r="G989">
        <v>3</v>
      </c>
      <c r="H989">
        <v>3</v>
      </c>
      <c r="I989">
        <v>3.2</v>
      </c>
      <c r="J989">
        <v>3</v>
      </c>
      <c r="K989">
        <v>0</v>
      </c>
    </row>
    <row r="990" spans="1:11" hidden="1" x14ac:dyDescent="0.35">
      <c r="A990" t="s">
        <v>190</v>
      </c>
      <c r="B990">
        <f t="shared" si="45"/>
        <v>2015</v>
      </c>
      <c r="C990">
        <f t="shared" si="46"/>
        <v>4</v>
      </c>
      <c r="D990">
        <f t="shared" si="47"/>
        <v>2</v>
      </c>
      <c r="E990" t="s">
        <v>326</v>
      </c>
      <c r="F990">
        <v>0</v>
      </c>
      <c r="G990">
        <v>3</v>
      </c>
      <c r="H990">
        <v>3</v>
      </c>
      <c r="I990">
        <v>1</v>
      </c>
      <c r="J990">
        <v>3</v>
      </c>
      <c r="K990">
        <v>0</v>
      </c>
    </row>
    <row r="991" spans="1:11" hidden="1" x14ac:dyDescent="0.35">
      <c r="A991" t="s">
        <v>191</v>
      </c>
      <c r="B991">
        <f t="shared" si="45"/>
        <v>2015</v>
      </c>
      <c r="C991">
        <f t="shared" si="46"/>
        <v>5</v>
      </c>
      <c r="D991">
        <f t="shared" si="47"/>
        <v>2</v>
      </c>
      <c r="E991" t="s">
        <v>326</v>
      </c>
      <c r="F991">
        <v>0</v>
      </c>
      <c r="G991">
        <v>3</v>
      </c>
      <c r="H991">
        <v>3</v>
      </c>
      <c r="I991">
        <v>0</v>
      </c>
      <c r="J991">
        <v>3</v>
      </c>
      <c r="K991">
        <v>0</v>
      </c>
    </row>
    <row r="992" spans="1:11" hidden="1" x14ac:dyDescent="0.35">
      <c r="A992" t="s">
        <v>192</v>
      </c>
      <c r="B992">
        <f t="shared" si="45"/>
        <v>2015</v>
      </c>
      <c r="C992">
        <f t="shared" si="46"/>
        <v>6</v>
      </c>
      <c r="D992">
        <f t="shared" si="47"/>
        <v>2</v>
      </c>
      <c r="E992" t="s">
        <v>326</v>
      </c>
      <c r="F992">
        <v>0</v>
      </c>
      <c r="G992">
        <v>3</v>
      </c>
      <c r="H992">
        <v>3</v>
      </c>
      <c r="I992">
        <v>-9.1999998000000005</v>
      </c>
      <c r="J992">
        <v>3</v>
      </c>
      <c r="K992">
        <v>0</v>
      </c>
    </row>
    <row r="993" spans="1:11" hidden="1" x14ac:dyDescent="0.35">
      <c r="A993" t="s">
        <v>193</v>
      </c>
      <c r="B993">
        <f t="shared" si="45"/>
        <v>2015</v>
      </c>
      <c r="C993">
        <f t="shared" si="46"/>
        <v>7</v>
      </c>
      <c r="D993">
        <f t="shared" si="47"/>
        <v>3</v>
      </c>
      <c r="E993" t="s">
        <v>326</v>
      </c>
      <c r="F993">
        <v>0</v>
      </c>
      <c r="G993">
        <v>3</v>
      </c>
      <c r="H993">
        <v>3</v>
      </c>
      <c r="I993">
        <v>-0.5</v>
      </c>
      <c r="J993">
        <v>3</v>
      </c>
      <c r="K993">
        <v>0</v>
      </c>
    </row>
    <row r="994" spans="1:11" hidden="1" x14ac:dyDescent="0.35">
      <c r="A994" t="s">
        <v>194</v>
      </c>
      <c r="B994">
        <f t="shared" si="45"/>
        <v>2015</v>
      </c>
      <c r="C994">
        <f t="shared" si="46"/>
        <v>8</v>
      </c>
      <c r="D994">
        <f t="shared" si="47"/>
        <v>3</v>
      </c>
      <c r="E994" t="s">
        <v>326</v>
      </c>
      <c r="F994">
        <v>0</v>
      </c>
      <c r="G994">
        <v>3</v>
      </c>
      <c r="H994">
        <v>3</v>
      </c>
      <c r="I994">
        <v>0</v>
      </c>
      <c r="J994">
        <v>3</v>
      </c>
      <c r="K994">
        <v>0</v>
      </c>
    </row>
    <row r="995" spans="1:11" hidden="1" x14ac:dyDescent="0.35">
      <c r="A995" t="s">
        <v>195</v>
      </c>
      <c r="B995">
        <f t="shared" si="45"/>
        <v>2015</v>
      </c>
      <c r="C995">
        <f t="shared" si="46"/>
        <v>9</v>
      </c>
      <c r="D995">
        <f t="shared" si="47"/>
        <v>3</v>
      </c>
      <c r="E995" t="s">
        <v>326</v>
      </c>
      <c r="F995">
        <v>0</v>
      </c>
      <c r="G995">
        <v>3</v>
      </c>
      <c r="H995">
        <v>3</v>
      </c>
      <c r="I995">
        <v>1</v>
      </c>
      <c r="J995">
        <v>3</v>
      </c>
      <c r="K995">
        <v>0</v>
      </c>
    </row>
    <row r="996" spans="1:11" hidden="1" x14ac:dyDescent="0.35">
      <c r="A996" t="s">
        <v>196</v>
      </c>
      <c r="B996">
        <f t="shared" si="45"/>
        <v>2015</v>
      </c>
      <c r="C996">
        <f t="shared" si="46"/>
        <v>10</v>
      </c>
      <c r="D996">
        <f t="shared" si="47"/>
        <v>4</v>
      </c>
      <c r="E996" t="s">
        <v>326</v>
      </c>
      <c r="F996">
        <v>0</v>
      </c>
      <c r="G996">
        <v>3</v>
      </c>
      <c r="H996">
        <v>3</v>
      </c>
      <c r="I996">
        <v>3.5</v>
      </c>
      <c r="J996">
        <v>3</v>
      </c>
      <c r="K996">
        <v>0</v>
      </c>
    </row>
    <row r="997" spans="1:11" hidden="1" x14ac:dyDescent="0.35">
      <c r="A997" t="s">
        <v>197</v>
      </c>
      <c r="B997">
        <f t="shared" si="45"/>
        <v>2015</v>
      </c>
      <c r="C997">
        <f t="shared" si="46"/>
        <v>11</v>
      </c>
      <c r="D997">
        <f t="shared" si="47"/>
        <v>4</v>
      </c>
      <c r="E997" t="s">
        <v>326</v>
      </c>
      <c r="F997">
        <v>0</v>
      </c>
      <c r="G997">
        <v>3</v>
      </c>
      <c r="H997">
        <v>3</v>
      </c>
      <c r="I997">
        <v>0</v>
      </c>
      <c r="J997">
        <v>3</v>
      </c>
      <c r="K997">
        <v>0</v>
      </c>
    </row>
    <row r="998" spans="1:11" hidden="1" x14ac:dyDescent="0.35">
      <c r="A998" t="s">
        <v>198</v>
      </c>
      <c r="B998">
        <f t="shared" si="45"/>
        <v>2015</v>
      </c>
      <c r="C998">
        <f t="shared" si="46"/>
        <v>12</v>
      </c>
      <c r="D998">
        <f t="shared" si="47"/>
        <v>4</v>
      </c>
      <c r="E998" t="s">
        <v>326</v>
      </c>
      <c r="F998">
        <v>0</v>
      </c>
      <c r="G998">
        <v>3.25</v>
      </c>
      <c r="H998">
        <v>3.25</v>
      </c>
      <c r="I998">
        <v>-2</v>
      </c>
      <c r="J998">
        <v>3.2019199999999999</v>
      </c>
      <c r="K998">
        <v>4.8079999999999998E-2</v>
      </c>
    </row>
    <row r="999" spans="1:11" hidden="1" x14ac:dyDescent="0.35">
      <c r="A999" t="s">
        <v>199</v>
      </c>
      <c r="B999">
        <f t="shared" si="45"/>
        <v>2016</v>
      </c>
      <c r="C999">
        <f t="shared" si="46"/>
        <v>1</v>
      </c>
      <c r="D999">
        <f t="shared" si="47"/>
        <v>1</v>
      </c>
      <c r="E999" t="s">
        <v>326</v>
      </c>
      <c r="F999">
        <v>0</v>
      </c>
      <c r="G999">
        <v>3.25</v>
      </c>
      <c r="H999">
        <v>3.25</v>
      </c>
      <c r="I999">
        <v>0</v>
      </c>
      <c r="J999">
        <v>3.25</v>
      </c>
      <c r="K999">
        <v>0</v>
      </c>
    </row>
    <row r="1000" spans="1:11" hidden="1" x14ac:dyDescent="0.35">
      <c r="A1000" t="s">
        <v>200</v>
      </c>
      <c r="B1000">
        <f t="shared" si="45"/>
        <v>2016</v>
      </c>
      <c r="C1000">
        <f t="shared" si="46"/>
        <v>2</v>
      </c>
      <c r="D1000">
        <f t="shared" si="47"/>
        <v>1</v>
      </c>
      <c r="E1000" t="s">
        <v>326</v>
      </c>
      <c r="F1000">
        <v>0</v>
      </c>
      <c r="G1000">
        <v>3.75</v>
      </c>
      <c r="H1000">
        <v>3.75</v>
      </c>
      <c r="I1000">
        <v>32</v>
      </c>
      <c r="J1000">
        <v>3.25</v>
      </c>
      <c r="K1000">
        <v>0.5</v>
      </c>
    </row>
    <row r="1001" spans="1:11" hidden="1" x14ac:dyDescent="0.35">
      <c r="A1001" t="s">
        <v>201</v>
      </c>
      <c r="B1001">
        <f t="shared" si="45"/>
        <v>2016</v>
      </c>
      <c r="C1001">
        <f t="shared" si="46"/>
        <v>3</v>
      </c>
      <c r="D1001">
        <f t="shared" si="47"/>
        <v>1</v>
      </c>
      <c r="E1001" t="s">
        <v>326</v>
      </c>
      <c r="F1001">
        <v>0</v>
      </c>
      <c r="G1001">
        <v>3.75</v>
      </c>
      <c r="H1001">
        <v>3.75</v>
      </c>
      <c r="I1001">
        <v>3.5</v>
      </c>
      <c r="J1001">
        <v>3.75</v>
      </c>
      <c r="K1001">
        <v>0</v>
      </c>
    </row>
    <row r="1002" spans="1:11" hidden="1" x14ac:dyDescent="0.35">
      <c r="A1002" t="s">
        <v>202</v>
      </c>
      <c r="B1002">
        <f t="shared" si="45"/>
        <v>2016</v>
      </c>
      <c r="C1002">
        <f t="shared" si="46"/>
        <v>4</v>
      </c>
      <c r="D1002">
        <f t="shared" si="47"/>
        <v>2</v>
      </c>
      <c r="E1002" t="s">
        <v>326</v>
      </c>
      <c r="F1002">
        <v>0</v>
      </c>
      <c r="G1002">
        <v>3.75</v>
      </c>
      <c r="H1002">
        <v>3.75</v>
      </c>
      <c r="I1002">
        <v>0</v>
      </c>
      <c r="J1002">
        <v>3.75</v>
      </c>
      <c r="K1002">
        <v>0</v>
      </c>
    </row>
    <row r="1003" spans="1:11" hidden="1" x14ac:dyDescent="0.35">
      <c r="A1003" t="s">
        <v>203</v>
      </c>
      <c r="B1003">
        <f t="shared" si="45"/>
        <v>2016</v>
      </c>
      <c r="C1003">
        <f t="shared" si="46"/>
        <v>5</v>
      </c>
      <c r="D1003">
        <f t="shared" si="47"/>
        <v>2</v>
      </c>
      <c r="E1003" t="s">
        <v>326</v>
      </c>
      <c r="F1003">
        <v>0</v>
      </c>
      <c r="G1003">
        <v>3.75</v>
      </c>
      <c r="H1003">
        <v>3.75</v>
      </c>
      <c r="I1003">
        <v>-2</v>
      </c>
      <c r="J1003">
        <v>3.75</v>
      </c>
      <c r="K1003">
        <v>0</v>
      </c>
    </row>
    <row r="1004" spans="1:11" hidden="1" x14ac:dyDescent="0.35">
      <c r="A1004" t="s">
        <v>204</v>
      </c>
      <c r="B1004">
        <f t="shared" si="45"/>
        <v>2016</v>
      </c>
      <c r="C1004">
        <f t="shared" si="46"/>
        <v>6</v>
      </c>
      <c r="D1004">
        <f t="shared" si="47"/>
        <v>2</v>
      </c>
      <c r="E1004" t="s">
        <v>326</v>
      </c>
      <c r="F1004">
        <v>0.25</v>
      </c>
      <c r="G1004">
        <v>4</v>
      </c>
      <c r="H1004">
        <v>4.25</v>
      </c>
      <c r="I1004">
        <v>14.5</v>
      </c>
      <c r="J1004">
        <v>3.9615399999999998</v>
      </c>
      <c r="K1004">
        <v>0.28845999999999999</v>
      </c>
    </row>
    <row r="1005" spans="1:11" hidden="1" x14ac:dyDescent="0.35">
      <c r="A1005" t="s">
        <v>205</v>
      </c>
      <c r="B1005">
        <f t="shared" si="45"/>
        <v>2016</v>
      </c>
      <c r="C1005">
        <f t="shared" si="46"/>
        <v>7</v>
      </c>
      <c r="D1005">
        <f t="shared" si="47"/>
        <v>3</v>
      </c>
      <c r="E1005" t="s">
        <v>326</v>
      </c>
      <c r="F1005">
        <v>0</v>
      </c>
      <c r="G1005">
        <v>4.25</v>
      </c>
      <c r="H1005">
        <v>4.25</v>
      </c>
      <c r="I1005">
        <v>0</v>
      </c>
      <c r="J1005">
        <v>4.25</v>
      </c>
      <c r="K1005">
        <v>0</v>
      </c>
    </row>
    <row r="1006" spans="1:11" hidden="1" x14ac:dyDescent="0.35">
      <c r="A1006" t="s">
        <v>206</v>
      </c>
      <c r="B1006">
        <f t="shared" si="45"/>
        <v>2016</v>
      </c>
      <c r="C1006">
        <f t="shared" si="46"/>
        <v>8</v>
      </c>
      <c r="D1006">
        <f t="shared" si="47"/>
        <v>3</v>
      </c>
      <c r="E1006" t="s">
        <v>326</v>
      </c>
      <c r="F1006">
        <v>0</v>
      </c>
      <c r="G1006">
        <v>4.25</v>
      </c>
      <c r="H1006">
        <v>4.25</v>
      </c>
      <c r="I1006">
        <v>-6.5</v>
      </c>
      <c r="J1006">
        <v>4.2678599999999998</v>
      </c>
      <c r="K1006">
        <v>-1.7860000000000001E-2</v>
      </c>
    </row>
    <row r="1007" spans="1:11" hidden="1" x14ac:dyDescent="0.35">
      <c r="A1007" t="s">
        <v>207</v>
      </c>
      <c r="B1007">
        <f t="shared" si="45"/>
        <v>2016</v>
      </c>
      <c r="C1007">
        <f t="shared" si="46"/>
        <v>9</v>
      </c>
      <c r="D1007">
        <f t="shared" si="47"/>
        <v>3</v>
      </c>
      <c r="E1007" t="s">
        <v>326</v>
      </c>
      <c r="F1007">
        <v>0</v>
      </c>
      <c r="G1007">
        <v>4.75</v>
      </c>
      <c r="H1007">
        <v>4.75</v>
      </c>
      <c r="I1007">
        <v>13</v>
      </c>
      <c r="J1007">
        <v>4.5277799999999999</v>
      </c>
      <c r="K1007">
        <v>0.22222</v>
      </c>
    </row>
    <row r="1008" spans="1:11" hidden="1" x14ac:dyDescent="0.35">
      <c r="A1008" t="s">
        <v>208</v>
      </c>
      <c r="B1008">
        <f t="shared" si="45"/>
        <v>2016</v>
      </c>
      <c r="C1008">
        <f t="shared" si="46"/>
        <v>10</v>
      </c>
      <c r="D1008">
        <f t="shared" si="47"/>
        <v>4</v>
      </c>
      <c r="E1008" t="s">
        <v>326</v>
      </c>
      <c r="F1008">
        <v>0</v>
      </c>
      <c r="G1008">
        <v>4.75</v>
      </c>
      <c r="H1008">
        <v>4.75</v>
      </c>
      <c r="I1008">
        <v>0</v>
      </c>
      <c r="J1008">
        <v>4.75</v>
      </c>
      <c r="K1008">
        <v>0</v>
      </c>
    </row>
    <row r="1009" spans="1:11" hidden="1" x14ac:dyDescent="0.35">
      <c r="A1009" t="s">
        <v>209</v>
      </c>
      <c r="B1009">
        <f t="shared" si="45"/>
        <v>2016</v>
      </c>
      <c r="C1009">
        <f t="shared" si="46"/>
        <v>11</v>
      </c>
      <c r="D1009">
        <f t="shared" si="47"/>
        <v>4</v>
      </c>
      <c r="E1009" t="s">
        <v>326</v>
      </c>
      <c r="F1009">
        <v>0</v>
      </c>
      <c r="G1009">
        <v>5.25</v>
      </c>
      <c r="H1009">
        <v>5.25</v>
      </c>
      <c r="I1009">
        <v>-10</v>
      </c>
      <c r="J1009">
        <v>5.3586999999999998</v>
      </c>
      <c r="K1009">
        <v>-0.1087</v>
      </c>
    </row>
    <row r="1010" spans="1:11" hidden="1" x14ac:dyDescent="0.35">
      <c r="A1010" t="s">
        <v>210</v>
      </c>
      <c r="B1010">
        <f t="shared" si="45"/>
        <v>2016</v>
      </c>
      <c r="C1010">
        <f t="shared" si="46"/>
        <v>12</v>
      </c>
      <c r="D1010">
        <f t="shared" si="47"/>
        <v>4</v>
      </c>
      <c r="E1010" t="s">
        <v>326</v>
      </c>
      <c r="F1010">
        <v>0.25</v>
      </c>
      <c r="G1010">
        <v>5.5</v>
      </c>
      <c r="H1010">
        <v>5.75</v>
      </c>
      <c r="I1010">
        <v>7.5</v>
      </c>
      <c r="J1010">
        <v>5.56731</v>
      </c>
      <c r="K1010">
        <v>0.18268999999999999</v>
      </c>
    </row>
    <row r="1011" spans="1:11" hidden="1" x14ac:dyDescent="0.35">
      <c r="A1011" t="s">
        <v>211</v>
      </c>
      <c r="B1011">
        <f t="shared" si="45"/>
        <v>2017</v>
      </c>
      <c r="C1011">
        <f t="shared" si="46"/>
        <v>1</v>
      </c>
      <c r="D1011">
        <f t="shared" si="47"/>
        <v>1</v>
      </c>
      <c r="E1011" t="s">
        <v>326</v>
      </c>
      <c r="F1011">
        <v>0</v>
      </c>
      <c r="G1011">
        <v>5.75</v>
      </c>
      <c r="H1011">
        <v>5.75</v>
      </c>
      <c r="I1011">
        <v>0</v>
      </c>
      <c r="J1011">
        <v>5.75</v>
      </c>
      <c r="K1011">
        <v>0</v>
      </c>
    </row>
    <row r="1012" spans="1:11" hidden="1" x14ac:dyDescent="0.35">
      <c r="A1012" t="s">
        <v>212</v>
      </c>
      <c r="B1012">
        <f t="shared" si="45"/>
        <v>2017</v>
      </c>
      <c r="C1012">
        <f t="shared" si="46"/>
        <v>2</v>
      </c>
      <c r="D1012">
        <f t="shared" si="47"/>
        <v>1</v>
      </c>
      <c r="E1012" t="s">
        <v>326</v>
      </c>
      <c r="F1012">
        <v>0</v>
      </c>
      <c r="G1012">
        <v>6.25</v>
      </c>
      <c r="H1012">
        <v>6.25</v>
      </c>
      <c r="I1012">
        <v>16</v>
      </c>
      <c r="J1012">
        <v>6.1666699999999999</v>
      </c>
      <c r="K1012">
        <v>8.3330000000000001E-2</v>
      </c>
    </row>
    <row r="1013" spans="1:11" hidden="1" x14ac:dyDescent="0.35">
      <c r="A1013" t="s">
        <v>213</v>
      </c>
      <c r="B1013">
        <f t="shared" si="45"/>
        <v>2017</v>
      </c>
      <c r="C1013">
        <f t="shared" si="46"/>
        <v>3</v>
      </c>
      <c r="D1013">
        <f t="shared" si="47"/>
        <v>1</v>
      </c>
      <c r="E1013" t="s">
        <v>326</v>
      </c>
      <c r="F1013">
        <v>0</v>
      </c>
      <c r="G1013">
        <v>6.5</v>
      </c>
      <c r="H1013">
        <v>6.5</v>
      </c>
      <c r="I1013">
        <v>-5</v>
      </c>
      <c r="J1013">
        <v>6.5769200000000003</v>
      </c>
      <c r="K1013">
        <v>-7.6920000000000002E-2</v>
      </c>
    </row>
    <row r="1014" spans="1:11" hidden="1" x14ac:dyDescent="0.35">
      <c r="A1014" t="s">
        <v>214</v>
      </c>
      <c r="B1014">
        <f t="shared" si="45"/>
        <v>2017</v>
      </c>
      <c r="C1014">
        <f t="shared" si="46"/>
        <v>4</v>
      </c>
      <c r="D1014">
        <f t="shared" si="47"/>
        <v>2</v>
      </c>
      <c r="E1014" t="s">
        <v>326</v>
      </c>
      <c r="F1014">
        <v>0</v>
      </c>
      <c r="G1014">
        <v>6.5</v>
      </c>
      <c r="H1014">
        <v>6.5</v>
      </c>
      <c r="I1014">
        <v>0</v>
      </c>
      <c r="J1014">
        <v>6.5</v>
      </c>
      <c r="K1014">
        <v>0</v>
      </c>
    </row>
    <row r="1015" spans="1:11" hidden="1" x14ac:dyDescent="0.35">
      <c r="A1015" t="s">
        <v>215</v>
      </c>
      <c r="B1015">
        <f t="shared" si="45"/>
        <v>2017</v>
      </c>
      <c r="C1015">
        <f t="shared" si="46"/>
        <v>5</v>
      </c>
      <c r="D1015">
        <f t="shared" si="47"/>
        <v>2</v>
      </c>
      <c r="E1015" t="s">
        <v>326</v>
      </c>
      <c r="F1015">
        <v>0.25</v>
      </c>
      <c r="G1015">
        <v>6.5</v>
      </c>
      <c r="H1015">
        <v>6.75</v>
      </c>
      <c r="I1015">
        <v>13</v>
      </c>
      <c r="J1015">
        <v>6.6015600000000001</v>
      </c>
      <c r="K1015">
        <v>0.14843999999999999</v>
      </c>
    </row>
    <row r="1016" spans="1:11" hidden="1" x14ac:dyDescent="0.35">
      <c r="A1016" t="s">
        <v>216</v>
      </c>
      <c r="B1016">
        <f t="shared" si="45"/>
        <v>2017</v>
      </c>
      <c r="C1016">
        <f t="shared" si="46"/>
        <v>6</v>
      </c>
      <c r="D1016">
        <f t="shared" si="47"/>
        <v>2</v>
      </c>
      <c r="E1016" t="s">
        <v>326</v>
      </c>
      <c r="F1016">
        <v>0</v>
      </c>
      <c r="G1016">
        <v>7</v>
      </c>
      <c r="H1016">
        <v>7</v>
      </c>
      <c r="I1016">
        <v>-18.5</v>
      </c>
      <c r="J1016">
        <v>6.9907399999999997</v>
      </c>
      <c r="K1016">
        <v>9.2599999999999991E-3</v>
      </c>
    </row>
    <row r="1017" spans="1:11" hidden="1" x14ac:dyDescent="0.35">
      <c r="A1017" t="s">
        <v>217</v>
      </c>
      <c r="B1017">
        <f t="shared" si="45"/>
        <v>2017</v>
      </c>
      <c r="C1017">
        <f t="shared" si="46"/>
        <v>7</v>
      </c>
      <c r="D1017">
        <f t="shared" si="47"/>
        <v>3</v>
      </c>
      <c r="E1017" t="s">
        <v>326</v>
      </c>
      <c r="F1017">
        <v>0</v>
      </c>
      <c r="G1017">
        <v>7</v>
      </c>
      <c r="H1017">
        <v>7</v>
      </c>
      <c r="I1017">
        <v>0</v>
      </c>
      <c r="J1017">
        <v>7</v>
      </c>
      <c r="K1017">
        <v>0</v>
      </c>
    </row>
    <row r="1018" spans="1:11" hidden="1" x14ac:dyDescent="0.35">
      <c r="A1018" t="s">
        <v>218</v>
      </c>
      <c r="B1018">
        <f t="shared" si="45"/>
        <v>2017</v>
      </c>
      <c r="C1018">
        <f t="shared" si="46"/>
        <v>8</v>
      </c>
      <c r="D1018">
        <f t="shared" si="47"/>
        <v>3</v>
      </c>
      <c r="E1018" t="s">
        <v>326</v>
      </c>
      <c r="F1018">
        <v>0</v>
      </c>
      <c r="G1018">
        <v>7</v>
      </c>
      <c r="H1018">
        <v>7</v>
      </c>
      <c r="I1018">
        <v>-7</v>
      </c>
      <c r="J1018">
        <v>7</v>
      </c>
      <c r="K1018">
        <v>0</v>
      </c>
    </row>
    <row r="1019" spans="1:11" hidden="1" x14ac:dyDescent="0.35">
      <c r="A1019" t="s">
        <v>219</v>
      </c>
      <c r="B1019">
        <f t="shared" si="45"/>
        <v>2017</v>
      </c>
      <c r="C1019">
        <f t="shared" si="46"/>
        <v>9</v>
      </c>
      <c r="D1019">
        <f t="shared" si="47"/>
        <v>3</v>
      </c>
      <c r="E1019" t="s">
        <v>326</v>
      </c>
      <c r="F1019">
        <v>0</v>
      </c>
      <c r="G1019">
        <v>7</v>
      </c>
      <c r="H1019">
        <v>7</v>
      </c>
      <c r="I1019">
        <v>2</v>
      </c>
      <c r="J1019">
        <v>7</v>
      </c>
      <c r="K1019">
        <v>0</v>
      </c>
    </row>
    <row r="1020" spans="1:11" hidden="1" x14ac:dyDescent="0.35">
      <c r="A1020" t="s">
        <v>220</v>
      </c>
      <c r="B1020">
        <f t="shared" si="45"/>
        <v>2017</v>
      </c>
      <c r="C1020">
        <f t="shared" si="46"/>
        <v>10</v>
      </c>
      <c r="D1020">
        <f t="shared" si="47"/>
        <v>4</v>
      </c>
      <c r="E1020" t="s">
        <v>326</v>
      </c>
      <c r="F1020">
        <v>0</v>
      </c>
      <c r="G1020">
        <v>7</v>
      </c>
      <c r="H1020">
        <v>7</v>
      </c>
      <c r="I1020">
        <v>0</v>
      </c>
      <c r="J1020">
        <v>7</v>
      </c>
      <c r="K1020">
        <v>0</v>
      </c>
    </row>
    <row r="1021" spans="1:11" hidden="1" x14ac:dyDescent="0.35">
      <c r="A1021" t="s">
        <v>221</v>
      </c>
      <c r="B1021">
        <f t="shared" si="45"/>
        <v>2017</v>
      </c>
      <c r="C1021">
        <f t="shared" si="46"/>
        <v>11</v>
      </c>
      <c r="D1021">
        <f t="shared" si="47"/>
        <v>4</v>
      </c>
      <c r="E1021" t="s">
        <v>326</v>
      </c>
      <c r="F1021">
        <v>0</v>
      </c>
      <c r="G1021">
        <v>7</v>
      </c>
      <c r="H1021">
        <v>7</v>
      </c>
      <c r="I1021">
        <v>-0.69999999000000002</v>
      </c>
      <c r="J1021">
        <v>7</v>
      </c>
      <c r="K1021">
        <v>0</v>
      </c>
    </row>
    <row r="1022" spans="1:11" hidden="1" x14ac:dyDescent="0.35">
      <c r="A1022" t="s">
        <v>222</v>
      </c>
      <c r="B1022">
        <f t="shared" si="45"/>
        <v>2017</v>
      </c>
      <c r="C1022">
        <f t="shared" si="46"/>
        <v>12</v>
      </c>
      <c r="D1022">
        <f t="shared" si="47"/>
        <v>4</v>
      </c>
      <c r="E1022" t="s">
        <v>326</v>
      </c>
      <c r="F1022">
        <v>0</v>
      </c>
      <c r="G1022">
        <v>7.25</v>
      </c>
      <c r="H1022">
        <v>7.25</v>
      </c>
      <c r="I1022">
        <v>4</v>
      </c>
      <c r="J1022">
        <v>7.1634599999999997</v>
      </c>
      <c r="K1022">
        <v>8.6540000000000006E-2</v>
      </c>
    </row>
    <row r="1023" spans="1:11" hidden="1" x14ac:dyDescent="0.35">
      <c r="A1023" t="s">
        <v>223</v>
      </c>
      <c r="B1023">
        <f t="shared" si="45"/>
        <v>2018</v>
      </c>
      <c r="C1023">
        <f t="shared" si="46"/>
        <v>1</v>
      </c>
      <c r="D1023">
        <f t="shared" si="47"/>
        <v>1</v>
      </c>
      <c r="E1023" t="s">
        <v>326</v>
      </c>
      <c r="F1023">
        <v>0</v>
      </c>
      <c r="G1023">
        <v>7.25</v>
      </c>
      <c r="H1023">
        <v>7.25</v>
      </c>
      <c r="I1023">
        <v>0</v>
      </c>
      <c r="J1023">
        <v>7.25</v>
      </c>
      <c r="K1023">
        <v>0</v>
      </c>
    </row>
    <row r="1024" spans="1:11" hidden="1" x14ac:dyDescent="0.35">
      <c r="A1024" t="s">
        <v>224</v>
      </c>
      <c r="B1024">
        <f t="shared" si="45"/>
        <v>2018</v>
      </c>
      <c r="C1024">
        <f t="shared" si="46"/>
        <v>2</v>
      </c>
      <c r="D1024">
        <f t="shared" si="47"/>
        <v>1</v>
      </c>
      <c r="E1024" t="s">
        <v>326</v>
      </c>
      <c r="F1024">
        <v>0</v>
      </c>
      <c r="G1024">
        <v>7.5</v>
      </c>
      <c r="H1024">
        <v>7.5</v>
      </c>
      <c r="I1024">
        <v>14</v>
      </c>
      <c r="J1024">
        <v>7.4711499999999997</v>
      </c>
      <c r="K1024">
        <v>2.8850000000000001E-2</v>
      </c>
    </row>
    <row r="1025" spans="1:11" hidden="1" x14ac:dyDescent="0.35">
      <c r="A1025" t="s">
        <v>225</v>
      </c>
      <c r="B1025">
        <f t="shared" si="45"/>
        <v>2018</v>
      </c>
      <c r="C1025">
        <f t="shared" si="46"/>
        <v>3</v>
      </c>
      <c r="D1025">
        <f t="shared" si="47"/>
        <v>1</v>
      </c>
      <c r="E1025" t="s">
        <v>326</v>
      </c>
      <c r="F1025">
        <v>0</v>
      </c>
      <c r="G1025">
        <v>7.5</v>
      </c>
      <c r="H1025">
        <v>7.5</v>
      </c>
      <c r="I1025">
        <v>0</v>
      </c>
      <c r="J1025">
        <v>7.5</v>
      </c>
      <c r="K1025">
        <v>0</v>
      </c>
    </row>
    <row r="1026" spans="1:11" hidden="1" x14ac:dyDescent="0.35">
      <c r="A1026" t="s">
        <v>226</v>
      </c>
      <c r="B1026">
        <f t="shared" si="45"/>
        <v>2018</v>
      </c>
      <c r="C1026">
        <f t="shared" si="46"/>
        <v>4</v>
      </c>
      <c r="D1026">
        <f t="shared" si="47"/>
        <v>2</v>
      </c>
      <c r="E1026" t="s">
        <v>326</v>
      </c>
      <c r="F1026">
        <v>0</v>
      </c>
      <c r="G1026">
        <v>7.5</v>
      </c>
      <c r="H1026">
        <v>7.5</v>
      </c>
      <c r="I1026">
        <v>-0.5</v>
      </c>
      <c r="J1026">
        <v>7.5192300000000003</v>
      </c>
      <c r="K1026">
        <v>-1.9230000000000001E-2</v>
      </c>
    </row>
    <row r="1027" spans="1:11" hidden="1" x14ac:dyDescent="0.35">
      <c r="A1027" t="s">
        <v>227</v>
      </c>
      <c r="B1027">
        <f t="shared" ref="B1027:B1090" si="48">LEFT(A1027,4)*1</f>
        <v>2018</v>
      </c>
      <c r="C1027">
        <f t="shared" ref="C1027:C1090" si="49">MID(A1027,6,2)*1</f>
        <v>5</v>
      </c>
      <c r="D1027">
        <f t="shared" ref="D1027:D1090" si="50">ROUNDUP(C1027/3,0)</f>
        <v>2</v>
      </c>
      <c r="E1027" t="s">
        <v>326</v>
      </c>
      <c r="F1027">
        <v>0</v>
      </c>
      <c r="G1027">
        <v>7.5</v>
      </c>
      <c r="H1027">
        <v>7.5</v>
      </c>
      <c r="I1027">
        <v>-6.5</v>
      </c>
      <c r="J1027">
        <v>7.53261</v>
      </c>
      <c r="K1027">
        <v>-3.261E-2</v>
      </c>
    </row>
    <row r="1028" spans="1:11" hidden="1" x14ac:dyDescent="0.35">
      <c r="A1028" t="s">
        <v>228</v>
      </c>
      <c r="B1028">
        <f t="shared" si="48"/>
        <v>2018</v>
      </c>
      <c r="C1028">
        <f t="shared" si="49"/>
        <v>6</v>
      </c>
      <c r="D1028">
        <f t="shared" si="50"/>
        <v>2</v>
      </c>
      <c r="E1028" t="s">
        <v>326</v>
      </c>
      <c r="F1028">
        <v>0</v>
      </c>
      <c r="G1028">
        <v>7.75</v>
      </c>
      <c r="H1028">
        <v>7.75</v>
      </c>
      <c r="I1028">
        <v>6</v>
      </c>
      <c r="J1028">
        <v>7.7</v>
      </c>
      <c r="K1028">
        <v>0.05</v>
      </c>
    </row>
    <row r="1029" spans="1:11" hidden="1" x14ac:dyDescent="0.35">
      <c r="A1029" t="s">
        <v>229</v>
      </c>
      <c r="B1029">
        <f t="shared" si="48"/>
        <v>2018</v>
      </c>
      <c r="C1029">
        <f t="shared" si="49"/>
        <v>7</v>
      </c>
      <c r="D1029">
        <f t="shared" si="50"/>
        <v>3</v>
      </c>
      <c r="E1029" t="s">
        <v>326</v>
      </c>
      <c r="F1029">
        <v>0</v>
      </c>
      <c r="G1029">
        <v>7.75</v>
      </c>
      <c r="H1029">
        <v>7.75</v>
      </c>
      <c r="I1029">
        <v>0</v>
      </c>
      <c r="J1029">
        <v>7.75</v>
      </c>
      <c r="K1029">
        <v>0</v>
      </c>
    </row>
    <row r="1030" spans="1:11" hidden="1" x14ac:dyDescent="0.35">
      <c r="A1030" t="s">
        <v>230</v>
      </c>
      <c r="B1030">
        <f t="shared" si="48"/>
        <v>2018</v>
      </c>
      <c r="C1030">
        <f t="shared" si="49"/>
        <v>8</v>
      </c>
      <c r="D1030">
        <f t="shared" si="50"/>
        <v>3</v>
      </c>
      <c r="E1030" t="s">
        <v>326</v>
      </c>
      <c r="F1030">
        <v>0</v>
      </c>
      <c r="G1030">
        <v>7.75</v>
      </c>
      <c r="H1030">
        <v>7.75</v>
      </c>
      <c r="I1030">
        <v>-11</v>
      </c>
      <c r="J1030">
        <v>7.7980799999999997</v>
      </c>
      <c r="K1030">
        <v>-4.8079999999999998E-2</v>
      </c>
    </row>
    <row r="1031" spans="1:11" hidden="1" x14ac:dyDescent="0.35">
      <c r="A1031" t="s">
        <v>231</v>
      </c>
      <c r="B1031">
        <f t="shared" si="48"/>
        <v>2018</v>
      </c>
      <c r="C1031">
        <f t="shared" si="49"/>
        <v>9</v>
      </c>
      <c r="D1031">
        <f t="shared" si="50"/>
        <v>3</v>
      </c>
      <c r="E1031" t="s">
        <v>326</v>
      </c>
      <c r="F1031">
        <v>0</v>
      </c>
      <c r="G1031">
        <v>7.75</v>
      </c>
      <c r="H1031">
        <v>7.75</v>
      </c>
      <c r="I1031">
        <v>0</v>
      </c>
      <c r="J1031">
        <v>7.75</v>
      </c>
      <c r="K1031">
        <v>0</v>
      </c>
    </row>
    <row r="1032" spans="1:11" hidden="1" x14ac:dyDescent="0.35">
      <c r="A1032" t="s">
        <v>232</v>
      </c>
      <c r="B1032">
        <f t="shared" si="48"/>
        <v>2018</v>
      </c>
      <c r="C1032">
        <f t="shared" si="49"/>
        <v>10</v>
      </c>
      <c r="D1032">
        <f t="shared" si="50"/>
        <v>4</v>
      </c>
      <c r="E1032" t="s">
        <v>326</v>
      </c>
      <c r="F1032">
        <v>0</v>
      </c>
      <c r="G1032">
        <v>7.75</v>
      </c>
      <c r="H1032">
        <v>7.75</v>
      </c>
      <c r="I1032">
        <v>8.5</v>
      </c>
      <c r="J1032">
        <v>7.7678599999999998</v>
      </c>
      <c r="K1032">
        <v>-1.7860000000000001E-2</v>
      </c>
    </row>
    <row r="1033" spans="1:11" hidden="1" x14ac:dyDescent="0.35">
      <c r="A1033" t="s">
        <v>233</v>
      </c>
      <c r="B1033">
        <f t="shared" si="48"/>
        <v>2018</v>
      </c>
      <c r="C1033">
        <f t="shared" si="49"/>
        <v>11</v>
      </c>
      <c r="D1033">
        <f t="shared" si="50"/>
        <v>4</v>
      </c>
      <c r="E1033" t="s">
        <v>326</v>
      </c>
      <c r="F1033">
        <v>0</v>
      </c>
      <c r="G1033">
        <v>8</v>
      </c>
      <c r="H1033">
        <v>8</v>
      </c>
      <c r="I1033">
        <v>-6</v>
      </c>
      <c r="J1033">
        <v>7.9444400000000002</v>
      </c>
      <c r="K1033">
        <v>5.5559999999999998E-2</v>
      </c>
    </row>
    <row r="1034" spans="1:11" hidden="1" x14ac:dyDescent="0.35">
      <c r="A1034" t="s">
        <v>234</v>
      </c>
      <c r="B1034">
        <f t="shared" si="48"/>
        <v>2018</v>
      </c>
      <c r="C1034">
        <f t="shared" si="49"/>
        <v>12</v>
      </c>
      <c r="D1034">
        <f t="shared" si="50"/>
        <v>4</v>
      </c>
      <c r="E1034" t="s">
        <v>326</v>
      </c>
      <c r="F1034">
        <v>0</v>
      </c>
      <c r="G1034">
        <v>8.25</v>
      </c>
      <c r="H1034">
        <v>8.25</v>
      </c>
      <c r="I1034">
        <v>3</v>
      </c>
      <c r="J1034">
        <v>8.18</v>
      </c>
      <c r="K1034">
        <v>7.0000000000000007E-2</v>
      </c>
    </row>
    <row r="1035" spans="1:11" hidden="1" x14ac:dyDescent="0.35">
      <c r="A1035" t="s">
        <v>235</v>
      </c>
      <c r="B1035">
        <f t="shared" si="48"/>
        <v>2019</v>
      </c>
      <c r="C1035">
        <f t="shared" si="49"/>
        <v>1</v>
      </c>
      <c r="D1035">
        <f t="shared" si="50"/>
        <v>1</v>
      </c>
      <c r="E1035" t="s">
        <v>326</v>
      </c>
      <c r="F1035">
        <v>0</v>
      </c>
      <c r="G1035">
        <v>8.25</v>
      </c>
      <c r="H1035">
        <v>8.25</v>
      </c>
      <c r="I1035">
        <v>0</v>
      </c>
      <c r="J1035">
        <v>8.25</v>
      </c>
      <c r="K1035">
        <v>0</v>
      </c>
    </row>
    <row r="1036" spans="1:11" hidden="1" x14ac:dyDescent="0.35">
      <c r="A1036" t="s">
        <v>236</v>
      </c>
      <c r="B1036">
        <f t="shared" si="48"/>
        <v>2019</v>
      </c>
      <c r="C1036">
        <f t="shared" si="49"/>
        <v>2</v>
      </c>
      <c r="D1036">
        <f t="shared" si="50"/>
        <v>1</v>
      </c>
      <c r="E1036" t="s">
        <v>326</v>
      </c>
      <c r="F1036">
        <v>0</v>
      </c>
      <c r="G1036">
        <v>8.25</v>
      </c>
      <c r="H1036">
        <v>8.25</v>
      </c>
      <c r="I1036">
        <v>0</v>
      </c>
      <c r="J1036">
        <v>8.25</v>
      </c>
      <c r="K1036">
        <v>0</v>
      </c>
    </row>
    <row r="1037" spans="1:11" hidden="1" x14ac:dyDescent="0.35">
      <c r="A1037" t="s">
        <v>237</v>
      </c>
      <c r="B1037">
        <f t="shared" si="48"/>
        <v>2019</v>
      </c>
      <c r="C1037">
        <f t="shared" si="49"/>
        <v>3</v>
      </c>
      <c r="D1037">
        <f t="shared" si="50"/>
        <v>1</v>
      </c>
      <c r="E1037" t="s">
        <v>326</v>
      </c>
      <c r="F1037">
        <v>0</v>
      </c>
      <c r="G1037">
        <v>8.25</v>
      </c>
      <c r="H1037">
        <v>8.25</v>
      </c>
      <c r="I1037">
        <v>5.5</v>
      </c>
      <c r="J1037">
        <v>8.25</v>
      </c>
      <c r="K1037">
        <v>0</v>
      </c>
    </row>
    <row r="1038" spans="1:11" hidden="1" x14ac:dyDescent="0.35">
      <c r="A1038" t="s">
        <v>238</v>
      </c>
      <c r="B1038">
        <f t="shared" si="48"/>
        <v>2019</v>
      </c>
      <c r="C1038">
        <f t="shared" si="49"/>
        <v>4</v>
      </c>
      <c r="D1038">
        <f t="shared" si="50"/>
        <v>2</v>
      </c>
      <c r="E1038" t="s">
        <v>326</v>
      </c>
      <c r="F1038">
        <v>0</v>
      </c>
      <c r="G1038">
        <v>8.25</v>
      </c>
      <c r="H1038">
        <v>8.25</v>
      </c>
      <c r="I1038">
        <v>0</v>
      </c>
      <c r="J1038">
        <v>8.25</v>
      </c>
      <c r="K1038">
        <v>0</v>
      </c>
    </row>
    <row r="1039" spans="1:11" hidden="1" x14ac:dyDescent="0.35">
      <c r="A1039" t="s">
        <v>239</v>
      </c>
      <c r="B1039">
        <f t="shared" si="48"/>
        <v>2019</v>
      </c>
      <c r="C1039">
        <f t="shared" si="49"/>
        <v>5</v>
      </c>
      <c r="D1039">
        <f t="shared" si="50"/>
        <v>2</v>
      </c>
      <c r="E1039" t="s">
        <v>326</v>
      </c>
      <c r="F1039">
        <v>0</v>
      </c>
      <c r="G1039">
        <v>8.25</v>
      </c>
      <c r="H1039">
        <v>8.25</v>
      </c>
      <c r="I1039">
        <v>4.5</v>
      </c>
      <c r="J1039">
        <v>8.25</v>
      </c>
      <c r="K1039">
        <v>0</v>
      </c>
    </row>
    <row r="1040" spans="1:11" hidden="1" x14ac:dyDescent="0.35">
      <c r="A1040" t="s">
        <v>240</v>
      </c>
      <c r="B1040">
        <f t="shared" si="48"/>
        <v>2019</v>
      </c>
      <c r="C1040">
        <f t="shared" si="49"/>
        <v>6</v>
      </c>
      <c r="D1040">
        <f t="shared" si="50"/>
        <v>2</v>
      </c>
      <c r="E1040" t="s">
        <v>326</v>
      </c>
      <c r="F1040">
        <v>0</v>
      </c>
      <c r="G1040">
        <v>8.25</v>
      </c>
      <c r="H1040">
        <v>8.25</v>
      </c>
      <c r="I1040">
        <v>-10.5</v>
      </c>
      <c r="J1040">
        <v>8.25</v>
      </c>
      <c r="K1040">
        <v>0</v>
      </c>
    </row>
    <row r="1041" spans="1:11" hidden="1" x14ac:dyDescent="0.35">
      <c r="A1041" t="s">
        <v>241</v>
      </c>
      <c r="B1041">
        <f t="shared" si="48"/>
        <v>2019</v>
      </c>
      <c r="C1041">
        <f t="shared" si="49"/>
        <v>7</v>
      </c>
      <c r="D1041">
        <f t="shared" si="50"/>
        <v>3</v>
      </c>
      <c r="E1041" t="s">
        <v>326</v>
      </c>
      <c r="F1041">
        <v>0</v>
      </c>
      <c r="G1041">
        <v>8.25</v>
      </c>
      <c r="H1041">
        <v>8.25</v>
      </c>
      <c r="I1041">
        <v>0</v>
      </c>
      <c r="J1041">
        <v>8.25</v>
      </c>
      <c r="K1041">
        <v>0</v>
      </c>
    </row>
    <row r="1042" spans="1:11" hidden="1" x14ac:dyDescent="0.35">
      <c r="A1042" t="s">
        <v>242</v>
      </c>
      <c r="B1042">
        <f t="shared" si="48"/>
        <v>2019</v>
      </c>
      <c r="C1042">
        <f t="shared" si="49"/>
        <v>8</v>
      </c>
      <c r="D1042">
        <f t="shared" si="50"/>
        <v>3</v>
      </c>
      <c r="E1042" t="s">
        <v>326</v>
      </c>
      <c r="F1042">
        <v>-0.25</v>
      </c>
      <c r="G1042">
        <v>8.25</v>
      </c>
      <c r="H1042">
        <v>8</v>
      </c>
      <c r="I1042">
        <v>-18.5</v>
      </c>
      <c r="J1042">
        <v>8.1209699999999998</v>
      </c>
      <c r="K1042">
        <v>-0.12096999999999999</v>
      </c>
    </row>
    <row r="1043" spans="1:11" hidden="1" x14ac:dyDescent="0.35">
      <c r="A1043" t="s">
        <v>243</v>
      </c>
      <c r="B1043">
        <f t="shared" si="48"/>
        <v>2019</v>
      </c>
      <c r="C1043">
        <f t="shared" si="49"/>
        <v>9</v>
      </c>
      <c r="D1043">
        <f t="shared" si="50"/>
        <v>3</v>
      </c>
      <c r="E1043" t="s">
        <v>326</v>
      </c>
      <c r="F1043">
        <v>0</v>
      </c>
      <c r="G1043">
        <v>7.75</v>
      </c>
      <c r="H1043">
        <v>7.75</v>
      </c>
      <c r="I1043">
        <v>-14</v>
      </c>
      <c r="J1043">
        <v>7.74</v>
      </c>
      <c r="K1043">
        <v>0.01</v>
      </c>
    </row>
    <row r="1044" spans="1:11" hidden="1" x14ac:dyDescent="0.35">
      <c r="A1044" t="s">
        <v>244</v>
      </c>
      <c r="B1044">
        <f t="shared" si="48"/>
        <v>2019</v>
      </c>
      <c r="C1044">
        <f t="shared" si="49"/>
        <v>10</v>
      </c>
      <c r="D1044">
        <f t="shared" si="50"/>
        <v>4</v>
      </c>
      <c r="E1044" t="s">
        <v>326</v>
      </c>
      <c r="F1044">
        <v>0</v>
      </c>
      <c r="G1044">
        <v>7.75</v>
      </c>
      <c r="H1044">
        <v>7.75</v>
      </c>
      <c r="I1044">
        <v>0</v>
      </c>
      <c r="J1044">
        <v>7.75</v>
      </c>
      <c r="K1044">
        <v>0</v>
      </c>
    </row>
    <row r="1045" spans="1:11" hidden="1" x14ac:dyDescent="0.35">
      <c r="A1045" t="s">
        <v>245</v>
      </c>
      <c r="B1045">
        <f t="shared" si="48"/>
        <v>2019</v>
      </c>
      <c r="C1045">
        <f t="shared" si="49"/>
        <v>11</v>
      </c>
      <c r="D1045">
        <f t="shared" si="50"/>
        <v>4</v>
      </c>
      <c r="E1045" t="s">
        <v>326</v>
      </c>
      <c r="F1045">
        <v>0</v>
      </c>
      <c r="G1045">
        <v>7.5</v>
      </c>
      <c r="H1045">
        <v>7.5</v>
      </c>
      <c r="I1045">
        <v>5.1300001000000002</v>
      </c>
      <c r="J1045">
        <v>7.4134599999999997</v>
      </c>
      <c r="K1045">
        <v>8.6540000000000006E-2</v>
      </c>
    </row>
    <row r="1046" spans="1:11" hidden="1" x14ac:dyDescent="0.35">
      <c r="A1046" t="s">
        <v>246</v>
      </c>
      <c r="B1046">
        <f t="shared" si="48"/>
        <v>2019</v>
      </c>
      <c r="C1046">
        <f t="shared" si="49"/>
        <v>12</v>
      </c>
      <c r="D1046">
        <f t="shared" si="50"/>
        <v>4</v>
      </c>
      <c r="E1046" t="s">
        <v>326</v>
      </c>
      <c r="F1046">
        <v>0</v>
      </c>
      <c r="G1046">
        <v>7.25</v>
      </c>
      <c r="H1046">
        <v>7.25</v>
      </c>
      <c r="I1046">
        <v>12</v>
      </c>
      <c r="J1046">
        <v>7.2391300000000003</v>
      </c>
      <c r="K1046">
        <v>1.0869999999999999E-2</v>
      </c>
    </row>
    <row r="1047" spans="1:11" hidden="1" x14ac:dyDescent="0.35">
      <c r="A1047" t="s">
        <v>247</v>
      </c>
      <c r="B1047">
        <f t="shared" si="48"/>
        <v>2020</v>
      </c>
      <c r="C1047">
        <f t="shared" si="49"/>
        <v>1</v>
      </c>
      <c r="D1047">
        <f t="shared" si="50"/>
        <v>1</v>
      </c>
      <c r="E1047" t="s">
        <v>326</v>
      </c>
      <c r="F1047">
        <v>0</v>
      </c>
      <c r="G1047">
        <v>7.25</v>
      </c>
      <c r="H1047">
        <v>7.25</v>
      </c>
      <c r="I1047">
        <v>0</v>
      </c>
      <c r="J1047">
        <v>7.25</v>
      </c>
      <c r="K1047">
        <v>0</v>
      </c>
    </row>
    <row r="1048" spans="1:11" hidden="1" x14ac:dyDescent="0.35">
      <c r="A1048" t="s">
        <v>248</v>
      </c>
      <c r="B1048">
        <f t="shared" si="48"/>
        <v>2020</v>
      </c>
      <c r="C1048">
        <f t="shared" si="49"/>
        <v>2</v>
      </c>
      <c r="D1048">
        <f t="shared" si="50"/>
        <v>1</v>
      </c>
      <c r="E1048" t="s">
        <v>326</v>
      </c>
      <c r="F1048">
        <v>0</v>
      </c>
      <c r="G1048">
        <v>7</v>
      </c>
      <c r="H1048">
        <v>7</v>
      </c>
      <c r="I1048">
        <v>1</v>
      </c>
      <c r="J1048">
        <v>7</v>
      </c>
      <c r="K1048">
        <v>0</v>
      </c>
    </row>
    <row r="1049" spans="1:11" hidden="1" x14ac:dyDescent="0.35">
      <c r="A1049" t="s">
        <v>249</v>
      </c>
      <c r="B1049">
        <f t="shared" si="48"/>
        <v>2020</v>
      </c>
      <c r="C1049">
        <f t="shared" si="49"/>
        <v>3</v>
      </c>
      <c r="D1049">
        <f t="shared" si="50"/>
        <v>1</v>
      </c>
      <c r="E1049" t="s">
        <v>326</v>
      </c>
      <c r="F1049">
        <v>0</v>
      </c>
      <c r="G1049">
        <v>6.5</v>
      </c>
      <c r="H1049">
        <v>6.5</v>
      </c>
      <c r="I1049">
        <v>-46</v>
      </c>
      <c r="J1049">
        <v>6.5</v>
      </c>
      <c r="K1049">
        <v>0</v>
      </c>
    </row>
    <row r="1050" spans="1:11" hidden="1" x14ac:dyDescent="0.35">
      <c r="A1050" t="s">
        <v>250</v>
      </c>
      <c r="B1050">
        <f t="shared" si="48"/>
        <v>2020</v>
      </c>
      <c r="C1050">
        <f t="shared" si="49"/>
        <v>4</v>
      </c>
      <c r="D1050">
        <f t="shared" si="50"/>
        <v>2</v>
      </c>
      <c r="E1050" t="s">
        <v>326</v>
      </c>
      <c r="F1050">
        <v>0</v>
      </c>
      <c r="G1050">
        <v>6</v>
      </c>
      <c r="H1050">
        <v>6</v>
      </c>
      <c r="I1050">
        <v>-25</v>
      </c>
      <c r="J1050">
        <v>6</v>
      </c>
      <c r="K1050">
        <v>0</v>
      </c>
    </row>
    <row r="1051" spans="1:11" hidden="1" x14ac:dyDescent="0.35">
      <c r="A1051" t="s">
        <v>251</v>
      </c>
      <c r="B1051">
        <f t="shared" si="48"/>
        <v>2020</v>
      </c>
      <c r="C1051">
        <f t="shared" si="49"/>
        <v>5</v>
      </c>
      <c r="D1051">
        <f t="shared" si="50"/>
        <v>2</v>
      </c>
      <c r="E1051" t="s">
        <v>326</v>
      </c>
      <c r="F1051">
        <v>0</v>
      </c>
      <c r="G1051">
        <v>5.5</v>
      </c>
      <c r="H1051">
        <v>5.5</v>
      </c>
      <c r="I1051">
        <v>2</v>
      </c>
      <c r="J1051">
        <v>5.46591</v>
      </c>
      <c r="K1051">
        <v>3.4090000000000002E-2</v>
      </c>
    </row>
    <row r="1052" spans="1:11" hidden="1" x14ac:dyDescent="0.35">
      <c r="A1052" t="s">
        <v>252</v>
      </c>
      <c r="B1052">
        <f t="shared" si="48"/>
        <v>2020</v>
      </c>
      <c r="C1052">
        <f t="shared" si="49"/>
        <v>6</v>
      </c>
      <c r="D1052">
        <f t="shared" si="50"/>
        <v>2</v>
      </c>
      <c r="E1052" t="s">
        <v>326</v>
      </c>
      <c r="F1052">
        <v>0</v>
      </c>
      <c r="G1052">
        <v>5</v>
      </c>
      <c r="H1052">
        <v>5</v>
      </c>
      <c r="I1052">
        <v>-5.5</v>
      </c>
      <c r="J1052">
        <v>5</v>
      </c>
      <c r="K1052">
        <v>0</v>
      </c>
    </row>
    <row r="1053" spans="1:11" hidden="1" x14ac:dyDescent="0.35">
      <c r="A1053" t="s">
        <v>253</v>
      </c>
      <c r="B1053">
        <f t="shared" si="48"/>
        <v>2020</v>
      </c>
      <c r="C1053">
        <f t="shared" si="49"/>
        <v>7</v>
      </c>
      <c r="D1053">
        <f t="shared" si="50"/>
        <v>3</v>
      </c>
      <c r="E1053" t="s">
        <v>326</v>
      </c>
      <c r="F1053">
        <v>0</v>
      </c>
      <c r="G1053">
        <v>5</v>
      </c>
      <c r="H1053">
        <v>5</v>
      </c>
      <c r="I1053">
        <v>0</v>
      </c>
      <c r="J1053">
        <v>5</v>
      </c>
      <c r="K1053">
        <v>0</v>
      </c>
    </row>
    <row r="1054" spans="1:11" hidden="1" x14ac:dyDescent="0.35">
      <c r="A1054" t="s">
        <v>254</v>
      </c>
      <c r="B1054">
        <f t="shared" si="48"/>
        <v>2020</v>
      </c>
      <c r="C1054">
        <f t="shared" si="49"/>
        <v>8</v>
      </c>
      <c r="D1054">
        <f t="shared" si="50"/>
        <v>3</v>
      </c>
      <c r="E1054" t="s">
        <v>326</v>
      </c>
      <c r="F1054">
        <v>0</v>
      </c>
      <c r="G1054">
        <v>4.5</v>
      </c>
      <c r="H1054">
        <v>4.5</v>
      </c>
      <c r="I1054">
        <v>3</v>
      </c>
      <c r="J1054">
        <v>4.5208300000000001</v>
      </c>
      <c r="K1054">
        <v>-2.0830000000000001E-2</v>
      </c>
    </row>
    <row r="1055" spans="1:11" hidden="1" x14ac:dyDescent="0.35">
      <c r="A1055" t="s">
        <v>255</v>
      </c>
      <c r="B1055">
        <f t="shared" si="48"/>
        <v>2020</v>
      </c>
      <c r="C1055">
        <f t="shared" si="49"/>
        <v>9</v>
      </c>
      <c r="D1055">
        <f t="shared" si="50"/>
        <v>3</v>
      </c>
      <c r="E1055" t="s">
        <v>326</v>
      </c>
      <c r="F1055">
        <v>0</v>
      </c>
      <c r="G1055">
        <v>4.25</v>
      </c>
      <c r="H1055">
        <v>4.25</v>
      </c>
      <c r="I1055">
        <v>-5</v>
      </c>
      <c r="J1055">
        <v>4.28261</v>
      </c>
      <c r="K1055">
        <v>-3.261E-2</v>
      </c>
    </row>
    <row r="1056" spans="1:11" hidden="1" x14ac:dyDescent="0.35">
      <c r="A1056" t="s">
        <v>256</v>
      </c>
      <c r="B1056">
        <f t="shared" si="48"/>
        <v>2020</v>
      </c>
      <c r="C1056">
        <f t="shared" si="49"/>
        <v>10</v>
      </c>
      <c r="D1056">
        <f t="shared" si="50"/>
        <v>4</v>
      </c>
      <c r="E1056" t="s">
        <v>326</v>
      </c>
      <c r="F1056">
        <v>0</v>
      </c>
      <c r="G1056">
        <v>4.25</v>
      </c>
      <c r="H1056">
        <v>4.25</v>
      </c>
      <c r="I1056">
        <v>0</v>
      </c>
      <c r="J1056">
        <v>4.25</v>
      </c>
      <c r="K1056">
        <v>0</v>
      </c>
    </row>
    <row r="1057" spans="1:11" hidden="1" x14ac:dyDescent="0.35">
      <c r="A1057" t="s">
        <v>257</v>
      </c>
      <c r="B1057">
        <f t="shared" si="48"/>
        <v>2020</v>
      </c>
      <c r="C1057">
        <f t="shared" si="49"/>
        <v>11</v>
      </c>
      <c r="D1057">
        <f t="shared" si="50"/>
        <v>4</v>
      </c>
      <c r="E1057" t="s">
        <v>326</v>
      </c>
      <c r="F1057">
        <v>0.25</v>
      </c>
      <c r="G1057">
        <v>4</v>
      </c>
      <c r="H1057">
        <v>4.25</v>
      </c>
      <c r="I1057">
        <v>11.5</v>
      </c>
      <c r="J1057">
        <v>4.0681799999999999</v>
      </c>
      <c r="K1057">
        <v>0.18182000000000001</v>
      </c>
    </row>
    <row r="1058" spans="1:11" hidden="1" x14ac:dyDescent="0.35">
      <c r="A1058" t="s">
        <v>258</v>
      </c>
      <c r="B1058">
        <f t="shared" si="48"/>
        <v>2020</v>
      </c>
      <c r="C1058">
        <f t="shared" si="49"/>
        <v>12</v>
      </c>
      <c r="D1058">
        <f t="shared" si="50"/>
        <v>4</v>
      </c>
      <c r="E1058" t="s">
        <v>326</v>
      </c>
      <c r="F1058">
        <v>0</v>
      </c>
      <c r="G1058">
        <v>4.25</v>
      </c>
      <c r="H1058">
        <v>4.25</v>
      </c>
      <c r="I1058">
        <v>-4</v>
      </c>
      <c r="J1058">
        <v>4.2065200000000003</v>
      </c>
      <c r="K1058">
        <v>4.3479999999999998E-2</v>
      </c>
    </row>
    <row r="1059" spans="1:11" hidden="1" x14ac:dyDescent="0.35">
      <c r="A1059" t="s">
        <v>259</v>
      </c>
      <c r="B1059">
        <f t="shared" si="48"/>
        <v>2021</v>
      </c>
      <c r="C1059">
        <f t="shared" si="49"/>
        <v>1</v>
      </c>
      <c r="D1059">
        <f t="shared" si="50"/>
        <v>1</v>
      </c>
      <c r="E1059" t="s">
        <v>326</v>
      </c>
      <c r="F1059">
        <v>0</v>
      </c>
      <c r="G1059">
        <v>4.25</v>
      </c>
      <c r="H1059">
        <v>4.25</v>
      </c>
      <c r="I1059">
        <v>0</v>
      </c>
      <c r="J1059">
        <v>4.25</v>
      </c>
      <c r="K1059">
        <v>0</v>
      </c>
    </row>
    <row r="1060" spans="1:11" hidden="1" x14ac:dyDescent="0.35">
      <c r="A1060" t="s">
        <v>260</v>
      </c>
      <c r="B1060">
        <f t="shared" si="48"/>
        <v>2021</v>
      </c>
      <c r="C1060">
        <f t="shared" si="49"/>
        <v>2</v>
      </c>
      <c r="D1060">
        <f t="shared" si="50"/>
        <v>1</v>
      </c>
      <c r="E1060" t="s">
        <v>326</v>
      </c>
      <c r="F1060">
        <v>0</v>
      </c>
      <c r="G1060">
        <v>4</v>
      </c>
      <c r="H1060">
        <v>4</v>
      </c>
      <c r="I1060">
        <v>-12</v>
      </c>
      <c r="J1060">
        <v>4.0681799999999999</v>
      </c>
      <c r="K1060">
        <v>-6.8180000000000004E-2</v>
      </c>
    </row>
    <row r="1061" spans="1:11" hidden="1" x14ac:dyDescent="0.35">
      <c r="A1061" t="s">
        <v>261</v>
      </c>
      <c r="B1061">
        <f t="shared" si="48"/>
        <v>2021</v>
      </c>
      <c r="C1061">
        <f t="shared" si="49"/>
        <v>3</v>
      </c>
      <c r="D1061">
        <f t="shared" si="50"/>
        <v>1</v>
      </c>
      <c r="E1061" t="s">
        <v>326</v>
      </c>
      <c r="F1061">
        <v>0</v>
      </c>
      <c r="G1061">
        <v>4</v>
      </c>
      <c r="H1061">
        <v>4</v>
      </c>
      <c r="I1061">
        <v>-6</v>
      </c>
      <c r="J1061">
        <v>3.9270800000000001</v>
      </c>
      <c r="K1061">
        <v>7.2919999999999999E-2</v>
      </c>
    </row>
    <row r="1062" spans="1:11" hidden="1" x14ac:dyDescent="0.35">
      <c r="A1062" t="s">
        <v>262</v>
      </c>
      <c r="B1062">
        <f t="shared" si="48"/>
        <v>2021</v>
      </c>
      <c r="C1062">
        <f t="shared" si="49"/>
        <v>4</v>
      </c>
      <c r="D1062">
        <f t="shared" si="50"/>
        <v>2</v>
      </c>
      <c r="E1062" t="s">
        <v>326</v>
      </c>
      <c r="F1062">
        <v>0</v>
      </c>
      <c r="G1062">
        <v>4</v>
      </c>
      <c r="H1062">
        <v>4</v>
      </c>
      <c r="I1062">
        <v>0</v>
      </c>
      <c r="J1062">
        <v>4</v>
      </c>
      <c r="K1062">
        <v>0</v>
      </c>
    </row>
    <row r="1063" spans="1:11" hidden="1" x14ac:dyDescent="0.35">
      <c r="A1063" t="s">
        <v>263</v>
      </c>
      <c r="B1063">
        <f t="shared" si="48"/>
        <v>2021</v>
      </c>
      <c r="C1063">
        <f t="shared" si="49"/>
        <v>5</v>
      </c>
      <c r="D1063">
        <f t="shared" si="50"/>
        <v>2</v>
      </c>
      <c r="E1063" t="s">
        <v>326</v>
      </c>
      <c r="F1063">
        <v>0</v>
      </c>
      <c r="G1063">
        <v>4</v>
      </c>
      <c r="H1063">
        <v>4</v>
      </c>
      <c r="I1063">
        <v>-3</v>
      </c>
      <c r="J1063">
        <v>4</v>
      </c>
      <c r="K1063">
        <v>0</v>
      </c>
    </row>
    <row r="1064" spans="1:11" hidden="1" x14ac:dyDescent="0.35">
      <c r="A1064" t="s">
        <v>264</v>
      </c>
      <c r="B1064">
        <f t="shared" si="48"/>
        <v>2021</v>
      </c>
      <c r="C1064">
        <f t="shared" si="49"/>
        <v>6</v>
      </c>
      <c r="D1064">
        <f t="shared" si="50"/>
        <v>2</v>
      </c>
      <c r="E1064" t="s">
        <v>326</v>
      </c>
      <c r="F1064">
        <v>0.25</v>
      </c>
      <c r="G1064">
        <v>4</v>
      </c>
      <c r="H1064">
        <v>4.25</v>
      </c>
      <c r="I1064">
        <v>51</v>
      </c>
      <c r="J1064">
        <v>4</v>
      </c>
      <c r="K1064">
        <v>0.25</v>
      </c>
    </row>
    <row r="1065" spans="1:11" hidden="1" x14ac:dyDescent="0.35">
      <c r="A1065" t="s">
        <v>265</v>
      </c>
      <c r="B1065">
        <f t="shared" si="48"/>
        <v>2021</v>
      </c>
      <c r="C1065">
        <f t="shared" si="49"/>
        <v>7</v>
      </c>
      <c r="D1065">
        <f t="shared" si="50"/>
        <v>3</v>
      </c>
      <c r="E1065" t="s">
        <v>326</v>
      </c>
      <c r="F1065">
        <v>0</v>
      </c>
      <c r="G1065">
        <v>4.25</v>
      </c>
      <c r="H1065">
        <v>4.25</v>
      </c>
      <c r="I1065">
        <v>0</v>
      </c>
      <c r="J1065">
        <v>4.25</v>
      </c>
      <c r="K1065">
        <v>0</v>
      </c>
    </row>
    <row r="1066" spans="1:11" hidden="1" x14ac:dyDescent="0.35">
      <c r="A1066" t="s">
        <v>266</v>
      </c>
      <c r="B1066">
        <f t="shared" si="48"/>
        <v>2021</v>
      </c>
      <c r="C1066">
        <f t="shared" si="49"/>
        <v>8</v>
      </c>
      <c r="D1066">
        <f t="shared" si="50"/>
        <v>3</v>
      </c>
      <c r="E1066" t="s">
        <v>326</v>
      </c>
      <c r="F1066">
        <v>0</v>
      </c>
      <c r="G1066">
        <v>4.5</v>
      </c>
      <c r="H1066">
        <v>4.5</v>
      </c>
      <c r="I1066">
        <v>-6.5</v>
      </c>
      <c r="J1066">
        <v>4.5</v>
      </c>
      <c r="K1066">
        <v>0</v>
      </c>
    </row>
    <row r="1067" spans="1:11" hidden="1" x14ac:dyDescent="0.35">
      <c r="A1067" t="s">
        <v>267</v>
      </c>
      <c r="B1067">
        <f t="shared" si="48"/>
        <v>2021</v>
      </c>
      <c r="C1067">
        <f t="shared" si="49"/>
        <v>9</v>
      </c>
      <c r="D1067">
        <f t="shared" si="50"/>
        <v>3</v>
      </c>
      <c r="E1067" t="s">
        <v>326</v>
      </c>
      <c r="F1067">
        <v>0</v>
      </c>
      <c r="G1067">
        <v>4.75</v>
      </c>
      <c r="H1067">
        <v>4.75</v>
      </c>
      <c r="I1067">
        <v>-4.6999997999999996</v>
      </c>
      <c r="J1067">
        <v>4.74038</v>
      </c>
      <c r="K1067">
        <v>9.6200000000000001E-3</v>
      </c>
    </row>
    <row r="1068" spans="1:11" hidden="1" x14ac:dyDescent="0.35">
      <c r="A1068" t="s">
        <v>268</v>
      </c>
      <c r="B1068">
        <f t="shared" si="48"/>
        <v>2021</v>
      </c>
      <c r="C1068">
        <f t="shared" si="49"/>
        <v>10</v>
      </c>
      <c r="D1068">
        <f t="shared" si="50"/>
        <v>4</v>
      </c>
      <c r="E1068" t="s">
        <v>326</v>
      </c>
      <c r="F1068">
        <v>0</v>
      </c>
      <c r="G1068">
        <v>4.75</v>
      </c>
      <c r="H1068">
        <v>4.75</v>
      </c>
      <c r="I1068">
        <v>0</v>
      </c>
      <c r="J1068">
        <v>4.75</v>
      </c>
      <c r="K1068">
        <v>0</v>
      </c>
    </row>
    <row r="1069" spans="1:11" hidden="1" x14ac:dyDescent="0.35">
      <c r="A1069" t="s">
        <v>269</v>
      </c>
      <c r="B1069">
        <f t="shared" si="48"/>
        <v>2021</v>
      </c>
      <c r="C1069">
        <f t="shared" si="49"/>
        <v>11</v>
      </c>
      <c r="D1069">
        <f t="shared" si="50"/>
        <v>4</v>
      </c>
      <c r="E1069" t="s">
        <v>326</v>
      </c>
      <c r="F1069">
        <v>0</v>
      </c>
      <c r="G1069">
        <v>5</v>
      </c>
      <c r="H1069">
        <v>5</v>
      </c>
      <c r="I1069">
        <v>0</v>
      </c>
      <c r="J1069">
        <v>5.0769200000000003</v>
      </c>
      <c r="K1069">
        <v>-7.6920000000000002E-2</v>
      </c>
    </row>
    <row r="1070" spans="1:11" hidden="1" x14ac:dyDescent="0.35">
      <c r="A1070" t="s">
        <v>270</v>
      </c>
      <c r="B1070">
        <f t="shared" si="48"/>
        <v>2021</v>
      </c>
      <c r="C1070">
        <f t="shared" si="49"/>
        <v>12</v>
      </c>
      <c r="D1070">
        <f t="shared" si="50"/>
        <v>4</v>
      </c>
      <c r="E1070" t="s">
        <v>326</v>
      </c>
      <c r="F1070">
        <v>0.25</v>
      </c>
      <c r="G1070">
        <v>5.25</v>
      </c>
      <c r="H1070">
        <v>5.5</v>
      </c>
      <c r="I1070">
        <v>18</v>
      </c>
      <c r="J1070">
        <v>5.3269200000000003</v>
      </c>
      <c r="K1070">
        <v>0.17308000000000001</v>
      </c>
    </row>
    <row r="1071" spans="1:11" hidden="1" x14ac:dyDescent="0.35">
      <c r="A1071" t="s">
        <v>271</v>
      </c>
      <c r="B1071">
        <f t="shared" si="48"/>
        <v>2022</v>
      </c>
      <c r="C1071">
        <f t="shared" si="49"/>
        <v>1</v>
      </c>
      <c r="D1071">
        <f t="shared" si="50"/>
        <v>1</v>
      </c>
      <c r="E1071" t="s">
        <v>326</v>
      </c>
      <c r="F1071">
        <v>0</v>
      </c>
      <c r="G1071">
        <v>5.5</v>
      </c>
      <c r="H1071">
        <v>5.5</v>
      </c>
      <c r="I1071">
        <v>0</v>
      </c>
      <c r="J1071">
        <v>5.5</v>
      </c>
      <c r="K1071">
        <v>0</v>
      </c>
    </row>
    <row r="1072" spans="1:11" hidden="1" x14ac:dyDescent="0.35">
      <c r="A1072" t="s">
        <v>272</v>
      </c>
      <c r="B1072">
        <f t="shared" si="48"/>
        <v>2022</v>
      </c>
      <c r="C1072">
        <f t="shared" si="49"/>
        <v>2</v>
      </c>
      <c r="D1072">
        <f t="shared" si="50"/>
        <v>1</v>
      </c>
      <c r="E1072" t="s">
        <v>326</v>
      </c>
      <c r="F1072">
        <v>0</v>
      </c>
      <c r="G1072">
        <v>6</v>
      </c>
      <c r="H1072">
        <v>6</v>
      </c>
      <c r="I1072">
        <v>15.5</v>
      </c>
      <c r="J1072">
        <v>5.96591</v>
      </c>
      <c r="K1072">
        <v>3.4090000000000002E-2</v>
      </c>
    </row>
    <row r="1073" spans="1:11" hidden="1" x14ac:dyDescent="0.35">
      <c r="A1073" t="s">
        <v>273</v>
      </c>
      <c r="B1073">
        <f t="shared" si="48"/>
        <v>2022</v>
      </c>
      <c r="C1073">
        <f t="shared" si="49"/>
        <v>3</v>
      </c>
      <c r="D1073">
        <f t="shared" si="50"/>
        <v>1</v>
      </c>
      <c r="E1073" t="s">
        <v>326</v>
      </c>
      <c r="F1073">
        <v>0</v>
      </c>
      <c r="G1073">
        <v>6.5</v>
      </c>
      <c r="H1073">
        <v>6.5</v>
      </c>
      <c r="I1073">
        <v>-5.5</v>
      </c>
      <c r="J1073">
        <v>6.5104199999999999</v>
      </c>
      <c r="K1073">
        <v>-1.042E-2</v>
      </c>
    </row>
    <row r="1074" spans="1:11" hidden="1" x14ac:dyDescent="0.35">
      <c r="A1074" t="s">
        <v>274</v>
      </c>
      <c r="B1074">
        <f t="shared" si="48"/>
        <v>2022</v>
      </c>
      <c r="C1074">
        <f t="shared" si="49"/>
        <v>4</v>
      </c>
      <c r="D1074">
        <f t="shared" si="50"/>
        <v>2</v>
      </c>
      <c r="E1074" t="s">
        <v>326</v>
      </c>
      <c r="F1074">
        <v>0</v>
      </c>
      <c r="G1074">
        <v>6.5</v>
      </c>
      <c r="H1074">
        <v>6.5</v>
      </c>
      <c r="I1074">
        <v>0</v>
      </c>
      <c r="J1074">
        <v>6.5</v>
      </c>
      <c r="K1074">
        <v>0</v>
      </c>
    </row>
    <row r="1075" spans="1:11" hidden="1" x14ac:dyDescent="0.35">
      <c r="A1075" t="s">
        <v>275</v>
      </c>
      <c r="B1075">
        <f t="shared" si="48"/>
        <v>2022</v>
      </c>
      <c r="C1075">
        <f t="shared" si="49"/>
        <v>5</v>
      </c>
      <c r="D1075">
        <f t="shared" si="50"/>
        <v>2</v>
      </c>
      <c r="E1075" t="s">
        <v>326</v>
      </c>
      <c r="F1075">
        <v>0</v>
      </c>
      <c r="G1075">
        <v>7</v>
      </c>
      <c r="H1075">
        <v>7</v>
      </c>
      <c r="I1075">
        <v>6</v>
      </c>
      <c r="J1075">
        <v>7.0104199999999999</v>
      </c>
      <c r="K1075">
        <v>-1.042E-2</v>
      </c>
    </row>
    <row r="1076" spans="1:11" hidden="1" x14ac:dyDescent="0.35">
      <c r="A1076" t="s">
        <v>276</v>
      </c>
      <c r="B1076">
        <f t="shared" si="48"/>
        <v>2022</v>
      </c>
      <c r="C1076">
        <f t="shared" si="49"/>
        <v>6</v>
      </c>
      <c r="D1076">
        <f t="shared" si="50"/>
        <v>2</v>
      </c>
      <c r="E1076" t="s">
        <v>326</v>
      </c>
      <c r="F1076">
        <v>0</v>
      </c>
      <c r="G1076">
        <v>7.75</v>
      </c>
      <c r="H1076">
        <v>7.75</v>
      </c>
      <c r="I1076">
        <v>-9.5</v>
      </c>
      <c r="J1076">
        <v>7.75</v>
      </c>
      <c r="K1076">
        <v>0</v>
      </c>
    </row>
    <row r="1077" spans="1:11" hidden="1" x14ac:dyDescent="0.35">
      <c r="A1077" t="s">
        <v>277</v>
      </c>
      <c r="B1077">
        <f t="shared" si="48"/>
        <v>2022</v>
      </c>
      <c r="C1077">
        <f t="shared" si="49"/>
        <v>7</v>
      </c>
      <c r="D1077">
        <f t="shared" si="50"/>
        <v>3</v>
      </c>
      <c r="E1077" t="s">
        <v>326</v>
      </c>
      <c r="F1077">
        <v>0</v>
      </c>
      <c r="G1077">
        <v>7.75</v>
      </c>
      <c r="H1077">
        <v>7.75</v>
      </c>
      <c r="I1077">
        <v>0</v>
      </c>
      <c r="J1077">
        <v>7.75</v>
      </c>
      <c r="K1077">
        <v>0</v>
      </c>
    </row>
    <row r="1078" spans="1:11" hidden="1" x14ac:dyDescent="0.35">
      <c r="A1078" t="s">
        <v>278</v>
      </c>
      <c r="B1078">
        <f t="shared" si="48"/>
        <v>2022</v>
      </c>
      <c r="C1078">
        <f t="shared" si="49"/>
        <v>8</v>
      </c>
      <c r="D1078">
        <f t="shared" si="50"/>
        <v>3</v>
      </c>
      <c r="E1078" t="s">
        <v>326</v>
      </c>
      <c r="F1078">
        <v>0</v>
      </c>
      <c r="G1078">
        <v>8.5</v>
      </c>
      <c r="H1078">
        <v>8.5</v>
      </c>
      <c r="I1078">
        <v>1</v>
      </c>
      <c r="J1078">
        <v>8.5</v>
      </c>
      <c r="K1078">
        <v>0</v>
      </c>
    </row>
    <row r="1079" spans="1:11" hidden="1" x14ac:dyDescent="0.35">
      <c r="A1079" t="s">
        <v>279</v>
      </c>
      <c r="B1079">
        <f t="shared" si="48"/>
        <v>2022</v>
      </c>
      <c r="C1079">
        <f t="shared" si="49"/>
        <v>9</v>
      </c>
      <c r="D1079">
        <f t="shared" si="50"/>
        <v>3</v>
      </c>
      <c r="E1079" t="s">
        <v>326</v>
      </c>
      <c r="F1079">
        <v>0</v>
      </c>
      <c r="G1079">
        <v>9.25</v>
      </c>
      <c r="H1079">
        <v>9.25</v>
      </c>
      <c r="I1079">
        <v>3.5</v>
      </c>
      <c r="J1079">
        <v>9.25</v>
      </c>
      <c r="K1079">
        <v>0</v>
      </c>
    </row>
    <row r="1080" spans="1:11" hidden="1" x14ac:dyDescent="0.35">
      <c r="A1080" t="s">
        <v>280</v>
      </c>
      <c r="B1080">
        <f t="shared" si="48"/>
        <v>2022</v>
      </c>
      <c r="C1080">
        <f t="shared" si="49"/>
        <v>10</v>
      </c>
      <c r="D1080">
        <f t="shared" si="50"/>
        <v>4</v>
      </c>
      <c r="E1080" t="s">
        <v>326</v>
      </c>
      <c r="F1080">
        <v>0</v>
      </c>
      <c r="G1080">
        <v>9.25</v>
      </c>
      <c r="H1080">
        <v>9.25</v>
      </c>
      <c r="I1080">
        <v>0</v>
      </c>
      <c r="J1080">
        <v>9.25</v>
      </c>
      <c r="K1080">
        <v>0</v>
      </c>
    </row>
    <row r="1081" spans="1:11" hidden="1" x14ac:dyDescent="0.35">
      <c r="A1081" t="s">
        <v>281</v>
      </c>
      <c r="B1081">
        <f t="shared" si="48"/>
        <v>2022</v>
      </c>
      <c r="C1081">
        <f t="shared" si="49"/>
        <v>11</v>
      </c>
      <c r="D1081">
        <f t="shared" si="50"/>
        <v>4</v>
      </c>
      <c r="E1081" t="s">
        <v>326</v>
      </c>
      <c r="F1081">
        <v>0</v>
      </c>
      <c r="G1081">
        <v>10</v>
      </c>
      <c r="H1081">
        <v>10</v>
      </c>
      <c r="I1081">
        <v>-22</v>
      </c>
      <c r="J1081">
        <v>10</v>
      </c>
      <c r="K1081">
        <v>0</v>
      </c>
    </row>
    <row r="1082" spans="1:11" hidden="1" x14ac:dyDescent="0.35">
      <c r="A1082" t="s">
        <v>282</v>
      </c>
      <c r="B1082">
        <f t="shared" si="48"/>
        <v>2022</v>
      </c>
      <c r="C1082">
        <f t="shared" si="49"/>
        <v>12</v>
      </c>
      <c r="D1082">
        <f t="shared" si="50"/>
        <v>4</v>
      </c>
      <c r="E1082" t="s">
        <v>326</v>
      </c>
      <c r="F1082">
        <v>0</v>
      </c>
      <c r="G1082">
        <v>10.5</v>
      </c>
      <c r="H1082">
        <v>10.5</v>
      </c>
      <c r="I1082">
        <v>-1</v>
      </c>
      <c r="J1082">
        <v>10.5</v>
      </c>
      <c r="K1082">
        <v>0</v>
      </c>
    </row>
    <row r="1083" spans="1:11" hidden="1" x14ac:dyDescent="0.35">
      <c r="A1083" t="s">
        <v>283</v>
      </c>
      <c r="B1083">
        <f t="shared" si="48"/>
        <v>2023</v>
      </c>
      <c r="C1083">
        <f t="shared" si="49"/>
        <v>1</v>
      </c>
      <c r="D1083">
        <f t="shared" si="50"/>
        <v>1</v>
      </c>
      <c r="E1083" t="s">
        <v>326</v>
      </c>
      <c r="F1083">
        <v>0</v>
      </c>
      <c r="G1083">
        <v>10.5</v>
      </c>
      <c r="H1083">
        <v>10.5</v>
      </c>
      <c r="J1083">
        <v>10.5</v>
      </c>
      <c r="K1083">
        <v>0</v>
      </c>
    </row>
    <row r="1084" spans="1:11" hidden="1" x14ac:dyDescent="0.35">
      <c r="A1084" t="s">
        <v>284</v>
      </c>
      <c r="B1084">
        <f t="shared" si="48"/>
        <v>2023</v>
      </c>
      <c r="C1084">
        <f t="shared" si="49"/>
        <v>2</v>
      </c>
      <c r="D1084">
        <f t="shared" si="50"/>
        <v>1</v>
      </c>
      <c r="E1084" t="s">
        <v>326</v>
      </c>
      <c r="F1084">
        <v>0.25</v>
      </c>
      <c r="G1084">
        <v>10.75</v>
      </c>
      <c r="H1084">
        <v>11</v>
      </c>
      <c r="J1084">
        <v>10.75</v>
      </c>
      <c r="K1084">
        <v>0.25</v>
      </c>
    </row>
    <row r="1085" spans="1:11" hidden="1" x14ac:dyDescent="0.35">
      <c r="A1085" t="s">
        <v>285</v>
      </c>
      <c r="B1085">
        <f t="shared" si="48"/>
        <v>2023</v>
      </c>
      <c r="C1085">
        <f t="shared" si="49"/>
        <v>3</v>
      </c>
      <c r="D1085">
        <f t="shared" si="50"/>
        <v>1</v>
      </c>
      <c r="E1085" t="s">
        <v>326</v>
      </c>
      <c r="F1085">
        <v>0</v>
      </c>
      <c r="G1085">
        <v>11.25</v>
      </c>
      <c r="H1085">
        <v>11.25</v>
      </c>
      <c r="J1085">
        <v>11.258900000000001</v>
      </c>
      <c r="K1085">
        <v>-8.8999999999999999E-3</v>
      </c>
    </row>
    <row r="1086" spans="1:11" hidden="1" x14ac:dyDescent="0.35">
      <c r="A1086" t="s">
        <v>286</v>
      </c>
      <c r="B1086">
        <f t="shared" si="48"/>
        <v>2023</v>
      </c>
      <c r="C1086">
        <f t="shared" si="49"/>
        <v>4</v>
      </c>
      <c r="D1086">
        <f t="shared" si="50"/>
        <v>2</v>
      </c>
      <c r="E1086" t="s">
        <v>326</v>
      </c>
      <c r="F1086">
        <v>0</v>
      </c>
      <c r="G1086">
        <v>11.25</v>
      </c>
      <c r="H1086">
        <v>11.25</v>
      </c>
      <c r="J1086">
        <v>11.25</v>
      </c>
      <c r="K1086">
        <v>0</v>
      </c>
    </row>
    <row r="1087" spans="1:11" hidden="1" x14ac:dyDescent="0.35">
      <c r="A1087" t="s">
        <v>287</v>
      </c>
      <c r="B1087">
        <f t="shared" si="48"/>
        <v>2023</v>
      </c>
      <c r="C1087">
        <f t="shared" si="49"/>
        <v>5</v>
      </c>
      <c r="D1087">
        <f t="shared" si="50"/>
        <v>2</v>
      </c>
      <c r="E1087" t="s">
        <v>326</v>
      </c>
      <c r="F1087">
        <v>0</v>
      </c>
      <c r="G1087">
        <v>11.25</v>
      </c>
      <c r="H1087">
        <v>11.25</v>
      </c>
      <c r="J1087">
        <v>11.302099999999999</v>
      </c>
      <c r="K1087">
        <v>-5.21E-2</v>
      </c>
    </row>
    <row r="1088" spans="1:11" hidden="1" x14ac:dyDescent="0.35">
      <c r="A1088" t="s">
        <v>288</v>
      </c>
      <c r="B1088">
        <f t="shared" si="48"/>
        <v>2023</v>
      </c>
      <c r="C1088">
        <f t="shared" si="49"/>
        <v>6</v>
      </c>
      <c r="D1088">
        <f t="shared" si="50"/>
        <v>2</v>
      </c>
      <c r="E1088" t="s">
        <v>326</v>
      </c>
      <c r="F1088">
        <v>0</v>
      </c>
      <c r="G1088">
        <v>11.25</v>
      </c>
      <c r="H1088">
        <v>11.25</v>
      </c>
      <c r="J1088">
        <v>11.25</v>
      </c>
      <c r="K1088">
        <v>0</v>
      </c>
    </row>
    <row r="1089" spans="1:11" hidden="1" x14ac:dyDescent="0.35">
      <c r="A1089" t="s">
        <v>289</v>
      </c>
      <c r="B1089">
        <f t="shared" si="48"/>
        <v>2023</v>
      </c>
      <c r="C1089">
        <f t="shared" si="49"/>
        <v>7</v>
      </c>
      <c r="D1089">
        <f t="shared" si="50"/>
        <v>3</v>
      </c>
      <c r="E1089" t="s">
        <v>326</v>
      </c>
      <c r="F1089">
        <v>0</v>
      </c>
      <c r="G1089">
        <v>11.25</v>
      </c>
      <c r="H1089">
        <v>11.25</v>
      </c>
      <c r="J1089">
        <v>11.25</v>
      </c>
      <c r="K1089">
        <v>0</v>
      </c>
    </row>
    <row r="1090" spans="1:11" hidden="1" x14ac:dyDescent="0.35">
      <c r="A1090" t="s">
        <v>290</v>
      </c>
      <c r="B1090">
        <f t="shared" si="48"/>
        <v>2023</v>
      </c>
      <c r="C1090">
        <f t="shared" si="49"/>
        <v>8</v>
      </c>
      <c r="D1090">
        <f t="shared" si="50"/>
        <v>3</v>
      </c>
      <c r="E1090" t="s">
        <v>326</v>
      </c>
      <c r="F1090">
        <v>0</v>
      </c>
      <c r="G1090">
        <v>11.25</v>
      </c>
      <c r="H1090">
        <v>11.25</v>
      </c>
      <c r="J1090">
        <v>11.25</v>
      </c>
      <c r="K1090">
        <v>0</v>
      </c>
    </row>
    <row r="1091" spans="1:11" hidden="1" x14ac:dyDescent="0.35">
      <c r="A1091" t="s">
        <v>291</v>
      </c>
      <c r="B1091">
        <f t="shared" ref="B1091:B1154" si="51">LEFT(A1091,4)*1</f>
        <v>2023</v>
      </c>
      <c r="C1091">
        <f t="shared" ref="C1091:C1154" si="52">MID(A1091,6,2)*1</f>
        <v>9</v>
      </c>
      <c r="D1091">
        <f t="shared" ref="D1091:D1154" si="53">ROUNDUP(C1091/3,0)</f>
        <v>3</v>
      </c>
      <c r="E1091" t="s">
        <v>326</v>
      </c>
      <c r="F1091">
        <v>0</v>
      </c>
      <c r="G1091">
        <v>11.25</v>
      </c>
      <c r="H1091">
        <v>11.25</v>
      </c>
      <c r="J1091">
        <v>11.25</v>
      </c>
      <c r="K1091">
        <v>0</v>
      </c>
    </row>
    <row r="1092" spans="1:11" hidden="1" x14ac:dyDescent="0.35">
      <c r="A1092" t="s">
        <v>292</v>
      </c>
      <c r="B1092">
        <f t="shared" si="51"/>
        <v>2023</v>
      </c>
      <c r="C1092">
        <f t="shared" si="52"/>
        <v>10</v>
      </c>
      <c r="D1092">
        <f t="shared" si="53"/>
        <v>4</v>
      </c>
      <c r="E1092" t="s">
        <v>326</v>
      </c>
      <c r="F1092">
        <v>0</v>
      </c>
      <c r="G1092">
        <v>11.25</v>
      </c>
      <c r="H1092">
        <v>11.25</v>
      </c>
      <c r="J1092">
        <v>11.25</v>
      </c>
      <c r="K1092">
        <v>0</v>
      </c>
    </row>
    <row r="1093" spans="1:11" hidden="1" x14ac:dyDescent="0.35">
      <c r="A1093" t="s">
        <v>293</v>
      </c>
      <c r="B1093">
        <f t="shared" si="51"/>
        <v>2023</v>
      </c>
      <c r="C1093">
        <f t="shared" si="52"/>
        <v>11</v>
      </c>
      <c r="D1093">
        <f t="shared" si="53"/>
        <v>4</v>
      </c>
      <c r="E1093" t="s">
        <v>326</v>
      </c>
      <c r="F1093">
        <v>0</v>
      </c>
      <c r="G1093">
        <v>11.25</v>
      </c>
      <c r="H1093">
        <v>11.25</v>
      </c>
      <c r="J1093">
        <v>11.25</v>
      </c>
      <c r="K1093">
        <v>0</v>
      </c>
    </row>
    <row r="1094" spans="1:11" hidden="1" x14ac:dyDescent="0.35">
      <c r="A1094" t="s">
        <v>294</v>
      </c>
      <c r="B1094">
        <f t="shared" si="51"/>
        <v>2023</v>
      </c>
      <c r="C1094">
        <f t="shared" si="52"/>
        <v>12</v>
      </c>
      <c r="D1094">
        <f t="shared" si="53"/>
        <v>4</v>
      </c>
      <c r="E1094" t="s">
        <v>326</v>
      </c>
      <c r="F1094">
        <v>0</v>
      </c>
      <c r="G1094">
        <v>11.25</v>
      </c>
      <c r="H1094">
        <v>11.25</v>
      </c>
      <c r="J1094">
        <v>11.24</v>
      </c>
      <c r="K1094">
        <v>0.01</v>
      </c>
    </row>
    <row r="1095" spans="1:11" hidden="1" x14ac:dyDescent="0.35">
      <c r="A1095" t="s">
        <v>295</v>
      </c>
      <c r="B1095">
        <f t="shared" si="51"/>
        <v>2024</v>
      </c>
      <c r="C1095">
        <f t="shared" si="52"/>
        <v>1</v>
      </c>
      <c r="D1095">
        <f t="shared" si="53"/>
        <v>1</v>
      </c>
      <c r="E1095" t="s">
        <v>326</v>
      </c>
      <c r="F1095">
        <v>0</v>
      </c>
      <c r="G1095">
        <v>11.25</v>
      </c>
      <c r="H1095">
        <v>11.25</v>
      </c>
      <c r="J1095">
        <v>11.25</v>
      </c>
      <c r="K1095">
        <v>0</v>
      </c>
    </row>
    <row r="1096" spans="1:11" hidden="1" x14ac:dyDescent="0.35">
      <c r="A1096" t="s">
        <v>296</v>
      </c>
      <c r="B1096">
        <f t="shared" si="51"/>
        <v>2024</v>
      </c>
      <c r="C1096">
        <f t="shared" si="52"/>
        <v>2</v>
      </c>
      <c r="D1096">
        <f t="shared" si="53"/>
        <v>1</v>
      </c>
      <c r="E1096" t="s">
        <v>326</v>
      </c>
      <c r="F1096">
        <v>0</v>
      </c>
      <c r="G1096">
        <v>11.25</v>
      </c>
      <c r="H1096">
        <v>11.25</v>
      </c>
      <c r="J1096">
        <v>11.216699999999999</v>
      </c>
      <c r="K1096">
        <v>3.3300000000000003E-2</v>
      </c>
    </row>
    <row r="1097" spans="1:11" hidden="1" x14ac:dyDescent="0.35">
      <c r="A1097" t="s">
        <v>297</v>
      </c>
      <c r="B1097">
        <f t="shared" si="51"/>
        <v>2024</v>
      </c>
      <c r="C1097">
        <f t="shared" si="52"/>
        <v>3</v>
      </c>
      <c r="D1097">
        <f t="shared" si="53"/>
        <v>1</v>
      </c>
      <c r="E1097" t="s">
        <v>326</v>
      </c>
      <c r="F1097">
        <v>0</v>
      </c>
      <c r="G1097">
        <v>11</v>
      </c>
      <c r="H1097">
        <v>11</v>
      </c>
      <c r="J1097">
        <v>11.0259</v>
      </c>
      <c r="K1097">
        <v>-2.5899999999999999E-2</v>
      </c>
    </row>
    <row r="1098" spans="1:11" hidden="1" x14ac:dyDescent="0.35">
      <c r="A1098" t="s">
        <v>298</v>
      </c>
      <c r="B1098">
        <f t="shared" si="51"/>
        <v>2024</v>
      </c>
      <c r="C1098">
        <f t="shared" si="52"/>
        <v>4</v>
      </c>
      <c r="D1098">
        <f t="shared" si="53"/>
        <v>2</v>
      </c>
      <c r="E1098" t="s">
        <v>326</v>
      </c>
      <c r="F1098">
        <v>0</v>
      </c>
      <c r="G1098">
        <v>11</v>
      </c>
      <c r="H1098">
        <v>11</v>
      </c>
      <c r="J1098">
        <v>11</v>
      </c>
      <c r="K1098">
        <v>0</v>
      </c>
    </row>
    <row r="1099" spans="1:11" hidden="1" x14ac:dyDescent="0.35">
      <c r="A1099" t="s">
        <v>299</v>
      </c>
      <c r="B1099">
        <f t="shared" si="51"/>
        <v>2024</v>
      </c>
      <c r="C1099">
        <f t="shared" si="52"/>
        <v>5</v>
      </c>
      <c r="D1099">
        <f t="shared" si="53"/>
        <v>2</v>
      </c>
      <c r="E1099" t="s">
        <v>326</v>
      </c>
      <c r="F1099">
        <v>0</v>
      </c>
      <c r="G1099">
        <v>11</v>
      </c>
      <c r="H1099">
        <v>11</v>
      </c>
      <c r="J1099">
        <v>10.9833</v>
      </c>
      <c r="K1099">
        <v>1.67E-2</v>
      </c>
    </row>
    <row r="1100" spans="1:11" hidden="1" x14ac:dyDescent="0.35">
      <c r="A1100" t="s">
        <v>300</v>
      </c>
      <c r="B1100">
        <f t="shared" si="51"/>
        <v>2024</v>
      </c>
      <c r="C1100">
        <f t="shared" si="52"/>
        <v>6</v>
      </c>
      <c r="D1100">
        <f t="shared" si="53"/>
        <v>2</v>
      </c>
      <c r="E1100" t="s">
        <v>326</v>
      </c>
      <c r="F1100">
        <v>0</v>
      </c>
      <c r="G1100">
        <v>11</v>
      </c>
      <c r="H1100">
        <v>11</v>
      </c>
      <c r="J1100">
        <v>10.9815</v>
      </c>
      <c r="K1100">
        <v>1.8499999999999999E-2</v>
      </c>
    </row>
    <row r="1101" spans="1:11" hidden="1" x14ac:dyDescent="0.35">
      <c r="A1101" t="s">
        <v>301</v>
      </c>
      <c r="B1101">
        <f t="shared" si="51"/>
        <v>2024</v>
      </c>
      <c r="C1101">
        <f t="shared" si="52"/>
        <v>7</v>
      </c>
      <c r="D1101">
        <f t="shared" si="53"/>
        <v>3</v>
      </c>
      <c r="E1101" t="s">
        <v>326</v>
      </c>
      <c r="F1101">
        <v>0</v>
      </c>
      <c r="G1101">
        <v>11</v>
      </c>
      <c r="H1101">
        <v>11</v>
      </c>
      <c r="J1101">
        <v>11</v>
      </c>
      <c r="K1101">
        <v>0</v>
      </c>
    </row>
    <row r="1102" spans="1:11" hidden="1" x14ac:dyDescent="0.35">
      <c r="A1102" t="s">
        <v>302</v>
      </c>
      <c r="B1102">
        <f t="shared" si="51"/>
        <v>2024</v>
      </c>
      <c r="C1102">
        <f t="shared" si="52"/>
        <v>8</v>
      </c>
      <c r="D1102">
        <f t="shared" si="53"/>
        <v>3</v>
      </c>
      <c r="E1102" t="s">
        <v>326</v>
      </c>
      <c r="F1102">
        <v>0</v>
      </c>
      <c r="G1102">
        <v>10.75</v>
      </c>
      <c r="H1102">
        <v>10.75</v>
      </c>
      <c r="J1102">
        <v>10.870699999999999</v>
      </c>
      <c r="K1102">
        <v>-0.1207</v>
      </c>
    </row>
    <row r="1103" spans="1:11" hidden="1" x14ac:dyDescent="0.35">
      <c r="A1103" t="s">
        <v>303</v>
      </c>
      <c r="B1103">
        <f t="shared" si="51"/>
        <v>2024</v>
      </c>
      <c r="C1103">
        <f t="shared" si="52"/>
        <v>9</v>
      </c>
      <c r="D1103">
        <f t="shared" si="53"/>
        <v>3</v>
      </c>
      <c r="E1103" t="s">
        <v>326</v>
      </c>
      <c r="F1103">
        <v>0</v>
      </c>
      <c r="G1103">
        <v>10.5</v>
      </c>
      <c r="H1103">
        <v>10.5</v>
      </c>
      <c r="J1103">
        <v>10.466699999999999</v>
      </c>
      <c r="K1103">
        <v>3.3300000000000003E-2</v>
      </c>
    </row>
    <row r="1104" spans="1:11" hidden="1" x14ac:dyDescent="0.35">
      <c r="A1104" t="s">
        <v>304</v>
      </c>
      <c r="B1104">
        <f t="shared" si="51"/>
        <v>2024</v>
      </c>
      <c r="C1104">
        <f t="shared" si="52"/>
        <v>10</v>
      </c>
      <c r="D1104">
        <f t="shared" si="53"/>
        <v>4</v>
      </c>
      <c r="E1104" t="s">
        <v>326</v>
      </c>
      <c r="F1104">
        <v>0</v>
      </c>
      <c r="G1104">
        <v>10.5</v>
      </c>
      <c r="H1104">
        <v>10.5</v>
      </c>
      <c r="J1104">
        <v>10.5</v>
      </c>
      <c r="K1104">
        <v>0</v>
      </c>
    </row>
    <row r="1105" spans="1:11" hidden="1" x14ac:dyDescent="0.35">
      <c r="A1105" t="s">
        <v>305</v>
      </c>
      <c r="B1105">
        <f t="shared" si="51"/>
        <v>2024</v>
      </c>
      <c r="C1105">
        <f t="shared" si="52"/>
        <v>11</v>
      </c>
      <c r="D1105">
        <f t="shared" si="53"/>
        <v>4</v>
      </c>
      <c r="E1105" t="s">
        <v>326</v>
      </c>
      <c r="F1105">
        <v>0</v>
      </c>
      <c r="G1105">
        <v>10.25</v>
      </c>
      <c r="H1105">
        <v>10.25</v>
      </c>
      <c r="J1105">
        <v>10.2685</v>
      </c>
      <c r="K1105">
        <v>-1.8499999999999999E-2</v>
      </c>
    </row>
    <row r="1106" spans="1:11" hidden="1" x14ac:dyDescent="0.35">
      <c r="A1106" t="s">
        <v>306</v>
      </c>
      <c r="B1106">
        <f t="shared" si="51"/>
        <v>2024</v>
      </c>
      <c r="C1106">
        <f t="shared" si="52"/>
        <v>12</v>
      </c>
      <c r="D1106">
        <f t="shared" si="53"/>
        <v>4</v>
      </c>
      <c r="E1106" t="s">
        <v>326</v>
      </c>
      <c r="F1106">
        <v>0</v>
      </c>
      <c r="G1106">
        <v>10</v>
      </c>
      <c r="H1106">
        <v>10</v>
      </c>
      <c r="J1106">
        <v>9.9310299999999998</v>
      </c>
      <c r="K1106">
        <v>6.8970000000000004E-2</v>
      </c>
    </row>
    <row r="1107" spans="1:11" hidden="1" x14ac:dyDescent="0.35">
      <c r="A1107" t="s">
        <v>307</v>
      </c>
      <c r="B1107">
        <f t="shared" si="51"/>
        <v>2025</v>
      </c>
      <c r="C1107">
        <f t="shared" si="52"/>
        <v>1</v>
      </c>
      <c r="D1107">
        <f t="shared" si="53"/>
        <v>1</v>
      </c>
      <c r="E1107" t="s">
        <v>326</v>
      </c>
      <c r="F1107">
        <v>0</v>
      </c>
      <c r="G1107">
        <v>10</v>
      </c>
      <c r="H1107">
        <v>10</v>
      </c>
      <c r="J1107">
        <v>10</v>
      </c>
      <c r="K1107">
        <v>0</v>
      </c>
    </row>
    <row r="1108" spans="1:11" hidden="1" x14ac:dyDescent="0.35">
      <c r="A1108" t="s">
        <v>308</v>
      </c>
      <c r="B1108">
        <f t="shared" si="51"/>
        <v>2025</v>
      </c>
      <c r="C1108">
        <f t="shared" si="52"/>
        <v>2</v>
      </c>
      <c r="D1108">
        <f t="shared" si="53"/>
        <v>1</v>
      </c>
      <c r="E1108" t="s">
        <v>326</v>
      </c>
      <c r="F1108">
        <v>0</v>
      </c>
      <c r="G1108">
        <v>9.5</v>
      </c>
      <c r="H1108">
        <v>9.5</v>
      </c>
      <c r="J1108">
        <v>9.5480800000000006</v>
      </c>
      <c r="K1108">
        <v>-4.8079999999999998E-2</v>
      </c>
    </row>
    <row r="1109" spans="1:11" hidden="1" x14ac:dyDescent="0.35">
      <c r="A1109" t="s">
        <v>309</v>
      </c>
      <c r="B1109">
        <f t="shared" si="51"/>
        <v>2025</v>
      </c>
      <c r="C1109">
        <f t="shared" si="52"/>
        <v>3</v>
      </c>
      <c r="D1109">
        <f t="shared" si="53"/>
        <v>1</v>
      </c>
      <c r="E1109" t="s">
        <v>326</v>
      </c>
      <c r="F1109">
        <v>0</v>
      </c>
      <c r="G1109">
        <v>9</v>
      </c>
      <c r="H1109">
        <v>9</v>
      </c>
      <c r="J1109">
        <v>9.0166699999999995</v>
      </c>
      <c r="K1109">
        <v>-1.6670000000000001E-2</v>
      </c>
    </row>
    <row r="1110" spans="1:11" hidden="1" x14ac:dyDescent="0.35">
      <c r="A1110" t="s">
        <v>310</v>
      </c>
      <c r="B1110">
        <f t="shared" si="51"/>
        <v>2025</v>
      </c>
      <c r="C1110">
        <f t="shared" si="52"/>
        <v>4</v>
      </c>
      <c r="D1110">
        <f t="shared" si="53"/>
        <v>2</v>
      </c>
      <c r="E1110" t="s">
        <v>326</v>
      </c>
      <c r="F1110">
        <v>0</v>
      </c>
      <c r="G1110">
        <v>9</v>
      </c>
      <c r="H1110">
        <v>9</v>
      </c>
      <c r="J1110">
        <v>9</v>
      </c>
      <c r="K1110">
        <v>0</v>
      </c>
    </row>
    <row r="1111" spans="1:11" hidden="1" x14ac:dyDescent="0.35">
      <c r="A1111" t="s">
        <v>311</v>
      </c>
      <c r="B1111">
        <f t="shared" si="51"/>
        <v>2025</v>
      </c>
      <c r="C1111">
        <f t="shared" si="52"/>
        <v>5</v>
      </c>
      <c r="D1111">
        <f t="shared" si="53"/>
        <v>2</v>
      </c>
      <c r="E1111" t="s">
        <v>326</v>
      </c>
      <c r="F1111">
        <v>0</v>
      </c>
      <c r="G1111">
        <v>8.5</v>
      </c>
      <c r="H1111">
        <v>8.5</v>
      </c>
      <c r="J1111">
        <v>8.5</v>
      </c>
      <c r="K1111">
        <v>0</v>
      </c>
    </row>
    <row r="1112" spans="1:11" hidden="1" x14ac:dyDescent="0.35">
      <c r="A1112" t="s">
        <v>85</v>
      </c>
      <c r="B1112">
        <f t="shared" si="51"/>
        <v>2006</v>
      </c>
      <c r="C1112">
        <f t="shared" si="52"/>
        <v>7</v>
      </c>
      <c r="D1112">
        <f t="shared" si="53"/>
        <v>3</v>
      </c>
      <c r="E1112" t="s">
        <v>327</v>
      </c>
      <c r="F1112">
        <v>0</v>
      </c>
      <c r="G1112">
        <v>4.5</v>
      </c>
      <c r="H1112">
        <v>4.5</v>
      </c>
      <c r="J1112">
        <v>4.5</v>
      </c>
      <c r="K1112">
        <v>0</v>
      </c>
    </row>
    <row r="1113" spans="1:11" hidden="1" x14ac:dyDescent="0.35">
      <c r="A1113" t="s">
        <v>86</v>
      </c>
      <c r="B1113">
        <f t="shared" si="51"/>
        <v>2006</v>
      </c>
      <c r="C1113">
        <f t="shared" si="52"/>
        <v>8</v>
      </c>
      <c r="D1113">
        <f t="shared" si="53"/>
        <v>3</v>
      </c>
      <c r="E1113" t="s">
        <v>327</v>
      </c>
      <c r="F1113">
        <v>0</v>
      </c>
      <c r="G1113">
        <v>4.5</v>
      </c>
      <c r="H1113">
        <v>4.5</v>
      </c>
      <c r="J1113">
        <v>4.5</v>
      </c>
      <c r="K1113">
        <v>0</v>
      </c>
    </row>
    <row r="1114" spans="1:11" hidden="1" x14ac:dyDescent="0.35">
      <c r="A1114" t="s">
        <v>87</v>
      </c>
      <c r="B1114">
        <f t="shared" si="51"/>
        <v>2006</v>
      </c>
      <c r="C1114">
        <f t="shared" si="52"/>
        <v>9</v>
      </c>
      <c r="D1114">
        <f t="shared" si="53"/>
        <v>3</v>
      </c>
      <c r="E1114" t="s">
        <v>327</v>
      </c>
      <c r="F1114">
        <v>0</v>
      </c>
      <c r="G1114">
        <v>4.5</v>
      </c>
      <c r="H1114">
        <v>4.5</v>
      </c>
      <c r="J1114">
        <v>4.5</v>
      </c>
      <c r="K1114">
        <v>0</v>
      </c>
    </row>
    <row r="1115" spans="1:11" hidden="1" x14ac:dyDescent="0.35">
      <c r="A1115" t="s">
        <v>88</v>
      </c>
      <c r="B1115">
        <f t="shared" si="51"/>
        <v>2006</v>
      </c>
      <c r="C1115">
        <f t="shared" si="52"/>
        <v>10</v>
      </c>
      <c r="D1115">
        <f t="shared" si="53"/>
        <v>4</v>
      </c>
      <c r="E1115" t="s">
        <v>327</v>
      </c>
      <c r="F1115">
        <v>0</v>
      </c>
      <c r="G1115">
        <v>4.5</v>
      </c>
      <c r="H1115">
        <v>4.5</v>
      </c>
      <c r="J1115">
        <v>4.5</v>
      </c>
      <c r="K1115">
        <v>0</v>
      </c>
    </row>
    <row r="1116" spans="1:11" hidden="1" x14ac:dyDescent="0.35">
      <c r="A1116" t="s">
        <v>89</v>
      </c>
      <c r="B1116">
        <f t="shared" si="51"/>
        <v>2006</v>
      </c>
      <c r="C1116">
        <f t="shared" si="52"/>
        <v>11</v>
      </c>
      <c r="D1116">
        <f t="shared" si="53"/>
        <v>4</v>
      </c>
      <c r="E1116" t="s">
        <v>327</v>
      </c>
      <c r="F1116">
        <v>0</v>
      </c>
      <c r="G1116">
        <v>4.5</v>
      </c>
      <c r="H1116">
        <v>4.5</v>
      </c>
      <c r="J1116">
        <v>4.5</v>
      </c>
      <c r="K1116">
        <v>0</v>
      </c>
    </row>
    <row r="1117" spans="1:11" hidden="1" x14ac:dyDescent="0.35">
      <c r="A1117" t="s">
        <v>90</v>
      </c>
      <c r="B1117">
        <f t="shared" si="51"/>
        <v>2006</v>
      </c>
      <c r="C1117">
        <f t="shared" si="52"/>
        <v>12</v>
      </c>
      <c r="D1117">
        <f t="shared" si="53"/>
        <v>4</v>
      </c>
      <c r="E1117" t="s">
        <v>327</v>
      </c>
      <c r="F1117">
        <v>0</v>
      </c>
      <c r="G1117">
        <v>4.5</v>
      </c>
      <c r="H1117">
        <v>4.5</v>
      </c>
      <c r="J1117">
        <v>4.5</v>
      </c>
      <c r="K1117">
        <v>0</v>
      </c>
    </row>
    <row r="1118" spans="1:11" hidden="1" x14ac:dyDescent="0.35">
      <c r="A1118" t="s">
        <v>91</v>
      </c>
      <c r="B1118">
        <f t="shared" si="51"/>
        <v>2007</v>
      </c>
      <c r="C1118">
        <f t="shared" si="52"/>
        <v>1</v>
      </c>
      <c r="D1118">
        <f t="shared" si="53"/>
        <v>1</v>
      </c>
      <c r="E1118" t="s">
        <v>327</v>
      </c>
      <c r="F1118">
        <v>0</v>
      </c>
      <c r="G1118">
        <v>4.5</v>
      </c>
      <c r="H1118">
        <v>4.5</v>
      </c>
      <c r="J1118">
        <v>4.5</v>
      </c>
      <c r="K1118">
        <v>0</v>
      </c>
    </row>
    <row r="1119" spans="1:11" hidden="1" x14ac:dyDescent="0.35">
      <c r="A1119" t="s">
        <v>92</v>
      </c>
      <c r="B1119">
        <f t="shared" si="51"/>
        <v>2007</v>
      </c>
      <c r="C1119">
        <f t="shared" si="52"/>
        <v>2</v>
      </c>
      <c r="D1119">
        <f t="shared" si="53"/>
        <v>1</v>
      </c>
      <c r="E1119" t="s">
        <v>327</v>
      </c>
      <c r="F1119">
        <v>0</v>
      </c>
      <c r="G1119">
        <v>4.5</v>
      </c>
      <c r="H1119">
        <v>4.5</v>
      </c>
      <c r="J1119">
        <v>4.5</v>
      </c>
      <c r="K1119">
        <v>0</v>
      </c>
    </row>
    <row r="1120" spans="1:11" hidden="1" x14ac:dyDescent="0.35">
      <c r="A1120" t="s">
        <v>93</v>
      </c>
      <c r="B1120">
        <f t="shared" si="51"/>
        <v>2007</v>
      </c>
      <c r="C1120">
        <f t="shared" si="52"/>
        <v>3</v>
      </c>
      <c r="D1120">
        <f t="shared" si="53"/>
        <v>1</v>
      </c>
      <c r="E1120" t="s">
        <v>327</v>
      </c>
      <c r="F1120">
        <v>0</v>
      </c>
      <c r="G1120">
        <v>4.5</v>
      </c>
      <c r="H1120">
        <v>4.5</v>
      </c>
      <c r="J1120">
        <v>4.5</v>
      </c>
      <c r="K1120">
        <v>0</v>
      </c>
    </row>
    <row r="1121" spans="1:11" hidden="1" x14ac:dyDescent="0.35">
      <c r="A1121" t="s">
        <v>94</v>
      </c>
      <c r="B1121">
        <f t="shared" si="51"/>
        <v>2007</v>
      </c>
      <c r="C1121">
        <f t="shared" si="52"/>
        <v>4</v>
      </c>
      <c r="D1121">
        <f t="shared" si="53"/>
        <v>2</v>
      </c>
      <c r="E1121" t="s">
        <v>327</v>
      </c>
      <c r="F1121">
        <v>0</v>
      </c>
      <c r="G1121">
        <v>4.5</v>
      </c>
      <c r="H1121">
        <v>4.5</v>
      </c>
      <c r="J1121">
        <v>4.5</v>
      </c>
      <c r="K1121">
        <v>0</v>
      </c>
    </row>
    <row r="1122" spans="1:11" hidden="1" x14ac:dyDescent="0.35">
      <c r="A1122" t="s">
        <v>95</v>
      </c>
      <c r="B1122">
        <f t="shared" si="51"/>
        <v>2007</v>
      </c>
      <c r="C1122">
        <f t="shared" si="52"/>
        <v>5</v>
      </c>
      <c r="D1122">
        <f t="shared" si="53"/>
        <v>2</v>
      </c>
      <c r="E1122" t="s">
        <v>327</v>
      </c>
      <c r="F1122">
        <v>0</v>
      </c>
      <c r="G1122">
        <v>4.5</v>
      </c>
      <c r="H1122">
        <v>4.5</v>
      </c>
      <c r="J1122">
        <v>4.5</v>
      </c>
      <c r="K1122">
        <v>0</v>
      </c>
    </row>
    <row r="1123" spans="1:11" hidden="1" x14ac:dyDescent="0.35">
      <c r="A1123" t="s">
        <v>96</v>
      </c>
      <c r="B1123">
        <f t="shared" si="51"/>
        <v>2007</v>
      </c>
      <c r="C1123">
        <f t="shared" si="52"/>
        <v>6</v>
      </c>
      <c r="D1123">
        <f t="shared" si="53"/>
        <v>2</v>
      </c>
      <c r="E1123" t="s">
        <v>327</v>
      </c>
      <c r="F1123">
        <v>0</v>
      </c>
      <c r="G1123">
        <v>4.5</v>
      </c>
      <c r="H1123">
        <v>4.5</v>
      </c>
      <c r="J1123">
        <v>4.5357099999999999</v>
      </c>
      <c r="K1123">
        <v>-3.5709999999999999E-2</v>
      </c>
    </row>
    <row r="1124" spans="1:11" hidden="1" x14ac:dyDescent="0.35">
      <c r="A1124" t="s">
        <v>97</v>
      </c>
      <c r="B1124">
        <f t="shared" si="51"/>
        <v>2007</v>
      </c>
      <c r="C1124">
        <f t="shared" si="52"/>
        <v>7</v>
      </c>
      <c r="D1124">
        <f t="shared" si="53"/>
        <v>3</v>
      </c>
      <c r="E1124" t="s">
        <v>327</v>
      </c>
      <c r="F1124">
        <v>0.25</v>
      </c>
      <c r="G1124">
        <v>4.5</v>
      </c>
      <c r="H1124">
        <v>4.75</v>
      </c>
      <c r="J1124">
        <v>4.5</v>
      </c>
      <c r="K1124">
        <v>0.25</v>
      </c>
    </row>
    <row r="1125" spans="1:11" hidden="1" x14ac:dyDescent="0.35">
      <c r="A1125" t="s">
        <v>98</v>
      </c>
      <c r="B1125">
        <f t="shared" si="51"/>
        <v>2007</v>
      </c>
      <c r="C1125">
        <f t="shared" si="52"/>
        <v>8</v>
      </c>
      <c r="D1125">
        <f t="shared" si="53"/>
        <v>3</v>
      </c>
      <c r="E1125" t="s">
        <v>327</v>
      </c>
      <c r="F1125">
        <v>0</v>
      </c>
      <c r="G1125">
        <v>4.75</v>
      </c>
      <c r="H1125">
        <v>4.75</v>
      </c>
      <c r="J1125">
        <v>4.8</v>
      </c>
      <c r="K1125">
        <v>-0.05</v>
      </c>
    </row>
    <row r="1126" spans="1:11" hidden="1" x14ac:dyDescent="0.35">
      <c r="A1126" t="s">
        <v>99</v>
      </c>
      <c r="B1126">
        <f t="shared" si="51"/>
        <v>2007</v>
      </c>
      <c r="C1126">
        <f t="shared" si="52"/>
        <v>9</v>
      </c>
      <c r="D1126">
        <f t="shared" si="53"/>
        <v>3</v>
      </c>
      <c r="E1126" t="s">
        <v>327</v>
      </c>
      <c r="F1126">
        <v>0.25</v>
      </c>
      <c r="G1126">
        <v>4.75</v>
      </c>
      <c r="H1126">
        <v>5</v>
      </c>
      <c r="J1126">
        <v>4.7727300000000001</v>
      </c>
      <c r="K1126">
        <v>0.22727</v>
      </c>
    </row>
    <row r="1127" spans="1:11" hidden="1" x14ac:dyDescent="0.35">
      <c r="A1127" t="s">
        <v>100</v>
      </c>
      <c r="B1127">
        <f t="shared" si="51"/>
        <v>2007</v>
      </c>
      <c r="C1127">
        <f t="shared" si="52"/>
        <v>10</v>
      </c>
      <c r="D1127">
        <f t="shared" si="53"/>
        <v>4</v>
      </c>
      <c r="E1127" t="s">
        <v>327</v>
      </c>
      <c r="F1127">
        <v>-0.25</v>
      </c>
      <c r="G1127">
        <v>5.25</v>
      </c>
      <c r="H1127">
        <v>5</v>
      </c>
      <c r="J1127">
        <v>5.1315799999999996</v>
      </c>
      <c r="K1127">
        <v>-0.13158</v>
      </c>
    </row>
    <row r="1128" spans="1:11" hidden="1" x14ac:dyDescent="0.35">
      <c r="A1128" t="s">
        <v>101</v>
      </c>
      <c r="B1128">
        <f t="shared" si="51"/>
        <v>2007</v>
      </c>
      <c r="C1128">
        <f t="shared" si="52"/>
        <v>11</v>
      </c>
      <c r="D1128">
        <f t="shared" si="53"/>
        <v>4</v>
      </c>
      <c r="E1128" t="s">
        <v>327</v>
      </c>
      <c r="F1128">
        <v>0</v>
      </c>
      <c r="G1128">
        <v>5</v>
      </c>
      <c r="H1128">
        <v>5</v>
      </c>
      <c r="J1128">
        <v>5.0468799999999998</v>
      </c>
      <c r="K1128">
        <v>-4.6879999999999998E-2</v>
      </c>
    </row>
    <row r="1129" spans="1:11" hidden="1" x14ac:dyDescent="0.35">
      <c r="A1129" t="s">
        <v>102</v>
      </c>
      <c r="B1129">
        <f t="shared" si="51"/>
        <v>2007</v>
      </c>
      <c r="C1129">
        <f t="shared" si="52"/>
        <v>12</v>
      </c>
      <c r="D1129">
        <f t="shared" si="53"/>
        <v>4</v>
      </c>
      <c r="E1129" t="s">
        <v>327</v>
      </c>
      <c r="F1129">
        <v>0</v>
      </c>
      <c r="G1129">
        <v>5</v>
      </c>
      <c r="H1129">
        <v>5</v>
      </c>
      <c r="J1129">
        <v>5.05</v>
      </c>
      <c r="K1129">
        <v>-0.05</v>
      </c>
    </row>
    <row r="1130" spans="1:11" hidden="1" x14ac:dyDescent="0.35">
      <c r="A1130" t="s">
        <v>103</v>
      </c>
      <c r="B1130">
        <f t="shared" si="51"/>
        <v>2008</v>
      </c>
      <c r="C1130">
        <f t="shared" si="52"/>
        <v>1</v>
      </c>
      <c r="D1130">
        <f t="shared" si="53"/>
        <v>1</v>
      </c>
      <c r="E1130" t="s">
        <v>327</v>
      </c>
      <c r="F1130">
        <v>0</v>
      </c>
      <c r="G1130">
        <v>5.25</v>
      </c>
      <c r="H1130">
        <v>5.25</v>
      </c>
      <c r="J1130">
        <v>5.1785699999999997</v>
      </c>
      <c r="K1130">
        <v>7.1429999999999993E-2</v>
      </c>
    </row>
    <row r="1131" spans="1:11" hidden="1" x14ac:dyDescent="0.35">
      <c r="A1131" t="s">
        <v>104</v>
      </c>
      <c r="B1131">
        <f t="shared" si="51"/>
        <v>2008</v>
      </c>
      <c r="C1131">
        <f t="shared" si="52"/>
        <v>2</v>
      </c>
      <c r="D1131">
        <f t="shared" si="53"/>
        <v>1</v>
      </c>
      <c r="E1131" t="s">
        <v>327</v>
      </c>
      <c r="F1131">
        <v>0</v>
      </c>
      <c r="G1131">
        <v>5.25</v>
      </c>
      <c r="H1131">
        <v>5.25</v>
      </c>
      <c r="J1131">
        <v>5.2666700000000004</v>
      </c>
      <c r="K1131">
        <v>-1.6670000000000001E-2</v>
      </c>
    </row>
    <row r="1132" spans="1:11" hidden="1" x14ac:dyDescent="0.35">
      <c r="A1132" t="s">
        <v>105</v>
      </c>
      <c r="B1132">
        <f t="shared" si="51"/>
        <v>2008</v>
      </c>
      <c r="C1132">
        <f t="shared" si="52"/>
        <v>3</v>
      </c>
      <c r="D1132">
        <f t="shared" si="53"/>
        <v>1</v>
      </c>
      <c r="E1132" t="s">
        <v>327</v>
      </c>
      <c r="F1132">
        <v>0</v>
      </c>
      <c r="G1132">
        <v>5.25</v>
      </c>
      <c r="H1132">
        <v>5.25</v>
      </c>
      <c r="J1132">
        <v>5.2833300000000003</v>
      </c>
      <c r="K1132">
        <v>-3.3329999999999999E-2</v>
      </c>
    </row>
    <row r="1133" spans="1:11" hidden="1" x14ac:dyDescent="0.35">
      <c r="A1133" t="s">
        <v>106</v>
      </c>
      <c r="B1133">
        <f t="shared" si="51"/>
        <v>2008</v>
      </c>
      <c r="C1133">
        <f t="shared" si="52"/>
        <v>4</v>
      </c>
      <c r="D1133">
        <f t="shared" si="53"/>
        <v>2</v>
      </c>
      <c r="E1133" t="s">
        <v>327</v>
      </c>
      <c r="F1133">
        <v>0.25</v>
      </c>
      <c r="G1133">
        <v>5.25</v>
      </c>
      <c r="H1133">
        <v>5.5</v>
      </c>
      <c r="J1133">
        <v>5.2916699999999999</v>
      </c>
      <c r="K1133">
        <v>0.20832999999999999</v>
      </c>
    </row>
    <row r="1134" spans="1:11" hidden="1" x14ac:dyDescent="0.35">
      <c r="A1134" t="s">
        <v>107</v>
      </c>
      <c r="B1134">
        <f t="shared" si="51"/>
        <v>2008</v>
      </c>
      <c r="C1134">
        <f t="shared" si="52"/>
        <v>5</v>
      </c>
      <c r="D1134">
        <f t="shared" si="53"/>
        <v>2</v>
      </c>
      <c r="E1134" t="s">
        <v>327</v>
      </c>
      <c r="F1134">
        <v>0</v>
      </c>
      <c r="G1134">
        <v>5.5</v>
      </c>
      <c r="H1134">
        <v>5.5</v>
      </c>
      <c r="J1134">
        <v>5.5</v>
      </c>
      <c r="K1134">
        <v>0</v>
      </c>
    </row>
    <row r="1135" spans="1:11" hidden="1" x14ac:dyDescent="0.35">
      <c r="A1135" t="s">
        <v>108</v>
      </c>
      <c r="B1135">
        <f t="shared" si="51"/>
        <v>2008</v>
      </c>
      <c r="C1135">
        <f t="shared" si="52"/>
        <v>6</v>
      </c>
      <c r="D1135">
        <f t="shared" si="53"/>
        <v>2</v>
      </c>
      <c r="E1135" t="s">
        <v>327</v>
      </c>
      <c r="F1135">
        <v>0.25</v>
      </c>
      <c r="G1135">
        <v>5.5</v>
      </c>
      <c r="H1135">
        <v>5.75</v>
      </c>
      <c r="J1135">
        <v>5.5468799999999998</v>
      </c>
      <c r="K1135">
        <v>0.20311999999999999</v>
      </c>
    </row>
    <row r="1136" spans="1:11" hidden="1" x14ac:dyDescent="0.35">
      <c r="A1136" t="s">
        <v>109</v>
      </c>
      <c r="B1136">
        <f t="shared" si="51"/>
        <v>2008</v>
      </c>
      <c r="C1136">
        <f t="shared" si="52"/>
        <v>7</v>
      </c>
      <c r="D1136">
        <f t="shared" si="53"/>
        <v>3</v>
      </c>
      <c r="E1136" t="s">
        <v>327</v>
      </c>
      <c r="F1136">
        <v>0</v>
      </c>
      <c r="G1136">
        <v>6</v>
      </c>
      <c r="H1136">
        <v>6</v>
      </c>
      <c r="J1136">
        <v>5.9874999999999998</v>
      </c>
      <c r="K1136">
        <v>1.2500000000000001E-2</v>
      </c>
    </row>
    <row r="1137" spans="1:11" hidden="1" x14ac:dyDescent="0.35">
      <c r="A1137" t="s">
        <v>110</v>
      </c>
      <c r="B1137">
        <f t="shared" si="51"/>
        <v>2008</v>
      </c>
      <c r="C1137">
        <f t="shared" si="52"/>
        <v>8</v>
      </c>
      <c r="D1137">
        <f t="shared" si="53"/>
        <v>3</v>
      </c>
      <c r="E1137" t="s">
        <v>327</v>
      </c>
      <c r="F1137">
        <v>0</v>
      </c>
      <c r="G1137">
        <v>6.25</v>
      </c>
      <c r="H1137">
        <v>6.25</v>
      </c>
      <c r="J1137">
        <v>6.2222200000000001</v>
      </c>
      <c r="K1137">
        <v>2.7779999999999999E-2</v>
      </c>
    </row>
    <row r="1138" spans="1:11" hidden="1" x14ac:dyDescent="0.35">
      <c r="A1138" t="s">
        <v>111</v>
      </c>
      <c r="B1138">
        <f t="shared" si="51"/>
        <v>2008</v>
      </c>
      <c r="C1138">
        <f t="shared" si="52"/>
        <v>9</v>
      </c>
      <c r="D1138">
        <f t="shared" si="53"/>
        <v>3</v>
      </c>
      <c r="E1138" t="s">
        <v>327</v>
      </c>
      <c r="F1138">
        <v>0</v>
      </c>
      <c r="G1138">
        <v>6.5</v>
      </c>
      <c r="H1138">
        <v>6.5</v>
      </c>
      <c r="J1138">
        <v>6.5</v>
      </c>
      <c r="K1138">
        <v>0</v>
      </c>
    </row>
    <row r="1139" spans="1:11" hidden="1" x14ac:dyDescent="0.35">
      <c r="A1139" t="s">
        <v>112</v>
      </c>
      <c r="B1139">
        <f t="shared" si="51"/>
        <v>2008</v>
      </c>
      <c r="C1139">
        <f t="shared" si="52"/>
        <v>10</v>
      </c>
      <c r="D1139">
        <f t="shared" si="53"/>
        <v>4</v>
      </c>
      <c r="E1139" t="s">
        <v>327</v>
      </c>
      <c r="F1139">
        <v>0</v>
      </c>
      <c r="G1139">
        <v>6.5</v>
      </c>
      <c r="H1139">
        <v>6.5</v>
      </c>
      <c r="J1139">
        <v>6.6176500000000003</v>
      </c>
      <c r="K1139">
        <v>-0.11765</v>
      </c>
    </row>
    <row r="1140" spans="1:11" hidden="1" x14ac:dyDescent="0.35">
      <c r="A1140" t="s">
        <v>113</v>
      </c>
      <c r="B1140">
        <f t="shared" si="51"/>
        <v>2008</v>
      </c>
      <c r="C1140">
        <f t="shared" si="52"/>
        <v>11</v>
      </c>
      <c r="D1140">
        <f t="shared" si="53"/>
        <v>4</v>
      </c>
      <c r="E1140" t="s">
        <v>327</v>
      </c>
      <c r="F1140">
        <v>0</v>
      </c>
      <c r="G1140">
        <v>6.5</v>
      </c>
      <c r="H1140">
        <v>6.5</v>
      </c>
      <c r="J1140">
        <v>6.5178599999999998</v>
      </c>
      <c r="K1140">
        <v>-1.7860000000000001E-2</v>
      </c>
    </row>
    <row r="1141" spans="1:11" hidden="1" x14ac:dyDescent="0.35">
      <c r="A1141" t="s">
        <v>114</v>
      </c>
      <c r="B1141">
        <f t="shared" si="51"/>
        <v>2008</v>
      </c>
      <c r="C1141">
        <f t="shared" si="52"/>
        <v>12</v>
      </c>
      <c r="D1141">
        <f t="shared" si="53"/>
        <v>4</v>
      </c>
      <c r="E1141" t="s">
        <v>327</v>
      </c>
      <c r="F1141">
        <v>0</v>
      </c>
      <c r="G1141">
        <v>6.5</v>
      </c>
      <c r="H1141">
        <v>6.5</v>
      </c>
      <c r="J1141">
        <v>6.5</v>
      </c>
      <c r="K1141">
        <v>0</v>
      </c>
    </row>
    <row r="1142" spans="1:11" hidden="1" x14ac:dyDescent="0.35">
      <c r="A1142" t="s">
        <v>115</v>
      </c>
      <c r="B1142">
        <f t="shared" si="51"/>
        <v>2009</v>
      </c>
      <c r="C1142">
        <f t="shared" si="52"/>
        <v>1</v>
      </c>
      <c r="D1142">
        <f t="shared" si="53"/>
        <v>1</v>
      </c>
      <c r="E1142" t="s">
        <v>327</v>
      </c>
      <c r="F1142">
        <v>-0.25</v>
      </c>
      <c r="G1142">
        <v>6.5</v>
      </c>
      <c r="H1142">
        <v>6.25</v>
      </c>
      <c r="J1142">
        <v>6.3684200000000004</v>
      </c>
      <c r="K1142">
        <v>-0.11842</v>
      </c>
    </row>
    <row r="1143" spans="1:11" hidden="1" x14ac:dyDescent="0.35">
      <c r="A1143" t="s">
        <v>116</v>
      </c>
      <c r="B1143">
        <f t="shared" si="51"/>
        <v>2009</v>
      </c>
      <c r="C1143">
        <f t="shared" si="52"/>
        <v>2</v>
      </c>
      <c r="D1143">
        <f t="shared" si="53"/>
        <v>1</v>
      </c>
      <c r="E1143" t="s">
        <v>327</v>
      </c>
      <c r="F1143">
        <v>0</v>
      </c>
      <c r="G1143">
        <v>6</v>
      </c>
      <c r="H1143">
        <v>6</v>
      </c>
      <c r="J1143">
        <v>5.9736799999999999</v>
      </c>
      <c r="K1143">
        <v>2.632E-2</v>
      </c>
    </row>
    <row r="1144" spans="1:11" hidden="1" x14ac:dyDescent="0.35">
      <c r="A1144" t="s">
        <v>117</v>
      </c>
      <c r="B1144">
        <f t="shared" si="51"/>
        <v>2009</v>
      </c>
      <c r="C1144">
        <f t="shared" si="52"/>
        <v>3</v>
      </c>
      <c r="D1144">
        <f t="shared" si="53"/>
        <v>1</v>
      </c>
      <c r="E1144" t="s">
        <v>327</v>
      </c>
      <c r="F1144">
        <v>-0.5</v>
      </c>
      <c r="G1144">
        <v>5.5</v>
      </c>
      <c r="H1144">
        <v>5</v>
      </c>
      <c r="J1144">
        <v>5.5694400000000002</v>
      </c>
      <c r="K1144">
        <v>-0.56943999999999995</v>
      </c>
    </row>
    <row r="1145" spans="1:11" hidden="1" x14ac:dyDescent="0.35">
      <c r="A1145" t="s">
        <v>118</v>
      </c>
      <c r="B1145">
        <f t="shared" si="51"/>
        <v>2009</v>
      </c>
      <c r="C1145">
        <f t="shared" si="52"/>
        <v>4</v>
      </c>
      <c r="D1145">
        <f t="shared" si="53"/>
        <v>2</v>
      </c>
      <c r="E1145" t="s">
        <v>327</v>
      </c>
      <c r="F1145">
        <v>0</v>
      </c>
      <c r="G1145">
        <v>4</v>
      </c>
      <c r="H1145">
        <v>4</v>
      </c>
      <c r="J1145">
        <v>4.1176500000000003</v>
      </c>
      <c r="K1145">
        <v>-0.11765</v>
      </c>
    </row>
    <row r="1146" spans="1:11" hidden="1" x14ac:dyDescent="0.35">
      <c r="A1146" t="s">
        <v>119</v>
      </c>
      <c r="B1146">
        <f t="shared" si="51"/>
        <v>2009</v>
      </c>
      <c r="C1146">
        <f t="shared" si="52"/>
        <v>5</v>
      </c>
      <c r="D1146">
        <f t="shared" si="53"/>
        <v>2</v>
      </c>
      <c r="E1146" t="s">
        <v>327</v>
      </c>
      <c r="F1146">
        <v>-0.5</v>
      </c>
      <c r="G1146">
        <v>3.5</v>
      </c>
      <c r="H1146">
        <v>3</v>
      </c>
      <c r="J1146">
        <v>3.3026300000000002</v>
      </c>
      <c r="K1146">
        <v>-0.30263000000000001</v>
      </c>
    </row>
    <row r="1147" spans="1:11" hidden="1" x14ac:dyDescent="0.35">
      <c r="A1147" t="s">
        <v>120</v>
      </c>
      <c r="B1147">
        <f t="shared" si="51"/>
        <v>2009</v>
      </c>
      <c r="C1147">
        <f t="shared" si="52"/>
        <v>6</v>
      </c>
      <c r="D1147">
        <f t="shared" si="53"/>
        <v>2</v>
      </c>
      <c r="E1147" t="s">
        <v>327</v>
      </c>
      <c r="F1147">
        <v>-0.5</v>
      </c>
      <c r="G1147">
        <v>2.5</v>
      </c>
      <c r="H1147">
        <v>2</v>
      </c>
      <c r="J1147">
        <v>2.2857099999999999</v>
      </c>
      <c r="K1147">
        <v>-0.28571000000000002</v>
      </c>
    </row>
    <row r="1148" spans="1:11" hidden="1" x14ac:dyDescent="0.35">
      <c r="A1148" t="s">
        <v>121</v>
      </c>
      <c r="B1148">
        <f t="shared" si="51"/>
        <v>2009</v>
      </c>
      <c r="C1148">
        <f t="shared" si="52"/>
        <v>7</v>
      </c>
      <c r="D1148">
        <f t="shared" si="53"/>
        <v>3</v>
      </c>
      <c r="E1148" t="s">
        <v>327</v>
      </c>
      <c r="F1148">
        <v>-0.25</v>
      </c>
      <c r="G1148">
        <v>1.5</v>
      </c>
      <c r="H1148">
        <v>1.25</v>
      </c>
      <c r="J1148">
        <v>1.61111</v>
      </c>
      <c r="K1148">
        <v>-0.36110999999999999</v>
      </c>
    </row>
    <row r="1149" spans="1:11" hidden="1" x14ac:dyDescent="0.35">
      <c r="A1149" t="s">
        <v>122</v>
      </c>
      <c r="B1149">
        <f t="shared" si="51"/>
        <v>2009</v>
      </c>
      <c r="C1149">
        <f t="shared" si="52"/>
        <v>8</v>
      </c>
      <c r="D1149">
        <f t="shared" si="53"/>
        <v>3</v>
      </c>
      <c r="E1149" t="s">
        <v>327</v>
      </c>
      <c r="F1149">
        <v>0</v>
      </c>
      <c r="G1149">
        <v>1.25</v>
      </c>
      <c r="H1149">
        <v>1.25</v>
      </c>
      <c r="J1149">
        <v>1.2375</v>
      </c>
      <c r="K1149">
        <v>1.2500000000000001E-2</v>
      </c>
    </row>
    <row r="1150" spans="1:11" hidden="1" x14ac:dyDescent="0.35">
      <c r="A1150" t="s">
        <v>123</v>
      </c>
      <c r="B1150">
        <f t="shared" si="51"/>
        <v>2009</v>
      </c>
      <c r="C1150">
        <f t="shared" si="52"/>
        <v>9</v>
      </c>
      <c r="D1150">
        <f t="shared" si="53"/>
        <v>3</v>
      </c>
      <c r="E1150" t="s">
        <v>327</v>
      </c>
      <c r="F1150">
        <v>0</v>
      </c>
      <c r="G1150">
        <v>1.25</v>
      </c>
      <c r="H1150">
        <v>1.25</v>
      </c>
      <c r="J1150">
        <v>1.23611</v>
      </c>
      <c r="K1150">
        <v>1.389E-2</v>
      </c>
    </row>
    <row r="1151" spans="1:11" hidden="1" x14ac:dyDescent="0.35">
      <c r="A1151" t="s">
        <v>124</v>
      </c>
      <c r="B1151">
        <f t="shared" si="51"/>
        <v>2009</v>
      </c>
      <c r="C1151">
        <f t="shared" si="52"/>
        <v>10</v>
      </c>
      <c r="D1151">
        <f t="shared" si="53"/>
        <v>4</v>
      </c>
      <c r="E1151" t="s">
        <v>327</v>
      </c>
      <c r="F1151">
        <v>0</v>
      </c>
      <c r="G1151">
        <v>1.25</v>
      </c>
      <c r="H1151">
        <v>1.25</v>
      </c>
      <c r="J1151">
        <v>1.25</v>
      </c>
      <c r="K1151">
        <v>0</v>
      </c>
    </row>
    <row r="1152" spans="1:11" hidden="1" x14ac:dyDescent="0.35">
      <c r="A1152" t="s">
        <v>125</v>
      </c>
      <c r="B1152">
        <f t="shared" si="51"/>
        <v>2009</v>
      </c>
      <c r="C1152">
        <f t="shared" si="52"/>
        <v>11</v>
      </c>
      <c r="D1152">
        <f t="shared" si="53"/>
        <v>4</v>
      </c>
      <c r="E1152" t="s">
        <v>327</v>
      </c>
      <c r="F1152">
        <v>0</v>
      </c>
      <c r="G1152">
        <v>1.25</v>
      </c>
      <c r="H1152">
        <v>1.25</v>
      </c>
      <c r="J1152">
        <v>1.25</v>
      </c>
      <c r="K1152">
        <v>0</v>
      </c>
    </row>
    <row r="1153" spans="1:11" hidden="1" x14ac:dyDescent="0.35">
      <c r="A1153" t="s">
        <v>126</v>
      </c>
      <c r="B1153">
        <f t="shared" si="51"/>
        <v>2009</v>
      </c>
      <c r="C1153">
        <f t="shared" si="52"/>
        <v>12</v>
      </c>
      <c r="D1153">
        <f t="shared" si="53"/>
        <v>4</v>
      </c>
      <c r="E1153" t="s">
        <v>327</v>
      </c>
      <c r="F1153">
        <v>0</v>
      </c>
      <c r="G1153">
        <v>1.25</v>
      </c>
      <c r="H1153">
        <v>1.25</v>
      </c>
      <c r="J1153">
        <v>1.25</v>
      </c>
      <c r="K1153">
        <v>0</v>
      </c>
    </row>
    <row r="1154" spans="1:11" hidden="1" x14ac:dyDescent="0.35">
      <c r="A1154" t="s">
        <v>127</v>
      </c>
      <c r="B1154">
        <f t="shared" si="51"/>
        <v>2010</v>
      </c>
      <c r="C1154">
        <f t="shared" si="52"/>
        <v>1</v>
      </c>
      <c r="D1154">
        <f t="shared" si="53"/>
        <v>1</v>
      </c>
      <c r="E1154" t="s">
        <v>327</v>
      </c>
      <c r="F1154">
        <v>0</v>
      </c>
      <c r="G1154">
        <v>1.25</v>
      </c>
      <c r="H1154">
        <v>1.25</v>
      </c>
      <c r="J1154">
        <v>1.25</v>
      </c>
      <c r="K1154">
        <v>0</v>
      </c>
    </row>
    <row r="1155" spans="1:11" hidden="1" x14ac:dyDescent="0.35">
      <c r="A1155" t="s">
        <v>128</v>
      </c>
      <c r="B1155">
        <f t="shared" ref="B1155:B1218" si="54">LEFT(A1155,4)*1</f>
        <v>2010</v>
      </c>
      <c r="C1155">
        <f t="shared" ref="C1155:C1218" si="55">MID(A1155,6,2)*1</f>
        <v>2</v>
      </c>
      <c r="D1155">
        <f t="shared" ref="D1155:D1218" si="56">ROUNDUP(C1155/3,0)</f>
        <v>1</v>
      </c>
      <c r="E1155" t="s">
        <v>327</v>
      </c>
      <c r="F1155">
        <v>0</v>
      </c>
      <c r="G1155">
        <v>1.25</v>
      </c>
      <c r="H1155">
        <v>1.25</v>
      </c>
      <c r="J1155">
        <v>1.25</v>
      </c>
      <c r="K1155">
        <v>0</v>
      </c>
    </row>
    <row r="1156" spans="1:11" hidden="1" x14ac:dyDescent="0.35">
      <c r="A1156" t="s">
        <v>129</v>
      </c>
      <c r="B1156">
        <f t="shared" si="54"/>
        <v>2010</v>
      </c>
      <c r="C1156">
        <f t="shared" si="55"/>
        <v>3</v>
      </c>
      <c r="D1156">
        <f t="shared" si="56"/>
        <v>1</v>
      </c>
      <c r="E1156" t="s">
        <v>327</v>
      </c>
      <c r="F1156">
        <v>0</v>
      </c>
      <c r="G1156">
        <v>1.25</v>
      </c>
      <c r="H1156">
        <v>1.25</v>
      </c>
      <c r="J1156">
        <v>1.25</v>
      </c>
      <c r="K1156">
        <v>0</v>
      </c>
    </row>
    <row r="1157" spans="1:11" hidden="1" x14ac:dyDescent="0.35">
      <c r="A1157" t="s">
        <v>130</v>
      </c>
      <c r="B1157">
        <f t="shared" si="54"/>
        <v>2010</v>
      </c>
      <c r="C1157">
        <f t="shared" si="55"/>
        <v>4</v>
      </c>
      <c r="D1157">
        <f t="shared" si="56"/>
        <v>2</v>
      </c>
      <c r="E1157" t="s">
        <v>327</v>
      </c>
      <c r="F1157">
        <v>0.25</v>
      </c>
      <c r="G1157">
        <v>1.25</v>
      </c>
      <c r="H1157">
        <v>1.5</v>
      </c>
      <c r="J1157">
        <v>1.25</v>
      </c>
      <c r="K1157">
        <v>0.25</v>
      </c>
    </row>
    <row r="1158" spans="1:11" hidden="1" x14ac:dyDescent="0.35">
      <c r="A1158" t="s">
        <v>131</v>
      </c>
      <c r="B1158">
        <f t="shared" si="54"/>
        <v>2010</v>
      </c>
      <c r="C1158">
        <f t="shared" si="55"/>
        <v>5</v>
      </c>
      <c r="D1158">
        <f t="shared" si="56"/>
        <v>2</v>
      </c>
      <c r="E1158" t="s">
        <v>327</v>
      </c>
      <c r="F1158">
        <v>0</v>
      </c>
      <c r="G1158">
        <v>1.75</v>
      </c>
      <c r="H1158">
        <v>1.75</v>
      </c>
      <c r="J1158">
        <v>1.7142900000000001</v>
      </c>
      <c r="K1158">
        <v>3.5709999999999999E-2</v>
      </c>
    </row>
    <row r="1159" spans="1:11" hidden="1" x14ac:dyDescent="0.35">
      <c r="A1159" t="s">
        <v>132</v>
      </c>
      <c r="B1159">
        <f t="shared" si="54"/>
        <v>2010</v>
      </c>
      <c r="C1159">
        <f t="shared" si="55"/>
        <v>6</v>
      </c>
      <c r="D1159">
        <f t="shared" si="56"/>
        <v>2</v>
      </c>
      <c r="E1159" t="s">
        <v>327</v>
      </c>
      <c r="F1159">
        <v>0</v>
      </c>
      <c r="G1159">
        <v>2</v>
      </c>
      <c r="H1159">
        <v>2</v>
      </c>
      <c r="J1159">
        <v>2</v>
      </c>
      <c r="K1159">
        <v>0</v>
      </c>
    </row>
    <row r="1160" spans="1:11" hidden="1" x14ac:dyDescent="0.35">
      <c r="A1160" t="s">
        <v>133</v>
      </c>
      <c r="B1160">
        <f t="shared" si="54"/>
        <v>2010</v>
      </c>
      <c r="C1160">
        <f t="shared" si="55"/>
        <v>7</v>
      </c>
      <c r="D1160">
        <f t="shared" si="56"/>
        <v>3</v>
      </c>
      <c r="E1160" t="s">
        <v>327</v>
      </c>
      <c r="F1160">
        <v>0.25</v>
      </c>
      <c r="G1160">
        <v>2.25</v>
      </c>
      <c r="H1160">
        <v>2.5</v>
      </c>
      <c r="J1160">
        <v>2.2656200000000002</v>
      </c>
      <c r="K1160">
        <v>0.23438000000000001</v>
      </c>
    </row>
    <row r="1161" spans="1:11" hidden="1" x14ac:dyDescent="0.35">
      <c r="A1161" t="s">
        <v>134</v>
      </c>
      <c r="B1161">
        <f t="shared" si="54"/>
        <v>2010</v>
      </c>
      <c r="C1161">
        <f t="shared" si="55"/>
        <v>8</v>
      </c>
      <c r="D1161">
        <f t="shared" si="56"/>
        <v>3</v>
      </c>
      <c r="E1161" t="s">
        <v>327</v>
      </c>
      <c r="F1161">
        <v>0</v>
      </c>
      <c r="G1161">
        <v>3</v>
      </c>
      <c r="H1161">
        <v>3</v>
      </c>
      <c r="J1161">
        <v>3</v>
      </c>
      <c r="K1161">
        <v>0</v>
      </c>
    </row>
    <row r="1162" spans="1:11" hidden="1" x14ac:dyDescent="0.35">
      <c r="A1162" t="s">
        <v>135</v>
      </c>
      <c r="B1162">
        <f t="shared" si="54"/>
        <v>2010</v>
      </c>
      <c r="C1162">
        <f t="shared" si="55"/>
        <v>9</v>
      </c>
      <c r="D1162">
        <f t="shared" si="56"/>
        <v>3</v>
      </c>
      <c r="E1162" t="s">
        <v>327</v>
      </c>
      <c r="F1162">
        <v>-0.25</v>
      </c>
      <c r="G1162">
        <v>3.25</v>
      </c>
      <c r="H1162">
        <v>3</v>
      </c>
      <c r="J1162">
        <v>3.28125</v>
      </c>
      <c r="K1162">
        <v>-0.28125</v>
      </c>
    </row>
    <row r="1163" spans="1:11" hidden="1" x14ac:dyDescent="0.35">
      <c r="A1163" t="s">
        <v>136</v>
      </c>
      <c r="B1163">
        <f t="shared" si="54"/>
        <v>2010</v>
      </c>
      <c r="C1163">
        <f t="shared" si="55"/>
        <v>10</v>
      </c>
      <c r="D1163">
        <f t="shared" si="56"/>
        <v>4</v>
      </c>
      <c r="E1163" t="s">
        <v>327</v>
      </c>
      <c r="F1163">
        <v>0</v>
      </c>
      <c r="G1163">
        <v>3</v>
      </c>
      <c r="H1163">
        <v>3</v>
      </c>
      <c r="J1163">
        <v>3.0178600000000002</v>
      </c>
      <c r="K1163">
        <v>-1.7860000000000001E-2</v>
      </c>
    </row>
    <row r="1164" spans="1:11" hidden="1" x14ac:dyDescent="0.35">
      <c r="A1164" t="s">
        <v>137</v>
      </c>
      <c r="B1164">
        <f t="shared" si="54"/>
        <v>2010</v>
      </c>
      <c r="C1164">
        <f t="shared" si="55"/>
        <v>11</v>
      </c>
      <c r="D1164">
        <f t="shared" si="56"/>
        <v>4</v>
      </c>
      <c r="E1164" t="s">
        <v>327</v>
      </c>
      <c r="F1164">
        <v>0</v>
      </c>
      <c r="G1164">
        <v>3</v>
      </c>
      <c r="H1164">
        <v>3</v>
      </c>
      <c r="J1164">
        <v>3.0333299999999999</v>
      </c>
      <c r="K1164">
        <v>-3.3329999999999999E-2</v>
      </c>
    </row>
    <row r="1165" spans="1:11" hidden="1" x14ac:dyDescent="0.35">
      <c r="A1165" t="s">
        <v>138</v>
      </c>
      <c r="B1165">
        <f t="shared" si="54"/>
        <v>2010</v>
      </c>
      <c r="C1165">
        <f t="shared" si="55"/>
        <v>12</v>
      </c>
      <c r="D1165">
        <f t="shared" si="56"/>
        <v>4</v>
      </c>
      <c r="E1165" t="s">
        <v>327</v>
      </c>
      <c r="F1165">
        <v>0.25</v>
      </c>
      <c r="G1165">
        <v>3</v>
      </c>
      <c r="H1165">
        <v>3.25</v>
      </c>
      <c r="J1165">
        <v>3.0441199999999999</v>
      </c>
      <c r="K1165">
        <v>0.20588000000000001</v>
      </c>
    </row>
    <row r="1166" spans="1:11" hidden="1" x14ac:dyDescent="0.35">
      <c r="A1166" t="s">
        <v>139</v>
      </c>
      <c r="B1166">
        <f t="shared" si="54"/>
        <v>2011</v>
      </c>
      <c r="C1166">
        <f t="shared" si="55"/>
        <v>1</v>
      </c>
      <c r="D1166">
        <f t="shared" si="56"/>
        <v>1</v>
      </c>
      <c r="E1166" t="s">
        <v>327</v>
      </c>
      <c r="F1166">
        <v>0</v>
      </c>
      <c r="G1166">
        <v>3.5</v>
      </c>
      <c r="H1166">
        <v>3.5</v>
      </c>
      <c r="J1166">
        <v>3.4615399999999998</v>
      </c>
      <c r="K1166">
        <v>3.8460000000000001E-2</v>
      </c>
    </row>
    <row r="1167" spans="1:11" hidden="1" x14ac:dyDescent="0.35">
      <c r="A1167" t="s">
        <v>140</v>
      </c>
      <c r="B1167">
        <f t="shared" si="54"/>
        <v>2011</v>
      </c>
      <c r="C1167">
        <f t="shared" si="55"/>
        <v>2</v>
      </c>
      <c r="D1167">
        <f t="shared" si="56"/>
        <v>1</v>
      </c>
      <c r="E1167" t="s">
        <v>327</v>
      </c>
      <c r="F1167">
        <v>0</v>
      </c>
      <c r="G1167">
        <v>3.75</v>
      </c>
      <c r="H1167">
        <v>3.75</v>
      </c>
      <c r="J1167">
        <v>3.75</v>
      </c>
      <c r="K1167">
        <v>0</v>
      </c>
    </row>
    <row r="1168" spans="1:11" hidden="1" x14ac:dyDescent="0.35">
      <c r="A1168" t="s">
        <v>141</v>
      </c>
      <c r="B1168">
        <f t="shared" si="54"/>
        <v>2011</v>
      </c>
      <c r="C1168">
        <f t="shared" si="55"/>
        <v>3</v>
      </c>
      <c r="D1168">
        <f t="shared" si="56"/>
        <v>1</v>
      </c>
      <c r="E1168" t="s">
        <v>327</v>
      </c>
      <c r="F1168">
        <v>0</v>
      </c>
      <c r="G1168">
        <v>4</v>
      </c>
      <c r="H1168">
        <v>4</v>
      </c>
      <c r="J1168">
        <v>4.0526299999999997</v>
      </c>
      <c r="K1168">
        <v>-5.2630000000000003E-2</v>
      </c>
    </row>
    <row r="1169" spans="1:11" hidden="1" x14ac:dyDescent="0.35">
      <c r="A1169" t="s">
        <v>142</v>
      </c>
      <c r="B1169">
        <f t="shared" si="54"/>
        <v>2011</v>
      </c>
      <c r="C1169">
        <f t="shared" si="55"/>
        <v>4</v>
      </c>
      <c r="D1169">
        <f t="shared" si="56"/>
        <v>2</v>
      </c>
      <c r="E1169" t="s">
        <v>327</v>
      </c>
      <c r="F1169">
        <v>0</v>
      </c>
      <c r="G1169">
        <v>4.25</v>
      </c>
      <c r="H1169">
        <v>4.25</v>
      </c>
      <c r="J1169">
        <v>4.25</v>
      </c>
      <c r="K1169">
        <v>0</v>
      </c>
    </row>
    <row r="1170" spans="1:11" hidden="1" x14ac:dyDescent="0.35">
      <c r="A1170" t="s">
        <v>143</v>
      </c>
      <c r="B1170">
        <f t="shared" si="54"/>
        <v>2011</v>
      </c>
      <c r="C1170">
        <f t="shared" si="55"/>
        <v>5</v>
      </c>
      <c r="D1170">
        <f t="shared" si="56"/>
        <v>2</v>
      </c>
      <c r="E1170" t="s">
        <v>327</v>
      </c>
      <c r="F1170">
        <v>-0.25</v>
      </c>
      <c r="G1170">
        <v>4.5</v>
      </c>
      <c r="H1170">
        <v>4.25</v>
      </c>
      <c r="J1170">
        <v>4.4264700000000001</v>
      </c>
      <c r="K1170">
        <v>-0.17646999999999999</v>
      </c>
    </row>
    <row r="1171" spans="1:11" hidden="1" x14ac:dyDescent="0.35">
      <c r="A1171" t="s">
        <v>144</v>
      </c>
      <c r="B1171">
        <f t="shared" si="54"/>
        <v>2011</v>
      </c>
      <c r="C1171">
        <f t="shared" si="55"/>
        <v>6</v>
      </c>
      <c r="D1171">
        <f t="shared" si="56"/>
        <v>2</v>
      </c>
      <c r="E1171" t="s">
        <v>327</v>
      </c>
      <c r="F1171">
        <v>0</v>
      </c>
      <c r="G1171">
        <v>4.25</v>
      </c>
      <c r="H1171">
        <v>4.25</v>
      </c>
      <c r="J1171">
        <v>4.26471</v>
      </c>
      <c r="K1171">
        <v>-1.4710000000000001E-2</v>
      </c>
    </row>
    <row r="1172" spans="1:11" hidden="1" x14ac:dyDescent="0.35">
      <c r="A1172" t="s">
        <v>145</v>
      </c>
      <c r="B1172">
        <f t="shared" si="54"/>
        <v>2011</v>
      </c>
      <c r="C1172">
        <f t="shared" si="55"/>
        <v>7</v>
      </c>
      <c r="D1172">
        <f t="shared" si="56"/>
        <v>3</v>
      </c>
      <c r="E1172" t="s">
        <v>327</v>
      </c>
      <c r="F1172">
        <v>0</v>
      </c>
      <c r="G1172">
        <v>4.25</v>
      </c>
      <c r="H1172">
        <v>4.25</v>
      </c>
      <c r="J1172">
        <v>4.2618999999999998</v>
      </c>
      <c r="K1172">
        <v>-1.1900000000000001E-2</v>
      </c>
    </row>
    <row r="1173" spans="1:11" hidden="1" x14ac:dyDescent="0.35">
      <c r="A1173" t="s">
        <v>146</v>
      </c>
      <c r="B1173">
        <f t="shared" si="54"/>
        <v>2011</v>
      </c>
      <c r="C1173">
        <f t="shared" si="55"/>
        <v>8</v>
      </c>
      <c r="D1173">
        <f t="shared" si="56"/>
        <v>3</v>
      </c>
      <c r="E1173" t="s">
        <v>327</v>
      </c>
      <c r="F1173">
        <v>0</v>
      </c>
      <c r="G1173">
        <v>4.25</v>
      </c>
      <c r="H1173">
        <v>4.25</v>
      </c>
      <c r="J1173">
        <v>4.25</v>
      </c>
      <c r="K1173">
        <v>0</v>
      </c>
    </row>
    <row r="1174" spans="1:11" hidden="1" x14ac:dyDescent="0.35">
      <c r="A1174" t="s">
        <v>147</v>
      </c>
      <c r="B1174">
        <f t="shared" si="54"/>
        <v>2011</v>
      </c>
      <c r="C1174">
        <f t="shared" si="55"/>
        <v>9</v>
      </c>
      <c r="D1174">
        <f t="shared" si="56"/>
        <v>3</v>
      </c>
      <c r="E1174" t="s">
        <v>327</v>
      </c>
      <c r="F1174">
        <v>0</v>
      </c>
      <c r="G1174">
        <v>4.25</v>
      </c>
      <c r="H1174">
        <v>4.25</v>
      </c>
      <c r="J1174">
        <v>4.23611</v>
      </c>
      <c r="K1174">
        <v>1.389E-2</v>
      </c>
    </row>
    <row r="1175" spans="1:11" hidden="1" x14ac:dyDescent="0.35">
      <c r="A1175" t="s">
        <v>148</v>
      </c>
      <c r="B1175">
        <f t="shared" si="54"/>
        <v>2011</v>
      </c>
      <c r="C1175">
        <f t="shared" si="55"/>
        <v>10</v>
      </c>
      <c r="D1175">
        <f t="shared" si="56"/>
        <v>4</v>
      </c>
      <c r="E1175" t="s">
        <v>327</v>
      </c>
      <c r="F1175">
        <v>0</v>
      </c>
      <c r="G1175">
        <v>4.25</v>
      </c>
      <c r="H1175">
        <v>4.25</v>
      </c>
      <c r="J1175">
        <v>4.25</v>
      </c>
      <c r="K1175">
        <v>0</v>
      </c>
    </row>
    <row r="1176" spans="1:11" hidden="1" x14ac:dyDescent="0.35">
      <c r="A1176" t="s">
        <v>149</v>
      </c>
      <c r="B1176">
        <f t="shared" si="54"/>
        <v>2011</v>
      </c>
      <c r="C1176">
        <f t="shared" si="55"/>
        <v>11</v>
      </c>
      <c r="D1176">
        <f t="shared" si="56"/>
        <v>4</v>
      </c>
      <c r="E1176" t="s">
        <v>327</v>
      </c>
      <c r="F1176">
        <v>0</v>
      </c>
      <c r="G1176">
        <v>4.25</v>
      </c>
      <c r="H1176">
        <v>4.25</v>
      </c>
      <c r="J1176">
        <v>4.25</v>
      </c>
      <c r="K1176">
        <v>0</v>
      </c>
    </row>
    <row r="1177" spans="1:11" hidden="1" x14ac:dyDescent="0.35">
      <c r="A1177" t="s">
        <v>150</v>
      </c>
      <c r="B1177">
        <f t="shared" si="54"/>
        <v>2011</v>
      </c>
      <c r="C1177">
        <f t="shared" si="55"/>
        <v>12</v>
      </c>
      <c r="D1177">
        <f t="shared" si="56"/>
        <v>4</v>
      </c>
      <c r="E1177" t="s">
        <v>327</v>
      </c>
      <c r="F1177">
        <v>0</v>
      </c>
      <c r="G1177">
        <v>4.25</v>
      </c>
      <c r="H1177">
        <v>4.25</v>
      </c>
      <c r="J1177">
        <v>4.25</v>
      </c>
      <c r="K1177">
        <v>0</v>
      </c>
    </row>
    <row r="1178" spans="1:11" hidden="1" x14ac:dyDescent="0.35">
      <c r="A1178" t="s">
        <v>151</v>
      </c>
      <c r="B1178">
        <f t="shared" si="54"/>
        <v>2012</v>
      </c>
      <c r="C1178">
        <f t="shared" si="55"/>
        <v>1</v>
      </c>
      <c r="D1178">
        <f t="shared" si="56"/>
        <v>1</v>
      </c>
      <c r="E1178" t="s">
        <v>327</v>
      </c>
      <c r="F1178">
        <v>0</v>
      </c>
      <c r="G1178">
        <v>4.25</v>
      </c>
      <c r="H1178">
        <v>4.25</v>
      </c>
      <c r="J1178">
        <v>4.25</v>
      </c>
      <c r="K1178">
        <v>0</v>
      </c>
    </row>
    <row r="1179" spans="1:11" hidden="1" x14ac:dyDescent="0.35">
      <c r="A1179" t="s">
        <v>152</v>
      </c>
      <c r="B1179">
        <f t="shared" si="54"/>
        <v>2012</v>
      </c>
      <c r="C1179">
        <f t="shared" si="55"/>
        <v>2</v>
      </c>
      <c r="D1179">
        <f t="shared" si="56"/>
        <v>1</v>
      </c>
      <c r="E1179" t="s">
        <v>327</v>
      </c>
      <c r="F1179">
        <v>0</v>
      </c>
      <c r="G1179">
        <v>4.25</v>
      </c>
      <c r="H1179">
        <v>4.25</v>
      </c>
      <c r="J1179">
        <v>4.25</v>
      </c>
      <c r="K1179">
        <v>0</v>
      </c>
    </row>
    <row r="1180" spans="1:11" hidden="1" x14ac:dyDescent="0.35">
      <c r="A1180" t="s">
        <v>153</v>
      </c>
      <c r="B1180">
        <f t="shared" si="54"/>
        <v>2012</v>
      </c>
      <c r="C1180">
        <f t="shared" si="55"/>
        <v>3</v>
      </c>
      <c r="D1180">
        <f t="shared" si="56"/>
        <v>1</v>
      </c>
      <c r="E1180" t="s">
        <v>327</v>
      </c>
      <c r="F1180">
        <v>0</v>
      </c>
      <c r="G1180">
        <v>4.25</v>
      </c>
      <c r="H1180">
        <v>4.25</v>
      </c>
      <c r="J1180">
        <v>4.25</v>
      </c>
      <c r="K1180">
        <v>0</v>
      </c>
    </row>
    <row r="1181" spans="1:11" hidden="1" x14ac:dyDescent="0.35">
      <c r="A1181" t="s">
        <v>154</v>
      </c>
      <c r="B1181">
        <f t="shared" si="54"/>
        <v>2012</v>
      </c>
      <c r="C1181">
        <f t="shared" si="55"/>
        <v>4</v>
      </c>
      <c r="D1181">
        <f t="shared" si="56"/>
        <v>2</v>
      </c>
      <c r="E1181" t="s">
        <v>327</v>
      </c>
      <c r="F1181">
        <v>0</v>
      </c>
      <c r="G1181">
        <v>4.25</v>
      </c>
      <c r="H1181">
        <v>4.25</v>
      </c>
      <c r="J1181">
        <v>4.25</v>
      </c>
      <c r="K1181">
        <v>0</v>
      </c>
    </row>
    <row r="1182" spans="1:11" hidden="1" x14ac:dyDescent="0.35">
      <c r="A1182" t="s">
        <v>155</v>
      </c>
      <c r="B1182">
        <f t="shared" si="54"/>
        <v>2012</v>
      </c>
      <c r="C1182">
        <f t="shared" si="55"/>
        <v>5</v>
      </c>
      <c r="D1182">
        <f t="shared" si="56"/>
        <v>2</v>
      </c>
      <c r="E1182" t="s">
        <v>327</v>
      </c>
      <c r="F1182">
        <v>0</v>
      </c>
      <c r="G1182">
        <v>4.25</v>
      </c>
      <c r="H1182">
        <v>4.25</v>
      </c>
      <c r="J1182">
        <v>4.25</v>
      </c>
      <c r="K1182">
        <v>0</v>
      </c>
    </row>
    <row r="1183" spans="1:11" hidden="1" x14ac:dyDescent="0.35">
      <c r="A1183" t="s">
        <v>156</v>
      </c>
      <c r="B1183">
        <f t="shared" si="54"/>
        <v>2012</v>
      </c>
      <c r="C1183">
        <f t="shared" si="55"/>
        <v>6</v>
      </c>
      <c r="D1183">
        <f t="shared" si="56"/>
        <v>2</v>
      </c>
      <c r="E1183" t="s">
        <v>327</v>
      </c>
      <c r="F1183">
        <v>0</v>
      </c>
      <c r="G1183">
        <v>4.25</v>
      </c>
      <c r="H1183">
        <v>4.25</v>
      </c>
      <c r="J1183">
        <v>4.25</v>
      </c>
      <c r="K1183">
        <v>0</v>
      </c>
    </row>
    <row r="1184" spans="1:11" hidden="1" x14ac:dyDescent="0.35">
      <c r="A1184" t="s">
        <v>157</v>
      </c>
      <c r="B1184">
        <f t="shared" si="54"/>
        <v>2012</v>
      </c>
      <c r="C1184">
        <f t="shared" si="55"/>
        <v>7</v>
      </c>
      <c r="D1184">
        <f t="shared" si="56"/>
        <v>3</v>
      </c>
      <c r="E1184" t="s">
        <v>327</v>
      </c>
      <c r="F1184">
        <v>0</v>
      </c>
      <c r="G1184">
        <v>4.25</v>
      </c>
      <c r="H1184">
        <v>4.25</v>
      </c>
      <c r="J1184">
        <v>4.25</v>
      </c>
      <c r="K1184">
        <v>0</v>
      </c>
    </row>
    <row r="1185" spans="1:11" hidden="1" x14ac:dyDescent="0.35">
      <c r="A1185" t="s">
        <v>158</v>
      </c>
      <c r="B1185">
        <f t="shared" si="54"/>
        <v>2012</v>
      </c>
      <c r="C1185">
        <f t="shared" si="55"/>
        <v>8</v>
      </c>
      <c r="D1185">
        <f t="shared" si="56"/>
        <v>3</v>
      </c>
      <c r="E1185" t="s">
        <v>327</v>
      </c>
      <c r="F1185">
        <v>0</v>
      </c>
      <c r="G1185">
        <v>4.25</v>
      </c>
      <c r="H1185">
        <v>4.25</v>
      </c>
      <c r="J1185">
        <v>4.26389</v>
      </c>
      <c r="K1185">
        <v>-1.389E-2</v>
      </c>
    </row>
    <row r="1186" spans="1:11" hidden="1" x14ac:dyDescent="0.35">
      <c r="A1186" t="s">
        <v>159</v>
      </c>
      <c r="B1186">
        <f t="shared" si="54"/>
        <v>2012</v>
      </c>
      <c r="C1186">
        <f t="shared" si="55"/>
        <v>9</v>
      </c>
      <c r="D1186">
        <f t="shared" si="56"/>
        <v>3</v>
      </c>
      <c r="E1186" t="s">
        <v>327</v>
      </c>
      <c r="F1186">
        <v>0</v>
      </c>
      <c r="G1186">
        <v>4.25</v>
      </c>
      <c r="H1186">
        <v>4.25</v>
      </c>
      <c r="J1186">
        <v>4.25</v>
      </c>
      <c r="K1186">
        <v>0</v>
      </c>
    </row>
    <row r="1187" spans="1:11" hidden="1" x14ac:dyDescent="0.35">
      <c r="A1187" t="s">
        <v>160</v>
      </c>
      <c r="B1187">
        <f t="shared" si="54"/>
        <v>2012</v>
      </c>
      <c r="C1187">
        <f t="shared" si="55"/>
        <v>10</v>
      </c>
      <c r="D1187">
        <f t="shared" si="56"/>
        <v>4</v>
      </c>
      <c r="E1187" t="s">
        <v>327</v>
      </c>
      <c r="F1187">
        <v>0</v>
      </c>
      <c r="G1187">
        <v>4.25</v>
      </c>
      <c r="H1187">
        <v>4.25</v>
      </c>
      <c r="J1187">
        <v>4.25</v>
      </c>
      <c r="K1187">
        <v>0</v>
      </c>
    </row>
    <row r="1188" spans="1:11" hidden="1" x14ac:dyDescent="0.35">
      <c r="A1188" t="s">
        <v>161</v>
      </c>
      <c r="B1188">
        <f t="shared" si="54"/>
        <v>2012</v>
      </c>
      <c r="C1188">
        <f t="shared" si="55"/>
        <v>11</v>
      </c>
      <c r="D1188">
        <f t="shared" si="56"/>
        <v>4</v>
      </c>
      <c r="E1188" t="s">
        <v>327</v>
      </c>
      <c r="F1188">
        <v>0</v>
      </c>
      <c r="G1188">
        <v>4.25</v>
      </c>
      <c r="H1188">
        <v>4.25</v>
      </c>
      <c r="J1188">
        <v>4.25</v>
      </c>
      <c r="K1188">
        <v>0</v>
      </c>
    </row>
    <row r="1189" spans="1:11" hidden="1" x14ac:dyDescent="0.35">
      <c r="A1189" t="s">
        <v>162</v>
      </c>
      <c r="B1189">
        <f t="shared" si="54"/>
        <v>2012</v>
      </c>
      <c r="C1189">
        <f t="shared" si="55"/>
        <v>12</v>
      </c>
      <c r="D1189">
        <f t="shared" si="56"/>
        <v>4</v>
      </c>
      <c r="E1189" t="s">
        <v>327</v>
      </c>
      <c r="F1189">
        <v>0</v>
      </c>
      <c r="G1189">
        <v>4.25</v>
      </c>
      <c r="H1189">
        <v>4.25</v>
      </c>
      <c r="J1189">
        <v>4.25</v>
      </c>
      <c r="K1189">
        <v>0</v>
      </c>
    </row>
    <row r="1190" spans="1:11" hidden="1" x14ac:dyDescent="0.35">
      <c r="A1190" t="s">
        <v>163</v>
      </c>
      <c r="B1190">
        <f t="shared" si="54"/>
        <v>2013</v>
      </c>
      <c r="C1190">
        <f t="shared" si="55"/>
        <v>1</v>
      </c>
      <c r="D1190">
        <f t="shared" si="56"/>
        <v>1</v>
      </c>
      <c r="E1190" t="s">
        <v>327</v>
      </c>
      <c r="F1190">
        <v>0</v>
      </c>
      <c r="G1190">
        <v>4.25</v>
      </c>
      <c r="H1190">
        <v>4.25</v>
      </c>
      <c r="J1190">
        <v>4.25</v>
      </c>
      <c r="K1190">
        <v>0</v>
      </c>
    </row>
    <row r="1191" spans="1:11" hidden="1" x14ac:dyDescent="0.35">
      <c r="A1191" t="s">
        <v>164</v>
      </c>
      <c r="B1191">
        <f t="shared" si="54"/>
        <v>2013</v>
      </c>
      <c r="C1191">
        <f t="shared" si="55"/>
        <v>2</v>
      </c>
      <c r="D1191">
        <f t="shared" si="56"/>
        <v>1</v>
      </c>
      <c r="E1191" t="s">
        <v>327</v>
      </c>
      <c r="F1191">
        <v>0</v>
      </c>
      <c r="G1191">
        <v>4.25</v>
      </c>
      <c r="H1191">
        <v>4.25</v>
      </c>
      <c r="J1191">
        <v>4.25</v>
      </c>
      <c r="K1191">
        <v>0</v>
      </c>
    </row>
    <row r="1192" spans="1:11" hidden="1" x14ac:dyDescent="0.35">
      <c r="A1192" t="s">
        <v>165</v>
      </c>
      <c r="B1192">
        <f t="shared" si="54"/>
        <v>2013</v>
      </c>
      <c r="C1192">
        <f t="shared" si="55"/>
        <v>3</v>
      </c>
      <c r="D1192">
        <f t="shared" si="56"/>
        <v>1</v>
      </c>
      <c r="E1192" t="s">
        <v>327</v>
      </c>
      <c r="F1192">
        <v>0</v>
      </c>
      <c r="G1192">
        <v>4.25</v>
      </c>
      <c r="H1192">
        <v>4.25</v>
      </c>
      <c r="J1192">
        <v>4.25</v>
      </c>
      <c r="K1192">
        <v>0</v>
      </c>
    </row>
    <row r="1193" spans="1:11" hidden="1" x14ac:dyDescent="0.35">
      <c r="A1193" t="s">
        <v>166</v>
      </c>
      <c r="B1193">
        <f t="shared" si="54"/>
        <v>2013</v>
      </c>
      <c r="C1193">
        <f t="shared" si="55"/>
        <v>4</v>
      </c>
      <c r="D1193">
        <f t="shared" si="56"/>
        <v>2</v>
      </c>
      <c r="E1193" t="s">
        <v>327</v>
      </c>
      <c r="F1193">
        <v>0</v>
      </c>
      <c r="G1193">
        <v>4.25</v>
      </c>
      <c r="H1193">
        <v>4.25</v>
      </c>
      <c r="J1193">
        <v>4.25</v>
      </c>
      <c r="K1193">
        <v>0</v>
      </c>
    </row>
    <row r="1194" spans="1:11" hidden="1" x14ac:dyDescent="0.35">
      <c r="A1194" t="s">
        <v>167</v>
      </c>
      <c r="B1194">
        <f t="shared" si="54"/>
        <v>2013</v>
      </c>
      <c r="C1194">
        <f t="shared" si="55"/>
        <v>5</v>
      </c>
      <c r="D1194">
        <f t="shared" si="56"/>
        <v>2</v>
      </c>
      <c r="E1194" t="s">
        <v>327</v>
      </c>
      <c r="F1194">
        <v>0</v>
      </c>
      <c r="G1194">
        <v>4.25</v>
      </c>
      <c r="H1194">
        <v>4.25</v>
      </c>
      <c r="J1194">
        <v>4.25</v>
      </c>
      <c r="K1194">
        <v>0</v>
      </c>
    </row>
    <row r="1195" spans="1:11" hidden="1" x14ac:dyDescent="0.35">
      <c r="A1195" t="s">
        <v>168</v>
      </c>
      <c r="B1195">
        <f t="shared" si="54"/>
        <v>2013</v>
      </c>
      <c r="C1195">
        <f t="shared" si="55"/>
        <v>6</v>
      </c>
      <c r="D1195">
        <f t="shared" si="56"/>
        <v>2</v>
      </c>
      <c r="E1195" t="s">
        <v>327</v>
      </c>
      <c r="F1195">
        <v>0</v>
      </c>
      <c r="G1195">
        <v>4.25</v>
      </c>
      <c r="H1195">
        <v>4.25</v>
      </c>
      <c r="J1195">
        <v>4.25</v>
      </c>
      <c r="K1195">
        <v>0</v>
      </c>
    </row>
    <row r="1196" spans="1:11" hidden="1" x14ac:dyDescent="0.35">
      <c r="A1196" t="s">
        <v>169</v>
      </c>
      <c r="B1196">
        <f t="shared" si="54"/>
        <v>2013</v>
      </c>
      <c r="C1196">
        <f t="shared" si="55"/>
        <v>7</v>
      </c>
      <c r="D1196">
        <f t="shared" si="56"/>
        <v>3</v>
      </c>
      <c r="E1196" t="s">
        <v>327</v>
      </c>
      <c r="F1196">
        <v>0</v>
      </c>
      <c r="G1196">
        <v>4.25</v>
      </c>
      <c r="H1196">
        <v>4.25</v>
      </c>
      <c r="J1196">
        <v>4.25</v>
      </c>
      <c r="K1196">
        <v>0</v>
      </c>
    </row>
    <row r="1197" spans="1:11" hidden="1" x14ac:dyDescent="0.35">
      <c r="A1197" t="s">
        <v>170</v>
      </c>
      <c r="B1197">
        <f t="shared" si="54"/>
        <v>2013</v>
      </c>
      <c r="C1197">
        <f t="shared" si="55"/>
        <v>8</v>
      </c>
      <c r="D1197">
        <f t="shared" si="56"/>
        <v>3</v>
      </c>
      <c r="E1197" t="s">
        <v>327</v>
      </c>
      <c r="F1197">
        <v>0</v>
      </c>
      <c r="G1197">
        <v>4.25</v>
      </c>
      <c r="H1197">
        <v>4.25</v>
      </c>
      <c r="J1197">
        <v>4.25</v>
      </c>
      <c r="K1197">
        <v>0</v>
      </c>
    </row>
    <row r="1198" spans="1:11" hidden="1" x14ac:dyDescent="0.35">
      <c r="A1198" t="s">
        <v>171</v>
      </c>
      <c r="B1198">
        <f t="shared" si="54"/>
        <v>2013</v>
      </c>
      <c r="C1198">
        <f t="shared" si="55"/>
        <v>9</v>
      </c>
      <c r="D1198">
        <f t="shared" si="56"/>
        <v>3</v>
      </c>
      <c r="E1198" t="s">
        <v>327</v>
      </c>
      <c r="F1198">
        <v>0</v>
      </c>
      <c r="G1198">
        <v>4.25</v>
      </c>
      <c r="H1198">
        <v>4.25</v>
      </c>
      <c r="J1198">
        <v>4.25</v>
      </c>
      <c r="K1198">
        <v>0</v>
      </c>
    </row>
    <row r="1199" spans="1:11" hidden="1" x14ac:dyDescent="0.35">
      <c r="A1199" t="s">
        <v>172</v>
      </c>
      <c r="B1199">
        <f t="shared" si="54"/>
        <v>2013</v>
      </c>
      <c r="C1199">
        <f t="shared" si="55"/>
        <v>10</v>
      </c>
      <c r="D1199">
        <f t="shared" si="56"/>
        <v>4</v>
      </c>
      <c r="E1199" t="s">
        <v>327</v>
      </c>
      <c r="F1199">
        <v>-0.25</v>
      </c>
      <c r="G1199">
        <v>4.25</v>
      </c>
      <c r="H1199">
        <v>4</v>
      </c>
      <c r="J1199">
        <v>4.25</v>
      </c>
      <c r="K1199">
        <v>-0.25</v>
      </c>
    </row>
    <row r="1200" spans="1:11" hidden="1" x14ac:dyDescent="0.35">
      <c r="A1200" t="s">
        <v>173</v>
      </c>
      <c r="B1200">
        <f t="shared" si="54"/>
        <v>2013</v>
      </c>
      <c r="C1200">
        <f t="shared" si="55"/>
        <v>11</v>
      </c>
      <c r="D1200">
        <f t="shared" si="56"/>
        <v>4</v>
      </c>
      <c r="E1200" t="s">
        <v>327</v>
      </c>
      <c r="F1200">
        <v>0</v>
      </c>
      <c r="G1200">
        <v>4</v>
      </c>
      <c r="H1200">
        <v>4</v>
      </c>
      <c r="J1200">
        <v>3.95</v>
      </c>
      <c r="K1200">
        <v>0.05</v>
      </c>
    </row>
    <row r="1201" spans="1:11" hidden="1" x14ac:dyDescent="0.35">
      <c r="A1201" t="s">
        <v>174</v>
      </c>
      <c r="B1201">
        <f t="shared" si="54"/>
        <v>2013</v>
      </c>
      <c r="C1201">
        <f t="shared" si="55"/>
        <v>12</v>
      </c>
      <c r="D1201">
        <f t="shared" si="56"/>
        <v>4</v>
      </c>
      <c r="E1201" t="s">
        <v>327</v>
      </c>
      <c r="F1201">
        <v>0</v>
      </c>
      <c r="G1201">
        <v>4</v>
      </c>
      <c r="H1201">
        <v>4</v>
      </c>
      <c r="J1201">
        <v>4</v>
      </c>
      <c r="K1201">
        <v>0</v>
      </c>
    </row>
    <row r="1202" spans="1:11" hidden="1" x14ac:dyDescent="0.35">
      <c r="A1202" t="s">
        <v>175</v>
      </c>
      <c r="B1202">
        <f t="shared" si="54"/>
        <v>2014</v>
      </c>
      <c r="C1202">
        <f t="shared" si="55"/>
        <v>1</v>
      </c>
      <c r="D1202">
        <f t="shared" si="56"/>
        <v>1</v>
      </c>
      <c r="E1202" t="s">
        <v>327</v>
      </c>
      <c r="F1202">
        <v>0</v>
      </c>
      <c r="G1202">
        <v>4</v>
      </c>
      <c r="H1202">
        <v>4</v>
      </c>
      <c r="J1202">
        <v>3.98333</v>
      </c>
      <c r="K1202">
        <v>1.6670000000000001E-2</v>
      </c>
    </row>
    <row r="1203" spans="1:11" hidden="1" x14ac:dyDescent="0.35">
      <c r="A1203" t="s">
        <v>176</v>
      </c>
      <c r="B1203">
        <f t="shared" si="54"/>
        <v>2014</v>
      </c>
      <c r="C1203">
        <f t="shared" si="55"/>
        <v>2</v>
      </c>
      <c r="D1203">
        <f t="shared" si="56"/>
        <v>1</v>
      </c>
      <c r="E1203" t="s">
        <v>327</v>
      </c>
      <c r="F1203">
        <v>0</v>
      </c>
      <c r="G1203">
        <v>4</v>
      </c>
      <c r="H1203">
        <v>4</v>
      </c>
      <c r="J1203">
        <v>4</v>
      </c>
      <c r="K1203">
        <v>0</v>
      </c>
    </row>
    <row r="1204" spans="1:11" hidden="1" x14ac:dyDescent="0.35">
      <c r="A1204" t="s">
        <v>177</v>
      </c>
      <c r="B1204">
        <f t="shared" si="54"/>
        <v>2014</v>
      </c>
      <c r="C1204">
        <f t="shared" si="55"/>
        <v>3</v>
      </c>
      <c r="D1204">
        <f t="shared" si="56"/>
        <v>1</v>
      </c>
      <c r="E1204" t="s">
        <v>327</v>
      </c>
      <c r="F1204">
        <v>0</v>
      </c>
      <c r="G1204">
        <v>4</v>
      </c>
      <c r="H1204">
        <v>4</v>
      </c>
      <c r="J1204">
        <v>4</v>
      </c>
      <c r="K1204">
        <v>0</v>
      </c>
    </row>
    <row r="1205" spans="1:11" hidden="1" x14ac:dyDescent="0.35">
      <c r="A1205" t="s">
        <v>178</v>
      </c>
      <c r="B1205">
        <f t="shared" si="54"/>
        <v>2014</v>
      </c>
      <c r="C1205">
        <f t="shared" si="55"/>
        <v>4</v>
      </c>
      <c r="D1205">
        <f t="shared" si="56"/>
        <v>2</v>
      </c>
      <c r="E1205" t="s">
        <v>327</v>
      </c>
      <c r="F1205">
        <v>0</v>
      </c>
      <c r="G1205">
        <v>4</v>
      </c>
      <c r="H1205">
        <v>4</v>
      </c>
      <c r="J1205">
        <v>4</v>
      </c>
      <c r="K1205">
        <v>0</v>
      </c>
    </row>
    <row r="1206" spans="1:11" hidden="1" x14ac:dyDescent="0.35">
      <c r="A1206" t="s">
        <v>179</v>
      </c>
      <c r="B1206">
        <f t="shared" si="54"/>
        <v>2014</v>
      </c>
      <c r="C1206">
        <f t="shared" si="55"/>
        <v>5</v>
      </c>
      <c r="D1206">
        <f t="shared" si="56"/>
        <v>2</v>
      </c>
      <c r="E1206" t="s">
        <v>327</v>
      </c>
      <c r="F1206">
        <v>0</v>
      </c>
      <c r="G1206">
        <v>4</v>
      </c>
      <c r="H1206">
        <v>4</v>
      </c>
      <c r="J1206">
        <v>4</v>
      </c>
      <c r="K1206">
        <v>0</v>
      </c>
    </row>
    <row r="1207" spans="1:11" hidden="1" x14ac:dyDescent="0.35">
      <c r="A1207" t="s">
        <v>180</v>
      </c>
      <c r="B1207">
        <f t="shared" si="54"/>
        <v>2014</v>
      </c>
      <c r="C1207">
        <f t="shared" si="55"/>
        <v>6</v>
      </c>
      <c r="D1207">
        <f t="shared" si="56"/>
        <v>2</v>
      </c>
      <c r="E1207" t="s">
        <v>327</v>
      </c>
      <c r="F1207">
        <v>-0.25</v>
      </c>
      <c r="G1207">
        <v>4</v>
      </c>
      <c r="H1207">
        <v>3.75</v>
      </c>
      <c r="J1207">
        <v>3.9</v>
      </c>
      <c r="K1207">
        <v>-0.15</v>
      </c>
    </row>
    <row r="1208" spans="1:11" hidden="1" x14ac:dyDescent="0.35">
      <c r="A1208" t="s">
        <v>181</v>
      </c>
      <c r="B1208">
        <f t="shared" si="54"/>
        <v>2014</v>
      </c>
      <c r="C1208">
        <f t="shared" si="55"/>
        <v>7</v>
      </c>
      <c r="D1208">
        <f t="shared" si="56"/>
        <v>3</v>
      </c>
      <c r="E1208" t="s">
        <v>327</v>
      </c>
      <c r="F1208">
        <v>0.25</v>
      </c>
      <c r="G1208">
        <v>3.5</v>
      </c>
      <c r="H1208">
        <v>3.75</v>
      </c>
      <c r="J1208">
        <v>3.5833300000000001</v>
      </c>
      <c r="K1208">
        <v>0.16667000000000001</v>
      </c>
    </row>
    <row r="1209" spans="1:11" hidden="1" x14ac:dyDescent="0.35">
      <c r="A1209" t="s">
        <v>182</v>
      </c>
      <c r="B1209">
        <f t="shared" si="54"/>
        <v>2014</v>
      </c>
      <c r="C1209">
        <f t="shared" si="55"/>
        <v>8</v>
      </c>
      <c r="D1209">
        <f t="shared" si="56"/>
        <v>3</v>
      </c>
      <c r="E1209" t="s">
        <v>327</v>
      </c>
      <c r="F1209">
        <v>0</v>
      </c>
      <c r="G1209">
        <v>3.5</v>
      </c>
      <c r="H1209">
        <v>3.5</v>
      </c>
      <c r="J1209">
        <v>3.5882399999999999</v>
      </c>
      <c r="K1209">
        <v>-8.8239999999999999E-2</v>
      </c>
    </row>
    <row r="1210" spans="1:11" hidden="1" x14ac:dyDescent="0.35">
      <c r="A1210" t="s">
        <v>183</v>
      </c>
      <c r="B1210">
        <f t="shared" si="54"/>
        <v>2014</v>
      </c>
      <c r="C1210">
        <f t="shared" si="55"/>
        <v>9</v>
      </c>
      <c r="D1210">
        <f t="shared" si="56"/>
        <v>3</v>
      </c>
      <c r="E1210" t="s">
        <v>327</v>
      </c>
      <c r="F1210">
        <v>0</v>
      </c>
      <c r="G1210">
        <v>3.5</v>
      </c>
      <c r="H1210">
        <v>3.5</v>
      </c>
      <c r="J1210">
        <v>3.4583300000000001</v>
      </c>
      <c r="K1210">
        <v>4.1669999999999999E-2</v>
      </c>
    </row>
    <row r="1211" spans="1:11" hidden="1" x14ac:dyDescent="0.35">
      <c r="A1211" t="s">
        <v>184</v>
      </c>
      <c r="B1211">
        <f t="shared" si="54"/>
        <v>2014</v>
      </c>
      <c r="C1211">
        <f t="shared" si="55"/>
        <v>10</v>
      </c>
      <c r="D1211">
        <f t="shared" si="56"/>
        <v>4</v>
      </c>
      <c r="E1211" t="s">
        <v>327</v>
      </c>
      <c r="F1211">
        <v>0</v>
      </c>
      <c r="G1211">
        <v>3.5</v>
      </c>
      <c r="H1211">
        <v>3.5</v>
      </c>
      <c r="J1211">
        <v>3.4473699999999998</v>
      </c>
      <c r="K1211">
        <v>5.2630000000000003E-2</v>
      </c>
    </row>
    <row r="1212" spans="1:11" hidden="1" x14ac:dyDescent="0.35">
      <c r="A1212" t="s">
        <v>185</v>
      </c>
      <c r="B1212">
        <f t="shared" si="54"/>
        <v>2014</v>
      </c>
      <c r="C1212">
        <f t="shared" si="55"/>
        <v>11</v>
      </c>
      <c r="D1212">
        <f t="shared" si="56"/>
        <v>4</v>
      </c>
      <c r="E1212" t="s">
        <v>327</v>
      </c>
      <c r="F1212">
        <v>0</v>
      </c>
      <c r="G1212">
        <v>3.5</v>
      </c>
      <c r="H1212">
        <v>3.5</v>
      </c>
      <c r="J1212">
        <v>3.4210500000000001</v>
      </c>
      <c r="K1212">
        <v>7.8950000000000006E-2</v>
      </c>
    </row>
    <row r="1213" spans="1:11" hidden="1" x14ac:dyDescent="0.35">
      <c r="A1213" t="s">
        <v>186</v>
      </c>
      <c r="B1213">
        <f t="shared" si="54"/>
        <v>2014</v>
      </c>
      <c r="C1213">
        <f t="shared" si="55"/>
        <v>12</v>
      </c>
      <c r="D1213">
        <f t="shared" si="56"/>
        <v>4</v>
      </c>
      <c r="E1213" t="s">
        <v>327</v>
      </c>
      <c r="F1213">
        <v>-0.25</v>
      </c>
      <c r="G1213">
        <v>3.5</v>
      </c>
      <c r="H1213">
        <v>3.25</v>
      </c>
      <c r="J1213">
        <v>3.5</v>
      </c>
      <c r="K1213">
        <v>-0.25</v>
      </c>
    </row>
    <row r="1214" spans="1:11" hidden="1" x14ac:dyDescent="0.35">
      <c r="A1214" t="s">
        <v>187</v>
      </c>
      <c r="B1214">
        <f t="shared" si="54"/>
        <v>2015</v>
      </c>
      <c r="C1214">
        <f t="shared" si="55"/>
        <v>1</v>
      </c>
      <c r="D1214">
        <f t="shared" si="56"/>
        <v>1</v>
      </c>
      <c r="E1214" t="s">
        <v>327</v>
      </c>
      <c r="F1214">
        <v>0</v>
      </c>
      <c r="G1214">
        <v>3.25</v>
      </c>
      <c r="H1214">
        <v>3.25</v>
      </c>
      <c r="J1214">
        <v>3.2250000000000001</v>
      </c>
      <c r="K1214">
        <v>2.5000000000000001E-2</v>
      </c>
    </row>
    <row r="1215" spans="1:11" hidden="1" x14ac:dyDescent="0.35">
      <c r="A1215" t="s">
        <v>188</v>
      </c>
      <c r="B1215">
        <f t="shared" si="54"/>
        <v>2015</v>
      </c>
      <c r="C1215">
        <f t="shared" si="55"/>
        <v>2</v>
      </c>
      <c r="D1215">
        <f t="shared" si="56"/>
        <v>1</v>
      </c>
      <c r="E1215" t="s">
        <v>327</v>
      </c>
      <c r="F1215">
        <v>0</v>
      </c>
      <c r="G1215">
        <v>3.25</v>
      </c>
      <c r="H1215">
        <v>3.25</v>
      </c>
      <c r="J1215">
        <v>3.1625000000000001</v>
      </c>
      <c r="K1215">
        <v>8.7499999999999994E-2</v>
      </c>
    </row>
    <row r="1216" spans="1:11" hidden="1" x14ac:dyDescent="0.35">
      <c r="A1216" t="s">
        <v>189</v>
      </c>
      <c r="B1216">
        <f t="shared" si="54"/>
        <v>2015</v>
      </c>
      <c r="C1216">
        <f t="shared" si="55"/>
        <v>3</v>
      </c>
      <c r="D1216">
        <f t="shared" si="56"/>
        <v>1</v>
      </c>
      <c r="E1216" t="s">
        <v>327</v>
      </c>
      <c r="F1216">
        <v>0</v>
      </c>
      <c r="G1216">
        <v>3.25</v>
      </c>
      <c r="H1216">
        <v>3.25</v>
      </c>
      <c r="J1216">
        <v>3.1842100000000002</v>
      </c>
      <c r="K1216">
        <v>6.5790000000000001E-2</v>
      </c>
    </row>
    <row r="1217" spans="1:11" hidden="1" x14ac:dyDescent="0.35">
      <c r="A1217" t="s">
        <v>190</v>
      </c>
      <c r="B1217">
        <f t="shared" si="54"/>
        <v>2015</v>
      </c>
      <c r="C1217">
        <f t="shared" si="55"/>
        <v>4</v>
      </c>
      <c r="D1217">
        <f t="shared" si="56"/>
        <v>2</v>
      </c>
      <c r="E1217" t="s">
        <v>327</v>
      </c>
      <c r="F1217">
        <v>0</v>
      </c>
      <c r="G1217">
        <v>3.25</v>
      </c>
      <c r="H1217">
        <v>3.25</v>
      </c>
      <c r="J1217">
        <v>3.25</v>
      </c>
      <c r="K1217">
        <v>0</v>
      </c>
    </row>
    <row r="1218" spans="1:11" hidden="1" x14ac:dyDescent="0.35">
      <c r="A1218" t="s">
        <v>191</v>
      </c>
      <c r="B1218">
        <f t="shared" si="54"/>
        <v>2015</v>
      </c>
      <c r="C1218">
        <f t="shared" si="55"/>
        <v>5</v>
      </c>
      <c r="D1218">
        <f t="shared" si="56"/>
        <v>2</v>
      </c>
      <c r="E1218" t="s">
        <v>327</v>
      </c>
      <c r="F1218">
        <v>0</v>
      </c>
      <c r="G1218">
        <v>3.25</v>
      </c>
      <c r="H1218">
        <v>3.25</v>
      </c>
      <c r="J1218">
        <v>3.25</v>
      </c>
      <c r="K1218">
        <v>0</v>
      </c>
    </row>
    <row r="1219" spans="1:11" hidden="1" x14ac:dyDescent="0.35">
      <c r="A1219" t="s">
        <v>192</v>
      </c>
      <c r="B1219">
        <f t="shared" ref="B1219:B1282" si="57">LEFT(A1219,4)*1</f>
        <v>2015</v>
      </c>
      <c r="C1219">
        <f t="shared" ref="C1219:C1282" si="58">MID(A1219,6,2)*1</f>
        <v>6</v>
      </c>
      <c r="D1219">
        <f t="shared" ref="D1219:D1282" si="59">ROUNDUP(C1219/3,0)</f>
        <v>2</v>
      </c>
      <c r="E1219" t="s">
        <v>327</v>
      </c>
      <c r="F1219">
        <v>0</v>
      </c>
      <c r="G1219">
        <v>3.25</v>
      </c>
      <c r="H1219">
        <v>3.25</v>
      </c>
      <c r="J1219">
        <v>3.25</v>
      </c>
      <c r="K1219">
        <v>0</v>
      </c>
    </row>
    <row r="1220" spans="1:11" hidden="1" x14ac:dyDescent="0.35">
      <c r="A1220" t="s">
        <v>193</v>
      </c>
      <c r="B1220">
        <f t="shared" si="57"/>
        <v>2015</v>
      </c>
      <c r="C1220">
        <f t="shared" si="58"/>
        <v>7</v>
      </c>
      <c r="D1220">
        <f t="shared" si="59"/>
        <v>3</v>
      </c>
      <c r="E1220" t="s">
        <v>327</v>
      </c>
      <c r="F1220">
        <v>0</v>
      </c>
      <c r="G1220">
        <v>3.25</v>
      </c>
      <c r="H1220">
        <v>3.25</v>
      </c>
      <c r="J1220">
        <v>3.25</v>
      </c>
      <c r="K1220">
        <v>0</v>
      </c>
    </row>
    <row r="1221" spans="1:11" hidden="1" x14ac:dyDescent="0.35">
      <c r="A1221" t="s">
        <v>194</v>
      </c>
      <c r="B1221">
        <f t="shared" si="57"/>
        <v>2015</v>
      </c>
      <c r="C1221">
        <f t="shared" si="58"/>
        <v>8</v>
      </c>
      <c r="D1221">
        <f t="shared" si="59"/>
        <v>3</v>
      </c>
      <c r="E1221" t="s">
        <v>327</v>
      </c>
      <c r="F1221">
        <v>0.25</v>
      </c>
      <c r="G1221">
        <v>3.25</v>
      </c>
      <c r="H1221">
        <v>3.5</v>
      </c>
      <c r="J1221">
        <v>3.2941199999999999</v>
      </c>
      <c r="K1221">
        <v>0.20588000000000001</v>
      </c>
    </row>
    <row r="1222" spans="1:11" hidden="1" x14ac:dyDescent="0.35">
      <c r="A1222" t="s">
        <v>195</v>
      </c>
      <c r="B1222">
        <f t="shared" si="57"/>
        <v>2015</v>
      </c>
      <c r="C1222">
        <f t="shared" si="58"/>
        <v>9</v>
      </c>
      <c r="D1222">
        <f t="shared" si="59"/>
        <v>3</v>
      </c>
      <c r="E1222" t="s">
        <v>327</v>
      </c>
      <c r="F1222">
        <v>0</v>
      </c>
      <c r="G1222">
        <v>3.5</v>
      </c>
      <c r="H1222">
        <v>3.5</v>
      </c>
      <c r="J1222">
        <v>3.5</v>
      </c>
      <c r="K1222">
        <v>0</v>
      </c>
    </row>
    <row r="1223" spans="1:11" hidden="1" x14ac:dyDescent="0.35">
      <c r="A1223" t="s">
        <v>196</v>
      </c>
      <c r="B1223">
        <f t="shared" si="57"/>
        <v>2015</v>
      </c>
      <c r="C1223">
        <f t="shared" si="58"/>
        <v>10</v>
      </c>
      <c r="D1223">
        <f t="shared" si="59"/>
        <v>4</v>
      </c>
      <c r="E1223" t="s">
        <v>327</v>
      </c>
      <c r="F1223">
        <v>0</v>
      </c>
      <c r="G1223">
        <v>3.5</v>
      </c>
      <c r="H1223">
        <v>3.5</v>
      </c>
      <c r="J1223">
        <v>3.5</v>
      </c>
      <c r="K1223">
        <v>0</v>
      </c>
    </row>
    <row r="1224" spans="1:11" hidden="1" x14ac:dyDescent="0.35">
      <c r="A1224" t="s">
        <v>197</v>
      </c>
      <c r="B1224">
        <f t="shared" si="57"/>
        <v>2015</v>
      </c>
      <c r="C1224">
        <f t="shared" si="58"/>
        <v>11</v>
      </c>
      <c r="D1224">
        <f t="shared" si="59"/>
        <v>4</v>
      </c>
      <c r="E1224" t="s">
        <v>327</v>
      </c>
      <c r="F1224">
        <v>0</v>
      </c>
      <c r="G1224">
        <v>3.75</v>
      </c>
      <c r="H1224">
        <v>3.75</v>
      </c>
      <c r="J1224">
        <v>3.75</v>
      </c>
      <c r="K1224">
        <v>0</v>
      </c>
    </row>
    <row r="1225" spans="1:11" hidden="1" x14ac:dyDescent="0.35">
      <c r="A1225" t="s">
        <v>198</v>
      </c>
      <c r="B1225">
        <f t="shared" si="57"/>
        <v>2015</v>
      </c>
      <c r="C1225">
        <f t="shared" si="58"/>
        <v>12</v>
      </c>
      <c r="D1225">
        <f t="shared" si="59"/>
        <v>4</v>
      </c>
      <c r="E1225" t="s">
        <v>327</v>
      </c>
      <c r="F1225">
        <v>0</v>
      </c>
      <c r="G1225">
        <v>4</v>
      </c>
      <c r="H1225">
        <v>4</v>
      </c>
      <c r="J1225">
        <v>3.9</v>
      </c>
      <c r="K1225">
        <v>0.1</v>
      </c>
    </row>
    <row r="1226" spans="1:11" hidden="1" x14ac:dyDescent="0.35">
      <c r="A1226" t="s">
        <v>199</v>
      </c>
      <c r="B1226">
        <f t="shared" si="57"/>
        <v>2016</v>
      </c>
      <c r="C1226">
        <f t="shared" si="58"/>
        <v>1</v>
      </c>
      <c r="D1226">
        <f t="shared" si="59"/>
        <v>1</v>
      </c>
      <c r="E1226" t="s">
        <v>327</v>
      </c>
      <c r="F1226">
        <v>0</v>
      </c>
      <c r="G1226">
        <v>4.25</v>
      </c>
      <c r="H1226">
        <v>4.25</v>
      </c>
      <c r="J1226">
        <v>4.2031200000000002</v>
      </c>
      <c r="K1226">
        <v>4.6879999999999998E-2</v>
      </c>
    </row>
    <row r="1227" spans="1:11" hidden="1" x14ac:dyDescent="0.35">
      <c r="A1227" t="s">
        <v>200</v>
      </c>
      <c r="B1227">
        <f t="shared" si="57"/>
        <v>2016</v>
      </c>
      <c r="C1227">
        <f t="shared" si="58"/>
        <v>2</v>
      </c>
      <c r="D1227">
        <f t="shared" si="59"/>
        <v>1</v>
      </c>
      <c r="E1227" t="s">
        <v>327</v>
      </c>
      <c r="F1227">
        <v>-0.25</v>
      </c>
      <c r="G1227">
        <v>4.5</v>
      </c>
      <c r="H1227">
        <v>4.25</v>
      </c>
      <c r="J1227">
        <v>4.4285699999999997</v>
      </c>
      <c r="K1227">
        <v>-0.17857000000000001</v>
      </c>
    </row>
    <row r="1228" spans="1:11" hidden="1" x14ac:dyDescent="0.35">
      <c r="A1228" t="s">
        <v>201</v>
      </c>
      <c r="B1228">
        <f t="shared" si="57"/>
        <v>2016</v>
      </c>
      <c r="C1228">
        <f t="shared" si="58"/>
        <v>3</v>
      </c>
      <c r="D1228">
        <f t="shared" si="59"/>
        <v>1</v>
      </c>
      <c r="E1228" t="s">
        <v>327</v>
      </c>
      <c r="F1228">
        <v>0</v>
      </c>
      <c r="G1228">
        <v>4.25</v>
      </c>
      <c r="H1228">
        <v>4.25</v>
      </c>
      <c r="J1228">
        <v>4.3035699999999997</v>
      </c>
      <c r="K1228">
        <v>-5.357E-2</v>
      </c>
    </row>
    <row r="1229" spans="1:11" hidden="1" x14ac:dyDescent="0.35">
      <c r="A1229" t="s">
        <v>202</v>
      </c>
      <c r="B1229">
        <f t="shared" si="57"/>
        <v>2016</v>
      </c>
      <c r="C1229">
        <f t="shared" si="58"/>
        <v>4</v>
      </c>
      <c r="D1229">
        <f t="shared" si="59"/>
        <v>2</v>
      </c>
      <c r="E1229" t="s">
        <v>327</v>
      </c>
      <c r="F1229">
        <v>0</v>
      </c>
      <c r="G1229">
        <v>4.25</v>
      </c>
      <c r="H1229">
        <v>4.25</v>
      </c>
      <c r="J1229">
        <v>4.2794100000000004</v>
      </c>
      <c r="K1229">
        <v>-2.9409999999999999E-2</v>
      </c>
    </row>
    <row r="1230" spans="1:11" hidden="1" x14ac:dyDescent="0.35">
      <c r="A1230" t="s">
        <v>203</v>
      </c>
      <c r="B1230">
        <f t="shared" si="57"/>
        <v>2016</v>
      </c>
      <c r="C1230">
        <f t="shared" si="58"/>
        <v>5</v>
      </c>
      <c r="D1230">
        <f t="shared" si="59"/>
        <v>2</v>
      </c>
      <c r="E1230" t="s">
        <v>327</v>
      </c>
      <c r="F1230">
        <v>0</v>
      </c>
      <c r="G1230">
        <v>4.25</v>
      </c>
      <c r="H1230">
        <v>4.25</v>
      </c>
      <c r="J1230">
        <v>4.2708300000000001</v>
      </c>
      <c r="K1230">
        <v>-2.0830000000000001E-2</v>
      </c>
    </row>
    <row r="1231" spans="1:11" hidden="1" x14ac:dyDescent="0.35">
      <c r="A1231" t="s">
        <v>204</v>
      </c>
      <c r="B1231">
        <f t="shared" si="57"/>
        <v>2016</v>
      </c>
      <c r="C1231">
        <f t="shared" si="58"/>
        <v>6</v>
      </c>
      <c r="D1231">
        <f t="shared" si="59"/>
        <v>2</v>
      </c>
      <c r="E1231" t="s">
        <v>327</v>
      </c>
      <c r="F1231">
        <v>0</v>
      </c>
      <c r="G1231">
        <v>4.25</v>
      </c>
      <c r="H1231">
        <v>4.25</v>
      </c>
      <c r="J1231">
        <v>4.25</v>
      </c>
      <c r="K1231">
        <v>0</v>
      </c>
    </row>
    <row r="1232" spans="1:11" hidden="1" x14ac:dyDescent="0.35">
      <c r="A1232" t="s">
        <v>205</v>
      </c>
      <c r="B1232">
        <f t="shared" si="57"/>
        <v>2016</v>
      </c>
      <c r="C1232">
        <f t="shared" si="58"/>
        <v>7</v>
      </c>
      <c r="D1232">
        <f t="shared" si="59"/>
        <v>3</v>
      </c>
      <c r="E1232" t="s">
        <v>327</v>
      </c>
      <c r="F1232">
        <v>0</v>
      </c>
      <c r="G1232">
        <v>4.25</v>
      </c>
      <c r="H1232">
        <v>4.25</v>
      </c>
      <c r="J1232">
        <v>4.25</v>
      </c>
      <c r="K1232">
        <v>0</v>
      </c>
    </row>
    <row r="1233" spans="1:11" hidden="1" x14ac:dyDescent="0.35">
      <c r="A1233" t="s">
        <v>206</v>
      </c>
      <c r="B1233">
        <f t="shared" si="57"/>
        <v>2016</v>
      </c>
      <c r="C1233">
        <f t="shared" si="58"/>
        <v>8</v>
      </c>
      <c r="D1233">
        <f t="shared" si="59"/>
        <v>3</v>
      </c>
      <c r="E1233" t="s">
        <v>327</v>
      </c>
      <c r="F1233">
        <v>0</v>
      </c>
      <c r="G1233">
        <v>4.25</v>
      </c>
      <c r="H1233">
        <v>4.25</v>
      </c>
      <c r="J1233">
        <v>4.25</v>
      </c>
      <c r="K1233">
        <v>0</v>
      </c>
    </row>
    <row r="1234" spans="1:11" hidden="1" x14ac:dyDescent="0.35">
      <c r="A1234" t="s">
        <v>207</v>
      </c>
      <c r="B1234">
        <f t="shared" si="57"/>
        <v>2016</v>
      </c>
      <c r="C1234">
        <f t="shared" si="58"/>
        <v>9</v>
      </c>
      <c r="D1234">
        <f t="shared" si="59"/>
        <v>3</v>
      </c>
      <c r="E1234" t="s">
        <v>327</v>
      </c>
      <c r="F1234">
        <v>0</v>
      </c>
      <c r="G1234">
        <v>4.25</v>
      </c>
      <c r="H1234">
        <v>4.25</v>
      </c>
      <c r="J1234">
        <v>4.25</v>
      </c>
      <c r="K1234">
        <v>0</v>
      </c>
    </row>
    <row r="1235" spans="1:11" hidden="1" x14ac:dyDescent="0.35">
      <c r="A1235" t="s">
        <v>208</v>
      </c>
      <c r="B1235">
        <f t="shared" si="57"/>
        <v>2016</v>
      </c>
      <c r="C1235">
        <f t="shared" si="58"/>
        <v>10</v>
      </c>
      <c r="D1235">
        <f t="shared" si="59"/>
        <v>4</v>
      </c>
      <c r="E1235" t="s">
        <v>327</v>
      </c>
      <c r="F1235">
        <v>0</v>
      </c>
      <c r="G1235">
        <v>4.25</v>
      </c>
      <c r="H1235">
        <v>4.25</v>
      </c>
      <c r="J1235">
        <v>4.25</v>
      </c>
      <c r="K1235">
        <v>0</v>
      </c>
    </row>
    <row r="1236" spans="1:11" hidden="1" x14ac:dyDescent="0.35">
      <c r="A1236" t="s">
        <v>209</v>
      </c>
      <c r="B1236">
        <f t="shared" si="57"/>
        <v>2016</v>
      </c>
      <c r="C1236">
        <f t="shared" si="58"/>
        <v>11</v>
      </c>
      <c r="D1236">
        <f t="shared" si="59"/>
        <v>4</v>
      </c>
      <c r="E1236" t="s">
        <v>327</v>
      </c>
      <c r="F1236">
        <v>0</v>
      </c>
      <c r="G1236">
        <v>4.25</v>
      </c>
      <c r="H1236">
        <v>4.25</v>
      </c>
      <c r="J1236">
        <v>4.25</v>
      </c>
      <c r="K1236">
        <v>0</v>
      </c>
    </row>
    <row r="1237" spans="1:11" hidden="1" x14ac:dyDescent="0.35">
      <c r="A1237" t="s">
        <v>210</v>
      </c>
      <c r="B1237">
        <f t="shared" si="57"/>
        <v>2016</v>
      </c>
      <c r="C1237">
        <f t="shared" si="58"/>
        <v>12</v>
      </c>
      <c r="D1237">
        <f t="shared" si="59"/>
        <v>4</v>
      </c>
      <c r="E1237" t="s">
        <v>327</v>
      </c>
      <c r="F1237">
        <v>0</v>
      </c>
      <c r="G1237">
        <v>4.25</v>
      </c>
      <c r="H1237">
        <v>4.25</v>
      </c>
      <c r="J1237">
        <v>4.25</v>
      </c>
      <c r="K1237">
        <v>0</v>
      </c>
    </row>
    <row r="1238" spans="1:11" hidden="1" x14ac:dyDescent="0.35">
      <c r="A1238" t="s">
        <v>211</v>
      </c>
      <c r="B1238">
        <f t="shared" si="57"/>
        <v>2017</v>
      </c>
      <c r="C1238">
        <f t="shared" si="58"/>
        <v>1</v>
      </c>
      <c r="D1238">
        <f t="shared" si="59"/>
        <v>1</v>
      </c>
      <c r="E1238" t="s">
        <v>327</v>
      </c>
      <c r="F1238">
        <v>0</v>
      </c>
      <c r="G1238">
        <v>4.25</v>
      </c>
      <c r="H1238">
        <v>4.25</v>
      </c>
      <c r="J1238">
        <v>4.25</v>
      </c>
      <c r="K1238">
        <v>0</v>
      </c>
    </row>
    <row r="1239" spans="1:11" hidden="1" x14ac:dyDescent="0.35">
      <c r="A1239" t="s">
        <v>212</v>
      </c>
      <c r="B1239">
        <f t="shared" si="57"/>
        <v>2017</v>
      </c>
      <c r="C1239">
        <f t="shared" si="58"/>
        <v>2</v>
      </c>
      <c r="D1239">
        <f t="shared" si="59"/>
        <v>1</v>
      </c>
      <c r="E1239" t="s">
        <v>327</v>
      </c>
      <c r="F1239">
        <v>0</v>
      </c>
      <c r="G1239">
        <v>4.25</v>
      </c>
      <c r="H1239">
        <v>4.25</v>
      </c>
      <c r="J1239">
        <v>4.25</v>
      </c>
      <c r="K1239">
        <v>0</v>
      </c>
    </row>
    <row r="1240" spans="1:11" hidden="1" x14ac:dyDescent="0.35">
      <c r="A1240" t="s">
        <v>213</v>
      </c>
      <c r="B1240">
        <f t="shared" si="57"/>
        <v>2017</v>
      </c>
      <c r="C1240">
        <f t="shared" si="58"/>
        <v>3</v>
      </c>
      <c r="D1240">
        <f t="shared" si="59"/>
        <v>1</v>
      </c>
      <c r="E1240" t="s">
        <v>327</v>
      </c>
      <c r="F1240">
        <v>0</v>
      </c>
      <c r="G1240">
        <v>4.25</v>
      </c>
      <c r="H1240">
        <v>4.25</v>
      </c>
      <c r="J1240">
        <v>4.2307699999999997</v>
      </c>
      <c r="K1240">
        <v>1.9230000000000001E-2</v>
      </c>
    </row>
    <row r="1241" spans="1:11" hidden="1" x14ac:dyDescent="0.35">
      <c r="A1241" t="s">
        <v>214</v>
      </c>
      <c r="B1241">
        <f t="shared" si="57"/>
        <v>2017</v>
      </c>
      <c r="C1241">
        <f t="shared" si="58"/>
        <v>4</v>
      </c>
      <c r="D1241">
        <f t="shared" si="59"/>
        <v>2</v>
      </c>
      <c r="E1241" t="s">
        <v>327</v>
      </c>
      <c r="F1241">
        <v>-0.25</v>
      </c>
      <c r="G1241">
        <v>4.25</v>
      </c>
      <c r="H1241">
        <v>4</v>
      </c>
      <c r="J1241">
        <v>4.1176500000000003</v>
      </c>
      <c r="K1241">
        <v>-0.11765</v>
      </c>
    </row>
    <row r="1242" spans="1:11" hidden="1" x14ac:dyDescent="0.35">
      <c r="A1242" t="s">
        <v>215</v>
      </c>
      <c r="B1242">
        <f t="shared" si="57"/>
        <v>2017</v>
      </c>
      <c r="C1242">
        <f t="shared" si="58"/>
        <v>5</v>
      </c>
      <c r="D1242">
        <f t="shared" si="59"/>
        <v>2</v>
      </c>
      <c r="E1242" t="s">
        <v>327</v>
      </c>
      <c r="F1242">
        <v>0.25</v>
      </c>
      <c r="G1242">
        <v>3.75</v>
      </c>
      <c r="H1242">
        <v>4</v>
      </c>
      <c r="J1242">
        <v>3.8666700000000001</v>
      </c>
      <c r="K1242">
        <v>0.13333</v>
      </c>
    </row>
    <row r="1243" spans="1:11" hidden="1" x14ac:dyDescent="0.35">
      <c r="A1243" t="s">
        <v>216</v>
      </c>
      <c r="B1243">
        <f t="shared" si="57"/>
        <v>2017</v>
      </c>
      <c r="C1243">
        <f t="shared" si="58"/>
        <v>6</v>
      </c>
      <c r="D1243">
        <f t="shared" si="59"/>
        <v>2</v>
      </c>
      <c r="E1243" t="s">
        <v>327</v>
      </c>
      <c r="F1243">
        <v>0</v>
      </c>
      <c r="G1243">
        <v>3.75</v>
      </c>
      <c r="H1243">
        <v>3.75</v>
      </c>
      <c r="J1243">
        <v>3.76667</v>
      </c>
      <c r="K1243">
        <v>-1.6670000000000001E-2</v>
      </c>
    </row>
    <row r="1244" spans="1:11" hidden="1" x14ac:dyDescent="0.35">
      <c r="A1244" t="s">
        <v>217</v>
      </c>
      <c r="B1244">
        <f t="shared" si="57"/>
        <v>2017</v>
      </c>
      <c r="C1244">
        <f t="shared" si="58"/>
        <v>7</v>
      </c>
      <c r="D1244">
        <f t="shared" si="59"/>
        <v>3</v>
      </c>
      <c r="E1244" t="s">
        <v>327</v>
      </c>
      <c r="F1244">
        <v>0</v>
      </c>
      <c r="G1244">
        <v>3.75</v>
      </c>
      <c r="H1244">
        <v>3.75</v>
      </c>
      <c r="J1244">
        <v>3.7307700000000001</v>
      </c>
      <c r="K1244">
        <v>1.9230000000000001E-2</v>
      </c>
    </row>
    <row r="1245" spans="1:11" hidden="1" x14ac:dyDescent="0.35">
      <c r="A1245" t="s">
        <v>218</v>
      </c>
      <c r="B1245">
        <f t="shared" si="57"/>
        <v>2017</v>
      </c>
      <c r="C1245">
        <f t="shared" si="58"/>
        <v>8</v>
      </c>
      <c r="D1245">
        <f t="shared" si="59"/>
        <v>3</v>
      </c>
      <c r="E1245" t="s">
        <v>327</v>
      </c>
      <c r="F1245">
        <v>-0.25</v>
      </c>
      <c r="G1245">
        <v>3.75</v>
      </c>
      <c r="H1245">
        <v>3.5</v>
      </c>
      <c r="J1245">
        <v>3.6428600000000002</v>
      </c>
      <c r="K1245">
        <v>-0.14285999999999999</v>
      </c>
    </row>
    <row r="1246" spans="1:11" hidden="1" x14ac:dyDescent="0.35">
      <c r="A1246" t="s">
        <v>219</v>
      </c>
      <c r="B1246">
        <f t="shared" si="57"/>
        <v>2017</v>
      </c>
      <c r="C1246">
        <f t="shared" si="58"/>
        <v>9</v>
      </c>
      <c r="D1246">
        <f t="shared" si="59"/>
        <v>3</v>
      </c>
      <c r="E1246" t="s">
        <v>327</v>
      </c>
      <c r="F1246">
        <v>0</v>
      </c>
      <c r="G1246">
        <v>3.5</v>
      </c>
      <c r="H1246">
        <v>3.5</v>
      </c>
      <c r="J1246">
        <v>3.4583300000000001</v>
      </c>
      <c r="K1246">
        <v>4.1669999999999999E-2</v>
      </c>
    </row>
    <row r="1247" spans="1:11" hidden="1" x14ac:dyDescent="0.35">
      <c r="A1247" t="s">
        <v>220</v>
      </c>
      <c r="B1247">
        <f t="shared" si="57"/>
        <v>2017</v>
      </c>
      <c r="C1247">
        <f t="shared" si="58"/>
        <v>10</v>
      </c>
      <c r="D1247">
        <f t="shared" si="59"/>
        <v>4</v>
      </c>
      <c r="E1247" t="s">
        <v>327</v>
      </c>
      <c r="F1247">
        <v>-0.25</v>
      </c>
      <c r="G1247">
        <v>3.5</v>
      </c>
      <c r="H1247">
        <v>3.25</v>
      </c>
      <c r="J1247">
        <v>3.4218799999999998</v>
      </c>
      <c r="K1247">
        <v>-0.17188000000000001</v>
      </c>
    </row>
    <row r="1248" spans="1:11" hidden="1" x14ac:dyDescent="0.35">
      <c r="A1248" t="s">
        <v>221</v>
      </c>
      <c r="B1248">
        <f t="shared" si="57"/>
        <v>2017</v>
      </c>
      <c r="C1248">
        <f t="shared" si="58"/>
        <v>11</v>
      </c>
      <c r="D1248">
        <f t="shared" si="59"/>
        <v>4</v>
      </c>
      <c r="E1248" t="s">
        <v>327</v>
      </c>
      <c r="F1248">
        <v>0</v>
      </c>
      <c r="G1248">
        <v>3.25</v>
      </c>
      <c r="H1248">
        <v>3.25</v>
      </c>
      <c r="J1248">
        <v>3.1718799999999998</v>
      </c>
      <c r="K1248">
        <v>7.8119999999999995E-2</v>
      </c>
    </row>
    <row r="1249" spans="1:11" hidden="1" x14ac:dyDescent="0.35">
      <c r="A1249" t="s">
        <v>222</v>
      </c>
      <c r="B1249">
        <f t="shared" si="57"/>
        <v>2017</v>
      </c>
      <c r="C1249">
        <f t="shared" si="58"/>
        <v>12</v>
      </c>
      <c r="D1249">
        <f t="shared" si="59"/>
        <v>4</v>
      </c>
      <c r="E1249" t="s">
        <v>327</v>
      </c>
      <c r="F1249">
        <v>0</v>
      </c>
      <c r="G1249">
        <v>3</v>
      </c>
      <c r="H1249">
        <v>3</v>
      </c>
      <c r="J1249">
        <v>3.0769199999999999</v>
      </c>
      <c r="K1249">
        <v>-7.6920000000000002E-2</v>
      </c>
    </row>
    <row r="1250" spans="1:11" hidden="1" x14ac:dyDescent="0.35">
      <c r="A1250" t="s">
        <v>223</v>
      </c>
      <c r="B1250">
        <f t="shared" si="57"/>
        <v>2018</v>
      </c>
      <c r="C1250">
        <f t="shared" si="58"/>
        <v>1</v>
      </c>
      <c r="D1250">
        <f t="shared" si="59"/>
        <v>1</v>
      </c>
      <c r="E1250" t="s">
        <v>327</v>
      </c>
      <c r="F1250">
        <v>0</v>
      </c>
      <c r="G1250">
        <v>3</v>
      </c>
      <c r="H1250">
        <v>3</v>
      </c>
      <c r="J1250">
        <v>2.9666700000000001</v>
      </c>
      <c r="K1250">
        <v>3.3329999999999999E-2</v>
      </c>
    </row>
    <row r="1251" spans="1:11" hidden="1" x14ac:dyDescent="0.35">
      <c r="A1251" t="s">
        <v>224</v>
      </c>
      <c r="B1251">
        <f t="shared" si="57"/>
        <v>2018</v>
      </c>
      <c r="C1251">
        <f t="shared" si="58"/>
        <v>2</v>
      </c>
      <c r="D1251">
        <f t="shared" si="59"/>
        <v>1</v>
      </c>
      <c r="E1251" t="s">
        <v>327</v>
      </c>
      <c r="F1251">
        <v>0</v>
      </c>
      <c r="G1251">
        <v>2.75</v>
      </c>
      <c r="H1251">
        <v>2.75</v>
      </c>
      <c r="J1251">
        <v>2.8055599999999998</v>
      </c>
      <c r="K1251">
        <v>-5.5559999999999998E-2</v>
      </c>
    </row>
    <row r="1252" spans="1:11" hidden="1" x14ac:dyDescent="0.35">
      <c r="A1252" t="s">
        <v>225</v>
      </c>
      <c r="B1252">
        <f t="shared" si="57"/>
        <v>2018</v>
      </c>
      <c r="C1252">
        <f t="shared" si="58"/>
        <v>3</v>
      </c>
      <c r="D1252">
        <f t="shared" si="59"/>
        <v>1</v>
      </c>
      <c r="E1252" t="s">
        <v>327</v>
      </c>
      <c r="F1252">
        <v>0</v>
      </c>
      <c r="G1252">
        <v>2.75</v>
      </c>
      <c r="H1252">
        <v>2.75</v>
      </c>
      <c r="J1252">
        <v>2.7321399999999998</v>
      </c>
      <c r="K1252">
        <v>1.7860000000000001E-2</v>
      </c>
    </row>
    <row r="1253" spans="1:11" hidden="1" x14ac:dyDescent="0.35">
      <c r="A1253" t="s">
        <v>226</v>
      </c>
      <c r="B1253">
        <f t="shared" si="57"/>
        <v>2018</v>
      </c>
      <c r="C1253">
        <f t="shared" si="58"/>
        <v>4</v>
      </c>
      <c r="D1253">
        <f t="shared" si="59"/>
        <v>2</v>
      </c>
      <c r="E1253" t="s">
        <v>327</v>
      </c>
      <c r="F1253">
        <v>0</v>
      </c>
      <c r="G1253">
        <v>2.75</v>
      </c>
      <c r="H1253">
        <v>2.75</v>
      </c>
      <c r="J1253">
        <v>2.75</v>
      </c>
      <c r="K1253">
        <v>0</v>
      </c>
    </row>
    <row r="1254" spans="1:11" hidden="1" x14ac:dyDescent="0.35">
      <c r="A1254" t="s">
        <v>227</v>
      </c>
      <c r="B1254">
        <f t="shared" si="57"/>
        <v>2018</v>
      </c>
      <c r="C1254">
        <f t="shared" si="58"/>
        <v>5</v>
      </c>
      <c r="D1254">
        <f t="shared" si="59"/>
        <v>2</v>
      </c>
      <c r="E1254" t="s">
        <v>327</v>
      </c>
      <c r="F1254">
        <v>0</v>
      </c>
      <c r="G1254">
        <v>2.75</v>
      </c>
      <c r="H1254">
        <v>2.75</v>
      </c>
      <c r="J1254">
        <v>2.75</v>
      </c>
      <c r="K1254">
        <v>0</v>
      </c>
    </row>
    <row r="1255" spans="1:11" hidden="1" x14ac:dyDescent="0.35">
      <c r="A1255" t="s">
        <v>228</v>
      </c>
      <c r="B1255">
        <f t="shared" si="57"/>
        <v>2018</v>
      </c>
      <c r="C1255">
        <f t="shared" si="58"/>
        <v>6</v>
      </c>
      <c r="D1255">
        <f t="shared" si="59"/>
        <v>2</v>
      </c>
      <c r="E1255" t="s">
        <v>327</v>
      </c>
      <c r="F1255">
        <v>0</v>
      </c>
      <c r="G1255">
        <v>2.75</v>
      </c>
      <c r="H1255">
        <v>2.75</v>
      </c>
      <c r="J1255">
        <v>2.75</v>
      </c>
      <c r="K1255">
        <v>0</v>
      </c>
    </row>
    <row r="1256" spans="1:11" hidden="1" x14ac:dyDescent="0.35">
      <c r="A1256" t="s">
        <v>229</v>
      </c>
      <c r="B1256">
        <f t="shared" si="57"/>
        <v>2018</v>
      </c>
      <c r="C1256">
        <f t="shared" si="58"/>
        <v>7</v>
      </c>
      <c r="D1256">
        <f t="shared" si="59"/>
        <v>3</v>
      </c>
      <c r="E1256" t="s">
        <v>327</v>
      </c>
      <c r="F1256">
        <v>0</v>
      </c>
      <c r="G1256">
        <v>2.75</v>
      </c>
      <c r="H1256">
        <v>2.75</v>
      </c>
      <c r="J1256">
        <v>2.7692299999999999</v>
      </c>
      <c r="K1256">
        <v>-1.9230000000000001E-2</v>
      </c>
    </row>
    <row r="1257" spans="1:11" hidden="1" x14ac:dyDescent="0.35">
      <c r="A1257" t="s">
        <v>230</v>
      </c>
      <c r="B1257">
        <f t="shared" si="57"/>
        <v>2018</v>
      </c>
      <c r="C1257">
        <f t="shared" si="58"/>
        <v>8</v>
      </c>
      <c r="D1257">
        <f t="shared" si="59"/>
        <v>3</v>
      </c>
      <c r="E1257" t="s">
        <v>327</v>
      </c>
      <c r="F1257">
        <v>0</v>
      </c>
      <c r="G1257">
        <v>2.75</v>
      </c>
      <c r="H1257">
        <v>2.75</v>
      </c>
      <c r="J1257">
        <v>2.75</v>
      </c>
      <c r="K1257">
        <v>0</v>
      </c>
    </row>
    <row r="1258" spans="1:11" hidden="1" x14ac:dyDescent="0.35">
      <c r="A1258" t="s">
        <v>231</v>
      </c>
      <c r="B1258">
        <f t="shared" si="57"/>
        <v>2018</v>
      </c>
      <c r="C1258">
        <f t="shared" si="58"/>
        <v>9</v>
      </c>
      <c r="D1258">
        <f t="shared" si="59"/>
        <v>3</v>
      </c>
      <c r="E1258" t="s">
        <v>327</v>
      </c>
      <c r="F1258">
        <v>0</v>
      </c>
      <c r="G1258">
        <v>2.75</v>
      </c>
      <c r="H1258">
        <v>2.75</v>
      </c>
      <c r="J1258">
        <v>2.75</v>
      </c>
      <c r="K1258">
        <v>0</v>
      </c>
    </row>
    <row r="1259" spans="1:11" hidden="1" x14ac:dyDescent="0.35">
      <c r="A1259" t="s">
        <v>232</v>
      </c>
      <c r="B1259">
        <f t="shared" si="57"/>
        <v>2018</v>
      </c>
      <c r="C1259">
        <f t="shared" si="58"/>
        <v>10</v>
      </c>
      <c r="D1259">
        <f t="shared" si="59"/>
        <v>4</v>
      </c>
      <c r="E1259" t="s">
        <v>327</v>
      </c>
      <c r="F1259">
        <v>0</v>
      </c>
      <c r="G1259">
        <v>2.75</v>
      </c>
      <c r="H1259">
        <v>2.75</v>
      </c>
      <c r="J1259">
        <v>2.75</v>
      </c>
      <c r="K1259">
        <v>0</v>
      </c>
    </row>
    <row r="1260" spans="1:11" hidden="1" x14ac:dyDescent="0.35">
      <c r="A1260" t="s">
        <v>233</v>
      </c>
      <c r="B1260">
        <f t="shared" si="57"/>
        <v>2018</v>
      </c>
      <c r="C1260">
        <f t="shared" si="58"/>
        <v>11</v>
      </c>
      <c r="D1260">
        <f t="shared" si="59"/>
        <v>4</v>
      </c>
      <c r="E1260" t="s">
        <v>327</v>
      </c>
      <c r="F1260">
        <v>0</v>
      </c>
      <c r="G1260">
        <v>2.75</v>
      </c>
      <c r="H1260">
        <v>2.75</v>
      </c>
      <c r="J1260">
        <v>2.75</v>
      </c>
      <c r="K1260">
        <v>0</v>
      </c>
    </row>
    <row r="1261" spans="1:11" hidden="1" x14ac:dyDescent="0.35">
      <c r="A1261" t="s">
        <v>234</v>
      </c>
      <c r="B1261">
        <f t="shared" si="57"/>
        <v>2018</v>
      </c>
      <c r="C1261">
        <f t="shared" si="58"/>
        <v>12</v>
      </c>
      <c r="D1261">
        <f t="shared" si="59"/>
        <v>4</v>
      </c>
      <c r="E1261" t="s">
        <v>327</v>
      </c>
      <c r="F1261">
        <v>0</v>
      </c>
      <c r="G1261">
        <v>2.75</v>
      </c>
      <c r="H1261">
        <v>2.75</v>
      </c>
      <c r="J1261">
        <v>2.75</v>
      </c>
      <c r="K1261">
        <v>0</v>
      </c>
    </row>
    <row r="1262" spans="1:11" hidden="1" x14ac:dyDescent="0.35">
      <c r="A1262" t="s">
        <v>235</v>
      </c>
      <c r="B1262">
        <f t="shared" si="57"/>
        <v>2019</v>
      </c>
      <c r="C1262">
        <f t="shared" si="58"/>
        <v>1</v>
      </c>
      <c r="D1262">
        <f t="shared" si="59"/>
        <v>1</v>
      </c>
      <c r="E1262" t="s">
        <v>327</v>
      </c>
      <c r="F1262">
        <v>0</v>
      </c>
      <c r="G1262">
        <v>2.75</v>
      </c>
      <c r="H1262">
        <v>2.75</v>
      </c>
      <c r="J1262">
        <v>2.75</v>
      </c>
      <c r="K1262">
        <v>0</v>
      </c>
    </row>
    <row r="1263" spans="1:11" hidden="1" x14ac:dyDescent="0.35">
      <c r="A1263" t="s">
        <v>236</v>
      </c>
      <c r="B1263">
        <f t="shared" si="57"/>
        <v>2019</v>
      </c>
      <c r="C1263">
        <f t="shared" si="58"/>
        <v>2</v>
      </c>
      <c r="D1263">
        <f t="shared" si="59"/>
        <v>1</v>
      </c>
      <c r="E1263" t="s">
        <v>327</v>
      </c>
      <c r="F1263">
        <v>0</v>
      </c>
      <c r="G1263">
        <v>2.75</v>
      </c>
      <c r="H1263">
        <v>2.75</v>
      </c>
      <c r="J1263">
        <v>2.75</v>
      </c>
      <c r="K1263">
        <v>0</v>
      </c>
    </row>
    <row r="1264" spans="1:11" hidden="1" x14ac:dyDescent="0.35">
      <c r="A1264" t="s">
        <v>237</v>
      </c>
      <c r="B1264">
        <f t="shared" si="57"/>
        <v>2019</v>
      </c>
      <c r="C1264">
        <f t="shared" si="58"/>
        <v>3</v>
      </c>
      <c r="D1264">
        <f t="shared" si="59"/>
        <v>1</v>
      </c>
      <c r="E1264" t="s">
        <v>327</v>
      </c>
      <c r="F1264">
        <v>0</v>
      </c>
      <c r="G1264">
        <v>2.75</v>
      </c>
      <c r="H1264">
        <v>2.75</v>
      </c>
      <c r="J1264">
        <v>2.75</v>
      </c>
      <c r="K1264">
        <v>0</v>
      </c>
    </row>
    <row r="1265" spans="1:11" hidden="1" x14ac:dyDescent="0.35">
      <c r="A1265" t="s">
        <v>238</v>
      </c>
      <c r="B1265">
        <f t="shared" si="57"/>
        <v>2019</v>
      </c>
      <c r="C1265">
        <f t="shared" si="58"/>
        <v>4</v>
      </c>
      <c r="D1265">
        <f t="shared" si="59"/>
        <v>2</v>
      </c>
      <c r="E1265" t="s">
        <v>327</v>
      </c>
      <c r="F1265">
        <v>0</v>
      </c>
      <c r="G1265">
        <v>2.75</v>
      </c>
      <c r="H1265">
        <v>2.75</v>
      </c>
      <c r="J1265">
        <v>2.75</v>
      </c>
      <c r="K1265">
        <v>0</v>
      </c>
    </row>
    <row r="1266" spans="1:11" hidden="1" x14ac:dyDescent="0.35">
      <c r="A1266" t="s">
        <v>239</v>
      </c>
      <c r="B1266">
        <f t="shared" si="57"/>
        <v>2019</v>
      </c>
      <c r="C1266">
        <f t="shared" si="58"/>
        <v>5</v>
      </c>
      <c r="D1266">
        <f t="shared" si="59"/>
        <v>2</v>
      </c>
      <c r="E1266" t="s">
        <v>327</v>
      </c>
      <c r="F1266">
        <v>0</v>
      </c>
      <c r="G1266">
        <v>2.75</v>
      </c>
      <c r="H1266">
        <v>2.75</v>
      </c>
      <c r="J1266">
        <v>2.75</v>
      </c>
      <c r="K1266">
        <v>0</v>
      </c>
    </row>
    <row r="1267" spans="1:11" hidden="1" x14ac:dyDescent="0.35">
      <c r="A1267" t="s">
        <v>240</v>
      </c>
      <c r="B1267">
        <f t="shared" si="57"/>
        <v>2019</v>
      </c>
      <c r="C1267">
        <f t="shared" si="58"/>
        <v>6</v>
      </c>
      <c r="D1267">
        <f t="shared" si="59"/>
        <v>2</v>
      </c>
      <c r="E1267" t="s">
        <v>327</v>
      </c>
      <c r="F1267">
        <v>0</v>
      </c>
      <c r="G1267">
        <v>2.75</v>
      </c>
      <c r="H1267">
        <v>2.75</v>
      </c>
      <c r="J1267">
        <v>2.7307700000000001</v>
      </c>
      <c r="K1267">
        <v>1.9230000000000001E-2</v>
      </c>
    </row>
    <row r="1268" spans="1:11" hidden="1" x14ac:dyDescent="0.35">
      <c r="A1268" t="s">
        <v>241</v>
      </c>
      <c r="B1268">
        <f t="shared" si="57"/>
        <v>2019</v>
      </c>
      <c r="C1268">
        <f t="shared" si="58"/>
        <v>7</v>
      </c>
      <c r="D1268">
        <f t="shared" si="59"/>
        <v>3</v>
      </c>
      <c r="E1268" t="s">
        <v>327</v>
      </c>
      <c r="F1268">
        <v>0</v>
      </c>
      <c r="G1268">
        <v>2.5</v>
      </c>
      <c r="H1268">
        <v>2.5</v>
      </c>
      <c r="J1268">
        <v>2.6</v>
      </c>
      <c r="K1268">
        <v>-0.1</v>
      </c>
    </row>
    <row r="1269" spans="1:11" hidden="1" x14ac:dyDescent="0.35">
      <c r="A1269" t="s">
        <v>242</v>
      </c>
      <c r="B1269">
        <f t="shared" si="57"/>
        <v>2019</v>
      </c>
      <c r="C1269">
        <f t="shared" si="58"/>
        <v>8</v>
      </c>
      <c r="D1269">
        <f t="shared" si="59"/>
        <v>3</v>
      </c>
      <c r="E1269" t="s">
        <v>327</v>
      </c>
      <c r="F1269">
        <v>0</v>
      </c>
      <c r="G1269">
        <v>2.5</v>
      </c>
      <c r="H1269">
        <v>2.5</v>
      </c>
      <c r="J1269">
        <v>2.44231</v>
      </c>
      <c r="K1269">
        <v>5.7689999999999998E-2</v>
      </c>
    </row>
    <row r="1270" spans="1:11" hidden="1" x14ac:dyDescent="0.35">
      <c r="A1270" t="s">
        <v>243</v>
      </c>
      <c r="B1270">
        <f t="shared" si="57"/>
        <v>2019</v>
      </c>
      <c r="C1270">
        <f t="shared" si="58"/>
        <v>9</v>
      </c>
      <c r="D1270">
        <f t="shared" si="59"/>
        <v>3</v>
      </c>
      <c r="E1270" t="s">
        <v>327</v>
      </c>
      <c r="F1270">
        <v>0.125</v>
      </c>
      <c r="G1270">
        <v>2.375</v>
      </c>
      <c r="H1270">
        <v>2.5</v>
      </c>
      <c r="J1270">
        <v>2.375</v>
      </c>
      <c r="K1270">
        <v>0.125</v>
      </c>
    </row>
    <row r="1271" spans="1:11" hidden="1" x14ac:dyDescent="0.35">
      <c r="A1271" t="s">
        <v>244</v>
      </c>
      <c r="B1271">
        <f t="shared" si="57"/>
        <v>2019</v>
      </c>
      <c r="C1271">
        <f t="shared" si="58"/>
        <v>10</v>
      </c>
      <c r="D1271">
        <f t="shared" si="59"/>
        <v>4</v>
      </c>
      <c r="E1271" t="s">
        <v>327</v>
      </c>
      <c r="F1271">
        <v>-0.25</v>
      </c>
      <c r="G1271">
        <v>2.5</v>
      </c>
      <c r="H1271">
        <v>2.25</v>
      </c>
      <c r="J1271">
        <v>2.40625</v>
      </c>
      <c r="K1271">
        <v>-0.15625</v>
      </c>
    </row>
    <row r="1272" spans="1:11" hidden="1" x14ac:dyDescent="0.35">
      <c r="A1272" t="s">
        <v>245</v>
      </c>
      <c r="B1272">
        <f t="shared" si="57"/>
        <v>2019</v>
      </c>
      <c r="C1272">
        <f t="shared" si="58"/>
        <v>11</v>
      </c>
      <c r="D1272">
        <f t="shared" si="59"/>
        <v>4</v>
      </c>
      <c r="E1272" t="s">
        <v>327</v>
      </c>
      <c r="F1272">
        <v>0</v>
      </c>
      <c r="G1272">
        <v>2.25</v>
      </c>
      <c r="H1272">
        <v>2.25</v>
      </c>
      <c r="J1272">
        <v>2.25</v>
      </c>
      <c r="K1272">
        <v>0</v>
      </c>
    </row>
    <row r="1273" spans="1:11" hidden="1" x14ac:dyDescent="0.35">
      <c r="A1273" t="s">
        <v>246</v>
      </c>
      <c r="B1273">
        <f t="shared" si="57"/>
        <v>2019</v>
      </c>
      <c r="C1273">
        <f t="shared" si="58"/>
        <v>12</v>
      </c>
      <c r="D1273">
        <f t="shared" si="59"/>
        <v>4</v>
      </c>
      <c r="E1273" t="s">
        <v>327</v>
      </c>
      <c r="F1273">
        <v>0</v>
      </c>
      <c r="G1273">
        <v>2.25</v>
      </c>
      <c r="H1273">
        <v>2.25</v>
      </c>
      <c r="J1273">
        <v>2.25</v>
      </c>
      <c r="K1273">
        <v>0</v>
      </c>
    </row>
    <row r="1274" spans="1:11" hidden="1" x14ac:dyDescent="0.35">
      <c r="A1274" t="s">
        <v>247</v>
      </c>
      <c r="B1274">
        <f t="shared" si="57"/>
        <v>2020</v>
      </c>
      <c r="C1274">
        <f t="shared" si="58"/>
        <v>1</v>
      </c>
      <c r="D1274">
        <f t="shared" si="59"/>
        <v>1</v>
      </c>
      <c r="E1274" t="s">
        <v>327</v>
      </c>
      <c r="F1274">
        <v>0</v>
      </c>
      <c r="G1274">
        <v>2.25</v>
      </c>
      <c r="H1274">
        <v>2.25</v>
      </c>
      <c r="J1274">
        <v>2.2166700000000001</v>
      </c>
      <c r="K1274">
        <v>3.3329999999999999E-2</v>
      </c>
    </row>
    <row r="1275" spans="1:11" hidden="1" x14ac:dyDescent="0.35">
      <c r="A1275" t="s">
        <v>248</v>
      </c>
      <c r="B1275">
        <f t="shared" si="57"/>
        <v>2020</v>
      </c>
      <c r="C1275">
        <f t="shared" si="58"/>
        <v>2</v>
      </c>
      <c r="D1275">
        <f t="shared" si="59"/>
        <v>1</v>
      </c>
      <c r="E1275" t="s">
        <v>327</v>
      </c>
      <c r="F1275">
        <v>0</v>
      </c>
      <c r="G1275">
        <v>2.25</v>
      </c>
      <c r="H1275">
        <v>2.25</v>
      </c>
      <c r="J1275">
        <v>2.1666699999999999</v>
      </c>
      <c r="K1275">
        <v>8.3330000000000001E-2</v>
      </c>
    </row>
    <row r="1276" spans="1:11" hidden="1" x14ac:dyDescent="0.35">
      <c r="A1276" t="s">
        <v>249</v>
      </c>
      <c r="B1276">
        <f t="shared" si="57"/>
        <v>2020</v>
      </c>
      <c r="C1276">
        <f t="shared" si="58"/>
        <v>3</v>
      </c>
      <c r="D1276">
        <f t="shared" si="59"/>
        <v>1</v>
      </c>
      <c r="E1276" t="s">
        <v>327</v>
      </c>
      <c r="F1276">
        <v>0</v>
      </c>
      <c r="G1276">
        <v>1.25</v>
      </c>
      <c r="H1276">
        <v>1.25</v>
      </c>
      <c r="J1276">
        <v>1.25</v>
      </c>
      <c r="K1276">
        <v>0</v>
      </c>
    </row>
    <row r="1277" spans="1:11" hidden="1" x14ac:dyDescent="0.35">
      <c r="A1277" t="s">
        <v>250</v>
      </c>
      <c r="B1277">
        <f t="shared" si="57"/>
        <v>2020</v>
      </c>
      <c r="C1277">
        <f t="shared" si="58"/>
        <v>4</v>
      </c>
      <c r="D1277">
        <f t="shared" si="59"/>
        <v>2</v>
      </c>
      <c r="E1277" t="s">
        <v>327</v>
      </c>
      <c r="F1277">
        <v>0</v>
      </c>
      <c r="G1277">
        <v>0.25</v>
      </c>
      <c r="H1277">
        <v>0.25</v>
      </c>
      <c r="J1277">
        <v>0.25</v>
      </c>
      <c r="K1277">
        <v>0</v>
      </c>
    </row>
    <row r="1278" spans="1:11" hidden="1" x14ac:dyDescent="0.35">
      <c r="A1278" t="s">
        <v>251</v>
      </c>
      <c r="B1278">
        <f t="shared" si="57"/>
        <v>2020</v>
      </c>
      <c r="C1278">
        <f t="shared" si="58"/>
        <v>5</v>
      </c>
      <c r="D1278">
        <f t="shared" si="59"/>
        <v>2</v>
      </c>
      <c r="E1278" t="s">
        <v>327</v>
      </c>
      <c r="F1278">
        <v>0</v>
      </c>
      <c r="G1278">
        <v>0.25</v>
      </c>
      <c r="H1278">
        <v>0.25</v>
      </c>
      <c r="J1278">
        <v>0.25</v>
      </c>
      <c r="K1278">
        <v>0</v>
      </c>
    </row>
    <row r="1279" spans="1:11" hidden="1" x14ac:dyDescent="0.35">
      <c r="A1279" t="s">
        <v>252</v>
      </c>
      <c r="B1279">
        <f t="shared" si="57"/>
        <v>2020</v>
      </c>
      <c r="C1279">
        <f t="shared" si="58"/>
        <v>6</v>
      </c>
      <c r="D1279">
        <f t="shared" si="59"/>
        <v>2</v>
      </c>
      <c r="E1279" t="s">
        <v>327</v>
      </c>
      <c r="F1279">
        <v>0</v>
      </c>
      <c r="G1279">
        <v>0.25</v>
      </c>
      <c r="H1279">
        <v>0.25</v>
      </c>
      <c r="J1279">
        <v>0.25</v>
      </c>
      <c r="K1279">
        <v>0</v>
      </c>
    </row>
    <row r="1280" spans="1:11" hidden="1" x14ac:dyDescent="0.35">
      <c r="A1280" t="s">
        <v>253</v>
      </c>
      <c r="B1280">
        <f t="shared" si="57"/>
        <v>2020</v>
      </c>
      <c r="C1280">
        <f t="shared" si="58"/>
        <v>7</v>
      </c>
      <c r="D1280">
        <f t="shared" si="59"/>
        <v>3</v>
      </c>
      <c r="E1280" t="s">
        <v>327</v>
      </c>
      <c r="F1280">
        <v>0</v>
      </c>
      <c r="G1280">
        <v>0.25</v>
      </c>
      <c r="H1280">
        <v>0.25</v>
      </c>
      <c r="J1280">
        <v>0.25</v>
      </c>
      <c r="K1280">
        <v>0</v>
      </c>
    </row>
    <row r="1281" spans="1:11" hidden="1" x14ac:dyDescent="0.35">
      <c r="A1281" t="s">
        <v>254</v>
      </c>
      <c r="B1281">
        <f t="shared" si="57"/>
        <v>2020</v>
      </c>
      <c r="C1281">
        <f t="shared" si="58"/>
        <v>8</v>
      </c>
      <c r="D1281">
        <f t="shared" si="59"/>
        <v>3</v>
      </c>
      <c r="E1281" t="s">
        <v>327</v>
      </c>
      <c r="F1281">
        <v>0</v>
      </c>
      <c r="G1281">
        <v>0.25</v>
      </c>
      <c r="H1281">
        <v>0.25</v>
      </c>
      <c r="J1281">
        <v>0.25</v>
      </c>
      <c r="K1281">
        <v>0</v>
      </c>
    </row>
    <row r="1282" spans="1:11" hidden="1" x14ac:dyDescent="0.35">
      <c r="A1282" t="s">
        <v>255</v>
      </c>
      <c r="B1282">
        <f t="shared" si="57"/>
        <v>2020</v>
      </c>
      <c r="C1282">
        <f t="shared" si="58"/>
        <v>9</v>
      </c>
      <c r="D1282">
        <f t="shared" si="59"/>
        <v>3</v>
      </c>
      <c r="E1282" t="s">
        <v>327</v>
      </c>
      <c r="F1282">
        <v>0</v>
      </c>
      <c r="G1282">
        <v>0.25</v>
      </c>
      <c r="H1282">
        <v>0.25</v>
      </c>
      <c r="J1282">
        <v>0.25</v>
      </c>
      <c r="K1282">
        <v>0</v>
      </c>
    </row>
    <row r="1283" spans="1:11" hidden="1" x14ac:dyDescent="0.35">
      <c r="A1283" t="s">
        <v>256</v>
      </c>
      <c r="B1283">
        <f t="shared" ref="B1283:B1338" si="60">LEFT(A1283,4)*1</f>
        <v>2020</v>
      </c>
      <c r="C1283">
        <f t="shared" ref="C1283:C1338" si="61">MID(A1283,6,2)*1</f>
        <v>10</v>
      </c>
      <c r="D1283">
        <f t="shared" ref="D1283:D1338" si="62">ROUNDUP(C1283/3,0)</f>
        <v>4</v>
      </c>
      <c r="E1283" t="s">
        <v>327</v>
      </c>
      <c r="F1283">
        <v>0</v>
      </c>
      <c r="G1283">
        <v>0.25</v>
      </c>
      <c r="H1283">
        <v>0.25</v>
      </c>
      <c r="J1283">
        <v>0.25</v>
      </c>
      <c r="K1283">
        <v>0</v>
      </c>
    </row>
    <row r="1284" spans="1:11" hidden="1" x14ac:dyDescent="0.35">
      <c r="A1284" t="s">
        <v>257</v>
      </c>
      <c r="B1284">
        <f t="shared" si="60"/>
        <v>2020</v>
      </c>
      <c r="C1284">
        <f t="shared" si="61"/>
        <v>11</v>
      </c>
      <c r="D1284">
        <f t="shared" si="62"/>
        <v>4</v>
      </c>
      <c r="E1284" t="s">
        <v>327</v>
      </c>
      <c r="F1284">
        <v>0</v>
      </c>
      <c r="G1284">
        <v>0.25</v>
      </c>
      <c r="H1284">
        <v>0.25</v>
      </c>
      <c r="J1284">
        <v>0.25</v>
      </c>
      <c r="K1284">
        <v>0</v>
      </c>
    </row>
    <row r="1285" spans="1:11" hidden="1" x14ac:dyDescent="0.35">
      <c r="A1285" t="s">
        <v>258</v>
      </c>
      <c r="B1285">
        <f t="shared" si="60"/>
        <v>2020</v>
      </c>
      <c r="C1285">
        <f t="shared" si="61"/>
        <v>12</v>
      </c>
      <c r="D1285">
        <f t="shared" si="62"/>
        <v>4</v>
      </c>
      <c r="E1285" t="s">
        <v>327</v>
      </c>
      <c r="F1285">
        <v>0</v>
      </c>
      <c r="G1285">
        <v>0.25</v>
      </c>
      <c r="H1285">
        <v>0.25</v>
      </c>
      <c r="J1285">
        <v>0.25</v>
      </c>
      <c r="K1285">
        <v>0</v>
      </c>
    </row>
    <row r="1286" spans="1:11" hidden="1" x14ac:dyDescent="0.35">
      <c r="A1286" t="s">
        <v>259</v>
      </c>
      <c r="B1286">
        <f t="shared" si="60"/>
        <v>2021</v>
      </c>
      <c r="C1286">
        <f t="shared" si="61"/>
        <v>1</v>
      </c>
      <c r="D1286">
        <f t="shared" si="62"/>
        <v>1</v>
      </c>
      <c r="E1286" t="s">
        <v>327</v>
      </c>
      <c r="F1286">
        <v>0</v>
      </c>
      <c r="G1286">
        <v>0.25</v>
      </c>
      <c r="H1286">
        <v>0.25</v>
      </c>
      <c r="J1286">
        <v>0.25</v>
      </c>
      <c r="K1286">
        <v>0</v>
      </c>
    </row>
    <row r="1287" spans="1:11" hidden="1" x14ac:dyDescent="0.35">
      <c r="A1287" t="s">
        <v>260</v>
      </c>
      <c r="B1287">
        <f t="shared" si="60"/>
        <v>2021</v>
      </c>
      <c r="C1287">
        <f t="shared" si="61"/>
        <v>2</v>
      </c>
      <c r="D1287">
        <f t="shared" si="62"/>
        <v>1</v>
      </c>
      <c r="E1287" t="s">
        <v>327</v>
      </c>
      <c r="F1287">
        <v>0</v>
      </c>
      <c r="G1287">
        <v>0.25</v>
      </c>
      <c r="H1287">
        <v>0.25</v>
      </c>
      <c r="J1287">
        <v>0.25</v>
      </c>
      <c r="K1287">
        <v>0</v>
      </c>
    </row>
    <row r="1288" spans="1:11" hidden="1" x14ac:dyDescent="0.35">
      <c r="A1288" t="s">
        <v>261</v>
      </c>
      <c r="B1288">
        <f t="shared" si="60"/>
        <v>2021</v>
      </c>
      <c r="C1288">
        <f t="shared" si="61"/>
        <v>3</v>
      </c>
      <c r="D1288">
        <f t="shared" si="62"/>
        <v>1</v>
      </c>
      <c r="E1288" t="s">
        <v>327</v>
      </c>
      <c r="F1288">
        <v>0</v>
      </c>
      <c r="G1288">
        <v>0.25</v>
      </c>
      <c r="H1288">
        <v>0.25</v>
      </c>
      <c r="J1288">
        <v>0.25</v>
      </c>
      <c r="K1288">
        <v>0</v>
      </c>
    </row>
    <row r="1289" spans="1:11" hidden="1" x14ac:dyDescent="0.35">
      <c r="A1289" t="s">
        <v>262</v>
      </c>
      <c r="B1289">
        <f t="shared" si="60"/>
        <v>2021</v>
      </c>
      <c r="C1289">
        <f t="shared" si="61"/>
        <v>4</v>
      </c>
      <c r="D1289">
        <f t="shared" si="62"/>
        <v>2</v>
      </c>
      <c r="E1289" t="s">
        <v>327</v>
      </c>
      <c r="F1289">
        <v>0</v>
      </c>
      <c r="G1289">
        <v>0.25</v>
      </c>
      <c r="H1289">
        <v>0.25</v>
      </c>
      <c r="J1289">
        <v>0.25</v>
      </c>
      <c r="K1289">
        <v>0</v>
      </c>
    </row>
    <row r="1290" spans="1:11" hidden="1" x14ac:dyDescent="0.35">
      <c r="A1290" t="s">
        <v>263</v>
      </c>
      <c r="B1290">
        <f t="shared" si="60"/>
        <v>2021</v>
      </c>
      <c r="C1290">
        <f t="shared" si="61"/>
        <v>5</v>
      </c>
      <c r="D1290">
        <f t="shared" si="62"/>
        <v>2</v>
      </c>
      <c r="E1290" t="s">
        <v>327</v>
      </c>
      <c r="F1290">
        <v>0</v>
      </c>
      <c r="G1290">
        <v>0.25</v>
      </c>
      <c r="H1290">
        <v>0.25</v>
      </c>
      <c r="J1290">
        <v>0.25</v>
      </c>
      <c r="K1290">
        <v>0</v>
      </c>
    </row>
    <row r="1291" spans="1:11" hidden="1" x14ac:dyDescent="0.35">
      <c r="A1291" t="s">
        <v>264</v>
      </c>
      <c r="B1291">
        <f t="shared" si="60"/>
        <v>2021</v>
      </c>
      <c r="C1291">
        <f t="shared" si="61"/>
        <v>6</v>
      </c>
      <c r="D1291">
        <f t="shared" si="62"/>
        <v>2</v>
      </c>
      <c r="E1291" t="s">
        <v>327</v>
      </c>
      <c r="F1291">
        <v>0</v>
      </c>
      <c r="G1291">
        <v>0.25</v>
      </c>
      <c r="H1291">
        <v>0.25</v>
      </c>
      <c r="J1291">
        <v>0.25</v>
      </c>
      <c r="K1291">
        <v>0</v>
      </c>
    </row>
    <row r="1292" spans="1:11" hidden="1" x14ac:dyDescent="0.35">
      <c r="A1292" t="s">
        <v>265</v>
      </c>
      <c r="B1292">
        <f t="shared" si="60"/>
        <v>2021</v>
      </c>
      <c r="C1292">
        <f t="shared" si="61"/>
        <v>7</v>
      </c>
      <c r="D1292">
        <f t="shared" si="62"/>
        <v>3</v>
      </c>
      <c r="E1292" t="s">
        <v>327</v>
      </c>
      <c r="F1292">
        <v>0</v>
      </c>
      <c r="G1292">
        <v>0.25</v>
      </c>
      <c r="H1292">
        <v>0.25</v>
      </c>
      <c r="J1292">
        <v>0.28125</v>
      </c>
      <c r="K1292">
        <v>-3.125E-2</v>
      </c>
    </row>
    <row r="1293" spans="1:11" hidden="1" x14ac:dyDescent="0.35">
      <c r="A1293" t="s">
        <v>266</v>
      </c>
      <c r="B1293">
        <f t="shared" si="60"/>
        <v>2021</v>
      </c>
      <c r="C1293">
        <f t="shared" si="61"/>
        <v>8</v>
      </c>
      <c r="D1293">
        <f t="shared" si="62"/>
        <v>3</v>
      </c>
      <c r="E1293" t="s">
        <v>327</v>
      </c>
      <c r="F1293">
        <v>0.25</v>
      </c>
      <c r="G1293">
        <v>0.25</v>
      </c>
      <c r="H1293">
        <v>0.5</v>
      </c>
      <c r="J1293">
        <v>0.39285700000000001</v>
      </c>
      <c r="K1293">
        <v>0.107143</v>
      </c>
    </row>
    <row r="1294" spans="1:11" hidden="1" x14ac:dyDescent="0.35">
      <c r="A1294" t="s">
        <v>267</v>
      </c>
      <c r="B1294">
        <f t="shared" si="60"/>
        <v>2021</v>
      </c>
      <c r="C1294">
        <f t="shared" si="61"/>
        <v>9</v>
      </c>
      <c r="D1294">
        <f t="shared" si="62"/>
        <v>3</v>
      </c>
      <c r="E1294" t="s">
        <v>327</v>
      </c>
      <c r="F1294">
        <v>0</v>
      </c>
      <c r="G1294">
        <v>1</v>
      </c>
      <c r="H1294">
        <v>1</v>
      </c>
      <c r="J1294">
        <v>0.96428599999999998</v>
      </c>
      <c r="K1294">
        <v>3.5714000000000003E-2</v>
      </c>
    </row>
    <row r="1295" spans="1:11" hidden="1" x14ac:dyDescent="0.35">
      <c r="A1295" t="s">
        <v>268</v>
      </c>
      <c r="B1295">
        <f t="shared" si="60"/>
        <v>2021</v>
      </c>
      <c r="C1295">
        <f t="shared" si="61"/>
        <v>10</v>
      </c>
      <c r="D1295">
        <f t="shared" si="62"/>
        <v>4</v>
      </c>
      <c r="E1295" t="s">
        <v>327</v>
      </c>
      <c r="F1295">
        <v>0</v>
      </c>
      <c r="G1295">
        <v>1.5</v>
      </c>
      <c r="H1295">
        <v>1.5</v>
      </c>
      <c r="J1295">
        <v>1.35714</v>
      </c>
      <c r="K1295">
        <v>0.14285999999999999</v>
      </c>
    </row>
    <row r="1296" spans="1:11" hidden="1" x14ac:dyDescent="0.35">
      <c r="A1296" t="s">
        <v>269</v>
      </c>
      <c r="B1296">
        <f t="shared" si="60"/>
        <v>2021</v>
      </c>
      <c r="C1296">
        <f t="shared" si="61"/>
        <v>11</v>
      </c>
      <c r="D1296">
        <f t="shared" si="62"/>
        <v>4</v>
      </c>
      <c r="E1296" t="s">
        <v>327</v>
      </c>
      <c r="F1296">
        <v>0</v>
      </c>
      <c r="G1296">
        <v>2</v>
      </c>
      <c r="H1296">
        <v>2</v>
      </c>
      <c r="J1296">
        <v>2</v>
      </c>
      <c r="K1296">
        <v>0</v>
      </c>
    </row>
    <row r="1297" spans="1:11" hidden="1" x14ac:dyDescent="0.35">
      <c r="A1297" t="s">
        <v>270</v>
      </c>
      <c r="B1297">
        <f t="shared" si="60"/>
        <v>2021</v>
      </c>
      <c r="C1297">
        <f t="shared" si="61"/>
        <v>12</v>
      </c>
      <c r="D1297">
        <f t="shared" si="62"/>
        <v>4</v>
      </c>
      <c r="E1297" t="s">
        <v>327</v>
      </c>
      <c r="F1297">
        <v>0</v>
      </c>
      <c r="G1297">
        <v>2.5</v>
      </c>
      <c r="H1297">
        <v>2.5</v>
      </c>
      <c r="J1297">
        <v>2.5</v>
      </c>
      <c r="K1297">
        <v>0</v>
      </c>
    </row>
    <row r="1298" spans="1:11" hidden="1" x14ac:dyDescent="0.35">
      <c r="A1298" t="s">
        <v>271</v>
      </c>
      <c r="B1298">
        <f t="shared" si="60"/>
        <v>2022</v>
      </c>
      <c r="C1298">
        <f t="shared" si="61"/>
        <v>1</v>
      </c>
      <c r="D1298">
        <f t="shared" si="62"/>
        <v>1</v>
      </c>
      <c r="E1298" t="s">
        <v>327</v>
      </c>
      <c r="F1298">
        <v>0</v>
      </c>
      <c r="G1298">
        <v>3</v>
      </c>
      <c r="H1298">
        <v>3</v>
      </c>
      <c r="J1298">
        <v>3.0714299999999999</v>
      </c>
      <c r="K1298">
        <v>-7.1429999999999993E-2</v>
      </c>
    </row>
    <row r="1299" spans="1:11" hidden="1" x14ac:dyDescent="0.35">
      <c r="A1299" t="s">
        <v>272</v>
      </c>
      <c r="B1299">
        <f t="shared" si="60"/>
        <v>2022</v>
      </c>
      <c r="C1299">
        <f t="shared" si="61"/>
        <v>2</v>
      </c>
      <c r="D1299">
        <f t="shared" si="62"/>
        <v>1</v>
      </c>
      <c r="E1299" t="s">
        <v>327</v>
      </c>
      <c r="F1299">
        <v>0</v>
      </c>
      <c r="G1299">
        <v>3.5</v>
      </c>
      <c r="H1299">
        <v>3.5</v>
      </c>
      <c r="J1299">
        <v>3.5</v>
      </c>
      <c r="K1299">
        <v>0</v>
      </c>
    </row>
    <row r="1300" spans="1:11" hidden="1" x14ac:dyDescent="0.35">
      <c r="A1300" t="s">
        <v>273</v>
      </c>
      <c r="B1300">
        <f t="shared" si="60"/>
        <v>2022</v>
      </c>
      <c r="C1300">
        <f t="shared" si="61"/>
        <v>3</v>
      </c>
      <c r="D1300">
        <f t="shared" si="62"/>
        <v>1</v>
      </c>
      <c r="E1300" t="s">
        <v>327</v>
      </c>
      <c r="F1300">
        <v>0</v>
      </c>
      <c r="G1300">
        <v>4</v>
      </c>
      <c r="H1300">
        <v>4</v>
      </c>
      <c r="J1300">
        <v>4</v>
      </c>
      <c r="K1300">
        <v>0</v>
      </c>
    </row>
    <row r="1301" spans="1:11" hidden="1" x14ac:dyDescent="0.35">
      <c r="A1301" t="s">
        <v>274</v>
      </c>
      <c r="B1301">
        <f t="shared" si="60"/>
        <v>2022</v>
      </c>
      <c r="C1301">
        <f t="shared" si="61"/>
        <v>4</v>
      </c>
      <c r="D1301">
        <f t="shared" si="62"/>
        <v>2</v>
      </c>
      <c r="E1301" t="s">
        <v>327</v>
      </c>
      <c r="F1301">
        <v>0</v>
      </c>
      <c r="G1301">
        <v>4.5</v>
      </c>
      <c r="H1301">
        <v>4.5</v>
      </c>
      <c r="J1301">
        <v>4.5</v>
      </c>
      <c r="K1301">
        <v>0</v>
      </c>
    </row>
    <row r="1302" spans="1:11" hidden="1" x14ac:dyDescent="0.35">
      <c r="A1302" t="s">
        <v>275</v>
      </c>
      <c r="B1302">
        <f t="shared" si="60"/>
        <v>2022</v>
      </c>
      <c r="C1302">
        <f t="shared" si="61"/>
        <v>5</v>
      </c>
      <c r="D1302">
        <f t="shared" si="62"/>
        <v>2</v>
      </c>
      <c r="E1302" t="s">
        <v>327</v>
      </c>
      <c r="F1302">
        <v>0</v>
      </c>
      <c r="G1302">
        <v>5</v>
      </c>
      <c r="H1302">
        <v>5</v>
      </c>
      <c r="J1302">
        <v>5</v>
      </c>
      <c r="K1302">
        <v>0</v>
      </c>
    </row>
    <row r="1303" spans="1:11" hidden="1" x14ac:dyDescent="0.35">
      <c r="A1303" t="s">
        <v>276</v>
      </c>
      <c r="B1303">
        <f t="shared" si="60"/>
        <v>2022</v>
      </c>
      <c r="C1303">
        <f t="shared" si="61"/>
        <v>6</v>
      </c>
      <c r="D1303">
        <f t="shared" si="62"/>
        <v>2</v>
      </c>
      <c r="E1303" t="s">
        <v>327</v>
      </c>
      <c r="F1303">
        <v>0</v>
      </c>
      <c r="G1303">
        <v>5.5</v>
      </c>
      <c r="H1303">
        <v>5.5</v>
      </c>
      <c r="J1303">
        <v>5.5</v>
      </c>
      <c r="K1303">
        <v>0</v>
      </c>
    </row>
    <row r="1304" spans="1:11" hidden="1" x14ac:dyDescent="0.35">
      <c r="A1304" t="s">
        <v>277</v>
      </c>
      <c r="B1304">
        <f t="shared" si="60"/>
        <v>2022</v>
      </c>
      <c r="C1304">
        <f t="shared" si="61"/>
        <v>7</v>
      </c>
      <c r="D1304">
        <f t="shared" si="62"/>
        <v>3</v>
      </c>
      <c r="E1304" t="s">
        <v>327</v>
      </c>
      <c r="F1304">
        <v>0</v>
      </c>
      <c r="G1304">
        <v>6</v>
      </c>
      <c r="H1304">
        <v>6</v>
      </c>
      <c r="J1304">
        <v>6</v>
      </c>
      <c r="K1304">
        <v>0</v>
      </c>
    </row>
    <row r="1305" spans="1:11" hidden="1" x14ac:dyDescent="0.35">
      <c r="A1305" t="s">
        <v>278</v>
      </c>
      <c r="B1305">
        <f t="shared" si="60"/>
        <v>2022</v>
      </c>
      <c r="C1305">
        <f t="shared" si="61"/>
        <v>8</v>
      </c>
      <c r="D1305">
        <f t="shared" si="62"/>
        <v>3</v>
      </c>
      <c r="E1305" t="s">
        <v>327</v>
      </c>
      <c r="F1305">
        <v>0</v>
      </c>
      <c r="G1305">
        <v>6.5</v>
      </c>
      <c r="H1305">
        <v>6.5</v>
      </c>
      <c r="J1305">
        <v>6.5250000000000004</v>
      </c>
      <c r="K1305">
        <v>-2.5000000000000001E-2</v>
      </c>
    </row>
    <row r="1306" spans="1:11" hidden="1" x14ac:dyDescent="0.35">
      <c r="A1306" t="s">
        <v>279</v>
      </c>
      <c r="B1306">
        <f t="shared" si="60"/>
        <v>2022</v>
      </c>
      <c r="C1306">
        <f t="shared" si="61"/>
        <v>9</v>
      </c>
      <c r="D1306">
        <f t="shared" si="62"/>
        <v>3</v>
      </c>
      <c r="E1306" t="s">
        <v>327</v>
      </c>
      <c r="F1306">
        <v>-0.25</v>
      </c>
      <c r="G1306">
        <v>7</v>
      </c>
      <c r="H1306">
        <v>6.75</v>
      </c>
      <c r="J1306">
        <v>6.9375</v>
      </c>
      <c r="K1306">
        <v>-0.1875</v>
      </c>
    </row>
    <row r="1307" spans="1:11" hidden="1" x14ac:dyDescent="0.35">
      <c r="A1307" t="s">
        <v>280</v>
      </c>
      <c r="B1307">
        <f t="shared" si="60"/>
        <v>2022</v>
      </c>
      <c r="C1307">
        <f t="shared" si="61"/>
        <v>10</v>
      </c>
      <c r="D1307">
        <f t="shared" si="62"/>
        <v>4</v>
      </c>
      <c r="E1307" t="s">
        <v>327</v>
      </c>
      <c r="F1307">
        <v>0</v>
      </c>
      <c r="G1307">
        <v>7</v>
      </c>
      <c r="H1307">
        <v>7</v>
      </c>
      <c r="J1307">
        <v>7</v>
      </c>
      <c r="K1307">
        <v>0</v>
      </c>
    </row>
    <row r="1308" spans="1:11" hidden="1" x14ac:dyDescent="0.35">
      <c r="A1308" t="s">
        <v>281</v>
      </c>
      <c r="B1308">
        <f t="shared" si="60"/>
        <v>2022</v>
      </c>
      <c r="C1308">
        <f t="shared" si="61"/>
        <v>11</v>
      </c>
      <c r="D1308">
        <f t="shared" si="62"/>
        <v>4</v>
      </c>
      <c r="E1308" t="s">
        <v>327</v>
      </c>
      <c r="F1308">
        <v>0</v>
      </c>
      <c r="G1308">
        <v>7.25</v>
      </c>
      <c r="H1308">
        <v>7.25</v>
      </c>
      <c r="J1308">
        <v>7.1458300000000001</v>
      </c>
      <c r="K1308">
        <v>0.10417</v>
      </c>
    </row>
    <row r="1309" spans="1:11" hidden="1" x14ac:dyDescent="0.35">
      <c r="A1309" t="s">
        <v>282</v>
      </c>
      <c r="B1309">
        <f t="shared" si="60"/>
        <v>2022</v>
      </c>
      <c r="C1309">
        <f t="shared" si="61"/>
        <v>12</v>
      </c>
      <c r="D1309">
        <f t="shared" si="62"/>
        <v>4</v>
      </c>
      <c r="E1309" t="s">
        <v>327</v>
      </c>
      <c r="F1309">
        <v>0</v>
      </c>
      <c r="G1309">
        <v>7.5</v>
      </c>
      <c r="H1309">
        <v>7.5</v>
      </c>
      <c r="J1309">
        <v>7.5</v>
      </c>
      <c r="K1309">
        <v>0</v>
      </c>
    </row>
    <row r="1310" spans="1:11" hidden="1" x14ac:dyDescent="0.35">
      <c r="A1310" t="s">
        <v>283</v>
      </c>
      <c r="B1310">
        <f t="shared" si="60"/>
        <v>2023</v>
      </c>
      <c r="C1310">
        <f t="shared" si="61"/>
        <v>1</v>
      </c>
      <c r="D1310">
        <f t="shared" si="62"/>
        <v>1</v>
      </c>
      <c r="E1310" t="s">
        <v>327</v>
      </c>
      <c r="F1310">
        <v>0</v>
      </c>
      <c r="G1310">
        <v>7.75</v>
      </c>
      <c r="H1310">
        <v>7.75</v>
      </c>
      <c r="J1310">
        <v>7.7272699999999999</v>
      </c>
      <c r="K1310">
        <v>2.273E-2</v>
      </c>
    </row>
    <row r="1311" spans="1:11" hidden="1" x14ac:dyDescent="0.35">
      <c r="A1311" t="s">
        <v>284</v>
      </c>
      <c r="B1311">
        <f t="shared" si="60"/>
        <v>2023</v>
      </c>
      <c r="C1311">
        <f t="shared" si="61"/>
        <v>2</v>
      </c>
      <c r="D1311">
        <f t="shared" si="62"/>
        <v>1</v>
      </c>
      <c r="E1311" t="s">
        <v>327</v>
      </c>
      <c r="F1311">
        <v>-0.25</v>
      </c>
      <c r="G1311">
        <v>8</v>
      </c>
      <c r="H1311">
        <v>7.75</v>
      </c>
      <c r="J1311">
        <v>7.9772699999999999</v>
      </c>
      <c r="K1311">
        <v>-0.22727</v>
      </c>
    </row>
    <row r="1312" spans="1:11" hidden="1" x14ac:dyDescent="0.35">
      <c r="A1312" t="s">
        <v>285</v>
      </c>
      <c r="B1312">
        <f t="shared" si="60"/>
        <v>2023</v>
      </c>
      <c r="C1312">
        <f t="shared" si="61"/>
        <v>3</v>
      </c>
      <c r="D1312">
        <f t="shared" si="62"/>
        <v>1</v>
      </c>
      <c r="E1312" t="s">
        <v>327</v>
      </c>
      <c r="F1312">
        <v>0</v>
      </c>
      <c r="G1312">
        <v>7.75</v>
      </c>
      <c r="H1312">
        <v>7.75</v>
      </c>
      <c r="J1312">
        <v>7.75</v>
      </c>
      <c r="K1312">
        <v>0</v>
      </c>
    </row>
    <row r="1313" spans="1:11" hidden="1" x14ac:dyDescent="0.35">
      <c r="A1313" t="s">
        <v>286</v>
      </c>
      <c r="B1313">
        <f t="shared" si="60"/>
        <v>2023</v>
      </c>
      <c r="C1313">
        <f t="shared" si="61"/>
        <v>4</v>
      </c>
      <c r="D1313">
        <f t="shared" si="62"/>
        <v>2</v>
      </c>
      <c r="E1313" t="s">
        <v>327</v>
      </c>
      <c r="F1313">
        <v>0</v>
      </c>
      <c r="G1313">
        <v>7.75</v>
      </c>
      <c r="H1313">
        <v>7.75</v>
      </c>
      <c r="J1313">
        <v>7.75</v>
      </c>
      <c r="K1313">
        <v>0</v>
      </c>
    </row>
    <row r="1314" spans="1:11" hidden="1" x14ac:dyDescent="0.35">
      <c r="A1314" t="s">
        <v>287</v>
      </c>
      <c r="B1314">
        <f t="shared" si="60"/>
        <v>2023</v>
      </c>
      <c r="C1314">
        <f t="shared" si="61"/>
        <v>5</v>
      </c>
      <c r="D1314">
        <f t="shared" si="62"/>
        <v>2</v>
      </c>
      <c r="E1314" t="s">
        <v>327</v>
      </c>
      <c r="F1314">
        <v>0</v>
      </c>
      <c r="G1314">
        <v>7.75</v>
      </c>
      <c r="H1314">
        <v>7.75</v>
      </c>
      <c r="J1314">
        <v>7.75</v>
      </c>
      <c r="K1314">
        <v>0</v>
      </c>
    </row>
    <row r="1315" spans="1:11" hidden="1" x14ac:dyDescent="0.35">
      <c r="A1315" t="s">
        <v>288</v>
      </c>
      <c r="B1315">
        <f t="shared" si="60"/>
        <v>2023</v>
      </c>
      <c r="C1315">
        <f t="shared" si="61"/>
        <v>6</v>
      </c>
      <c r="D1315">
        <f t="shared" si="62"/>
        <v>2</v>
      </c>
      <c r="E1315" t="s">
        <v>327</v>
      </c>
      <c r="F1315">
        <v>0</v>
      </c>
      <c r="G1315">
        <v>7.75</v>
      </c>
      <c r="H1315">
        <v>7.75</v>
      </c>
      <c r="J1315">
        <v>7.75</v>
      </c>
      <c r="K1315">
        <v>0</v>
      </c>
    </row>
    <row r="1316" spans="1:11" hidden="1" x14ac:dyDescent="0.35">
      <c r="A1316" t="s">
        <v>289</v>
      </c>
      <c r="B1316">
        <f t="shared" si="60"/>
        <v>2023</v>
      </c>
      <c r="C1316">
        <f t="shared" si="61"/>
        <v>7</v>
      </c>
      <c r="D1316">
        <f t="shared" si="62"/>
        <v>3</v>
      </c>
      <c r="E1316" t="s">
        <v>327</v>
      </c>
      <c r="F1316">
        <v>0</v>
      </c>
      <c r="G1316">
        <v>7.75</v>
      </c>
      <c r="H1316">
        <v>7.75</v>
      </c>
      <c r="J1316">
        <v>7.75</v>
      </c>
      <c r="K1316">
        <v>0</v>
      </c>
    </row>
    <row r="1317" spans="1:11" hidden="1" x14ac:dyDescent="0.35">
      <c r="A1317" t="s">
        <v>290</v>
      </c>
      <c r="B1317">
        <f t="shared" si="60"/>
        <v>2023</v>
      </c>
      <c r="C1317">
        <f t="shared" si="61"/>
        <v>8</v>
      </c>
      <c r="D1317">
        <f t="shared" si="62"/>
        <v>3</v>
      </c>
      <c r="E1317" t="s">
        <v>327</v>
      </c>
      <c r="F1317">
        <v>0</v>
      </c>
      <c r="G1317">
        <v>7.75</v>
      </c>
      <c r="H1317">
        <v>7.75</v>
      </c>
      <c r="J1317">
        <v>7.7321400000000002</v>
      </c>
      <c r="K1317">
        <v>1.7860000000000001E-2</v>
      </c>
    </row>
    <row r="1318" spans="1:11" hidden="1" x14ac:dyDescent="0.35">
      <c r="A1318" t="s">
        <v>291</v>
      </c>
      <c r="B1318">
        <f t="shared" si="60"/>
        <v>2023</v>
      </c>
      <c r="C1318">
        <f t="shared" si="61"/>
        <v>9</v>
      </c>
      <c r="D1318">
        <f t="shared" si="62"/>
        <v>3</v>
      </c>
      <c r="E1318" t="s">
        <v>327</v>
      </c>
      <c r="F1318">
        <v>0</v>
      </c>
      <c r="G1318">
        <v>7.5</v>
      </c>
      <c r="H1318">
        <v>7.5</v>
      </c>
      <c r="J1318">
        <v>7.5416699999999999</v>
      </c>
      <c r="K1318">
        <v>-4.1669999999999999E-2</v>
      </c>
    </row>
    <row r="1319" spans="1:11" hidden="1" x14ac:dyDescent="0.35">
      <c r="A1319" t="s">
        <v>292</v>
      </c>
      <c r="B1319">
        <f t="shared" si="60"/>
        <v>2023</v>
      </c>
      <c r="C1319">
        <f t="shared" si="61"/>
        <v>10</v>
      </c>
      <c r="D1319">
        <f t="shared" si="62"/>
        <v>4</v>
      </c>
      <c r="E1319" t="s">
        <v>327</v>
      </c>
      <c r="F1319">
        <v>0</v>
      </c>
      <c r="G1319">
        <v>7.25</v>
      </c>
      <c r="H1319">
        <v>7.25</v>
      </c>
      <c r="J1319">
        <v>7.2692300000000003</v>
      </c>
      <c r="K1319">
        <v>-1.9230000000000001E-2</v>
      </c>
    </row>
    <row r="1320" spans="1:11" hidden="1" x14ac:dyDescent="0.35">
      <c r="A1320" t="s">
        <v>293</v>
      </c>
      <c r="B1320">
        <f t="shared" si="60"/>
        <v>2023</v>
      </c>
      <c r="C1320">
        <f t="shared" si="61"/>
        <v>11</v>
      </c>
      <c r="D1320">
        <f t="shared" si="62"/>
        <v>4</v>
      </c>
      <c r="E1320" t="s">
        <v>327</v>
      </c>
      <c r="F1320">
        <v>0</v>
      </c>
      <c r="G1320">
        <v>7</v>
      </c>
      <c r="H1320">
        <v>7</v>
      </c>
      <c r="J1320">
        <v>6.9821400000000002</v>
      </c>
      <c r="K1320">
        <v>1.7860000000000001E-2</v>
      </c>
    </row>
    <row r="1321" spans="1:11" hidden="1" x14ac:dyDescent="0.35">
      <c r="A1321" t="s">
        <v>294</v>
      </c>
      <c r="B1321">
        <f t="shared" si="60"/>
        <v>2023</v>
      </c>
      <c r="C1321">
        <f t="shared" si="61"/>
        <v>12</v>
      </c>
      <c r="D1321">
        <f t="shared" si="62"/>
        <v>4</v>
      </c>
      <c r="E1321" t="s">
        <v>327</v>
      </c>
      <c r="F1321">
        <v>0</v>
      </c>
      <c r="G1321">
        <v>6.75</v>
      </c>
      <c r="H1321">
        <v>6.75</v>
      </c>
      <c r="J1321">
        <v>6.69231</v>
      </c>
      <c r="K1321">
        <v>5.7689999999999998E-2</v>
      </c>
    </row>
    <row r="1322" spans="1:11" hidden="1" x14ac:dyDescent="0.35">
      <c r="A1322" t="s">
        <v>295</v>
      </c>
      <c r="B1322">
        <f t="shared" si="60"/>
        <v>2024</v>
      </c>
      <c r="C1322">
        <f t="shared" si="61"/>
        <v>1</v>
      </c>
      <c r="D1322">
        <f t="shared" si="62"/>
        <v>1</v>
      </c>
      <c r="E1322" t="s">
        <v>327</v>
      </c>
      <c r="F1322">
        <v>0</v>
      </c>
      <c r="G1322">
        <v>6.5</v>
      </c>
      <c r="H1322">
        <v>6.5</v>
      </c>
      <c r="J1322">
        <v>6.5</v>
      </c>
      <c r="K1322">
        <v>0</v>
      </c>
    </row>
    <row r="1323" spans="1:11" hidden="1" x14ac:dyDescent="0.35">
      <c r="A1323" t="s">
        <v>296</v>
      </c>
      <c r="B1323">
        <f t="shared" si="60"/>
        <v>2024</v>
      </c>
      <c r="C1323">
        <f t="shared" si="61"/>
        <v>2</v>
      </c>
      <c r="D1323">
        <f t="shared" si="62"/>
        <v>1</v>
      </c>
      <c r="E1323" t="s">
        <v>327</v>
      </c>
      <c r="F1323">
        <v>0</v>
      </c>
      <c r="G1323">
        <v>6.25</v>
      </c>
      <c r="H1323">
        <v>6.25</v>
      </c>
      <c r="J1323">
        <v>6.25</v>
      </c>
      <c r="K1323">
        <v>0</v>
      </c>
    </row>
    <row r="1324" spans="1:11" hidden="1" x14ac:dyDescent="0.35">
      <c r="A1324" t="s">
        <v>297</v>
      </c>
      <c r="B1324">
        <f t="shared" si="60"/>
        <v>2024</v>
      </c>
      <c r="C1324">
        <f t="shared" si="61"/>
        <v>3</v>
      </c>
      <c r="D1324">
        <f t="shared" si="62"/>
        <v>1</v>
      </c>
      <c r="E1324" t="s">
        <v>327</v>
      </c>
      <c r="F1324">
        <v>0.25</v>
      </c>
      <c r="G1324">
        <v>6</v>
      </c>
      <c r="H1324">
        <v>6.25</v>
      </c>
      <c r="J1324">
        <v>6.0192300000000003</v>
      </c>
      <c r="K1324">
        <v>0.23077</v>
      </c>
    </row>
    <row r="1325" spans="1:11" hidden="1" x14ac:dyDescent="0.35">
      <c r="A1325" t="s">
        <v>298</v>
      </c>
      <c r="B1325">
        <f t="shared" si="60"/>
        <v>2024</v>
      </c>
      <c r="C1325">
        <f t="shared" si="61"/>
        <v>4</v>
      </c>
      <c r="D1325">
        <f t="shared" si="62"/>
        <v>2</v>
      </c>
      <c r="E1325" t="s">
        <v>327</v>
      </c>
      <c r="F1325">
        <v>-0.25</v>
      </c>
      <c r="G1325">
        <v>6.25</v>
      </c>
      <c r="H1325">
        <v>6</v>
      </c>
      <c r="J1325">
        <v>6.2307699999999997</v>
      </c>
      <c r="K1325">
        <v>-0.23077</v>
      </c>
    </row>
    <row r="1326" spans="1:11" hidden="1" x14ac:dyDescent="0.35">
      <c r="A1326" t="s">
        <v>299</v>
      </c>
      <c r="B1326">
        <f t="shared" si="60"/>
        <v>2024</v>
      </c>
      <c r="C1326">
        <f t="shared" si="61"/>
        <v>5</v>
      </c>
      <c r="D1326">
        <f t="shared" si="62"/>
        <v>2</v>
      </c>
      <c r="E1326" t="s">
        <v>327</v>
      </c>
      <c r="F1326">
        <v>0</v>
      </c>
      <c r="G1326">
        <v>5.75</v>
      </c>
      <c r="H1326">
        <v>5.75</v>
      </c>
      <c r="J1326">
        <v>5.80769</v>
      </c>
      <c r="K1326">
        <v>-5.7689999999999998E-2</v>
      </c>
    </row>
    <row r="1327" spans="1:11" hidden="1" x14ac:dyDescent="0.35">
      <c r="A1327" t="s">
        <v>300</v>
      </c>
      <c r="B1327">
        <f t="shared" si="60"/>
        <v>2024</v>
      </c>
      <c r="C1327">
        <f t="shared" si="61"/>
        <v>6</v>
      </c>
      <c r="D1327">
        <f t="shared" si="62"/>
        <v>2</v>
      </c>
      <c r="E1327" t="s">
        <v>327</v>
      </c>
      <c r="F1327">
        <v>0.25</v>
      </c>
      <c r="G1327">
        <v>5.5</v>
      </c>
      <c r="H1327">
        <v>5.75</v>
      </c>
      <c r="J1327">
        <v>5.5625</v>
      </c>
      <c r="K1327">
        <v>0.1875</v>
      </c>
    </row>
    <row r="1328" spans="1:11" hidden="1" x14ac:dyDescent="0.35">
      <c r="A1328" t="s">
        <v>301</v>
      </c>
      <c r="B1328">
        <f t="shared" si="60"/>
        <v>2024</v>
      </c>
      <c r="C1328">
        <f t="shared" si="61"/>
        <v>7</v>
      </c>
      <c r="D1328">
        <f t="shared" si="62"/>
        <v>3</v>
      </c>
      <c r="E1328" t="s">
        <v>327</v>
      </c>
      <c r="F1328">
        <v>0</v>
      </c>
      <c r="G1328">
        <v>5.75</v>
      </c>
      <c r="H1328">
        <v>5.75</v>
      </c>
      <c r="J1328">
        <v>5.69231</v>
      </c>
      <c r="K1328">
        <v>5.7689999999999998E-2</v>
      </c>
    </row>
    <row r="1329" spans="1:11" hidden="1" x14ac:dyDescent="0.35">
      <c r="A1329" t="s">
        <v>302</v>
      </c>
      <c r="B1329">
        <f t="shared" si="60"/>
        <v>2024</v>
      </c>
      <c r="C1329">
        <f t="shared" si="61"/>
        <v>8</v>
      </c>
      <c r="D1329">
        <f t="shared" si="62"/>
        <v>3</v>
      </c>
      <c r="E1329" t="s">
        <v>327</v>
      </c>
      <c r="F1329">
        <v>-0.25</v>
      </c>
      <c r="G1329">
        <v>5.75</v>
      </c>
      <c r="H1329">
        <v>5.5</v>
      </c>
      <c r="J1329">
        <v>5.6785699999999997</v>
      </c>
      <c r="K1329">
        <v>-0.17857000000000001</v>
      </c>
    </row>
    <row r="1330" spans="1:11" hidden="1" x14ac:dyDescent="0.35">
      <c r="A1330" t="s">
        <v>303</v>
      </c>
      <c r="B1330">
        <f t="shared" si="60"/>
        <v>2024</v>
      </c>
      <c r="C1330">
        <f t="shared" si="61"/>
        <v>9</v>
      </c>
      <c r="D1330">
        <f t="shared" si="62"/>
        <v>3</v>
      </c>
      <c r="E1330" t="s">
        <v>327</v>
      </c>
      <c r="F1330">
        <v>0</v>
      </c>
      <c r="G1330">
        <v>5.25</v>
      </c>
      <c r="H1330">
        <v>5.25</v>
      </c>
      <c r="J1330">
        <v>5.30769</v>
      </c>
      <c r="K1330">
        <v>-5.7689999999999998E-2</v>
      </c>
    </row>
    <row r="1331" spans="1:11" hidden="1" x14ac:dyDescent="0.35">
      <c r="A1331" t="s">
        <v>304</v>
      </c>
      <c r="B1331">
        <f t="shared" si="60"/>
        <v>2024</v>
      </c>
      <c r="C1331">
        <f t="shared" si="61"/>
        <v>10</v>
      </c>
      <c r="D1331">
        <f t="shared" si="62"/>
        <v>4</v>
      </c>
      <c r="E1331" t="s">
        <v>327</v>
      </c>
      <c r="F1331">
        <v>0.25</v>
      </c>
      <c r="G1331">
        <v>5</v>
      </c>
      <c r="H1331">
        <v>5.25</v>
      </c>
      <c r="J1331">
        <v>5.0416699999999999</v>
      </c>
      <c r="K1331">
        <v>0.20832999999999999</v>
      </c>
    </row>
    <row r="1332" spans="1:11" hidden="1" x14ac:dyDescent="0.35">
      <c r="A1332" t="s">
        <v>305</v>
      </c>
      <c r="B1332">
        <f t="shared" si="60"/>
        <v>2024</v>
      </c>
      <c r="C1332">
        <f t="shared" si="61"/>
        <v>11</v>
      </c>
      <c r="D1332">
        <f t="shared" si="62"/>
        <v>4</v>
      </c>
      <c r="E1332" t="s">
        <v>327</v>
      </c>
      <c r="F1332">
        <v>0</v>
      </c>
      <c r="G1332">
        <v>5</v>
      </c>
      <c r="H1332">
        <v>5</v>
      </c>
      <c r="J1332">
        <v>5.1136400000000002</v>
      </c>
      <c r="K1332">
        <v>-0.11364</v>
      </c>
    </row>
    <row r="1333" spans="1:11" hidden="1" x14ac:dyDescent="0.35">
      <c r="A1333" t="s">
        <v>306</v>
      </c>
      <c r="B1333">
        <f t="shared" si="60"/>
        <v>2024</v>
      </c>
      <c r="C1333">
        <f t="shared" si="61"/>
        <v>12</v>
      </c>
      <c r="D1333">
        <f t="shared" si="62"/>
        <v>4</v>
      </c>
      <c r="E1333" t="s">
        <v>327</v>
      </c>
      <c r="F1333">
        <v>0</v>
      </c>
      <c r="G1333">
        <v>5</v>
      </c>
      <c r="H1333">
        <v>5</v>
      </c>
      <c r="J1333">
        <v>4.9375</v>
      </c>
      <c r="K1333">
        <v>6.25E-2</v>
      </c>
    </row>
    <row r="1334" spans="1:11" hidden="1" x14ac:dyDescent="0.35">
      <c r="A1334" t="s">
        <v>307</v>
      </c>
      <c r="B1334">
        <f t="shared" si="60"/>
        <v>2025</v>
      </c>
      <c r="C1334">
        <f t="shared" si="61"/>
        <v>1</v>
      </c>
      <c r="D1334">
        <f t="shared" si="62"/>
        <v>1</v>
      </c>
      <c r="E1334" t="s">
        <v>327</v>
      </c>
      <c r="F1334">
        <v>0</v>
      </c>
      <c r="G1334">
        <v>4.75</v>
      </c>
      <c r="H1334">
        <v>4.75</v>
      </c>
      <c r="J1334">
        <v>4.84091</v>
      </c>
      <c r="K1334">
        <v>-9.0910000000000005E-2</v>
      </c>
    </row>
    <row r="1335" spans="1:11" hidden="1" x14ac:dyDescent="0.35">
      <c r="A1335" t="s">
        <v>308</v>
      </c>
      <c r="B1335">
        <f t="shared" si="60"/>
        <v>2025</v>
      </c>
      <c r="C1335">
        <f t="shared" si="61"/>
        <v>2</v>
      </c>
      <c r="D1335">
        <f t="shared" si="62"/>
        <v>1</v>
      </c>
      <c r="E1335" t="s">
        <v>327</v>
      </c>
      <c r="F1335">
        <v>0</v>
      </c>
      <c r="G1335">
        <v>4.75</v>
      </c>
      <c r="H1335">
        <v>4.75</v>
      </c>
      <c r="J1335">
        <v>4.6730799999999997</v>
      </c>
      <c r="K1335">
        <v>7.6920000000000002E-2</v>
      </c>
    </row>
    <row r="1336" spans="1:11" hidden="1" x14ac:dyDescent="0.35">
      <c r="A1336" t="s">
        <v>309</v>
      </c>
      <c r="B1336">
        <f t="shared" si="60"/>
        <v>2025</v>
      </c>
      <c r="C1336">
        <f t="shared" si="61"/>
        <v>3</v>
      </c>
      <c r="D1336">
        <f t="shared" si="62"/>
        <v>1</v>
      </c>
      <c r="E1336" t="s">
        <v>327</v>
      </c>
      <c r="F1336">
        <v>0</v>
      </c>
      <c r="G1336">
        <v>4.75</v>
      </c>
      <c r="H1336">
        <v>4.75</v>
      </c>
      <c r="J1336">
        <v>4.65909</v>
      </c>
      <c r="K1336">
        <v>9.0910000000000005E-2</v>
      </c>
    </row>
    <row r="1337" spans="1:11" hidden="1" x14ac:dyDescent="0.35">
      <c r="A1337" t="s">
        <v>310</v>
      </c>
      <c r="B1337">
        <f t="shared" si="60"/>
        <v>2025</v>
      </c>
      <c r="C1337">
        <f t="shared" si="61"/>
        <v>4</v>
      </c>
      <c r="D1337">
        <f t="shared" si="62"/>
        <v>2</v>
      </c>
      <c r="E1337" t="s">
        <v>327</v>
      </c>
      <c r="F1337">
        <v>0</v>
      </c>
      <c r="G1337">
        <v>4.75</v>
      </c>
      <c r="H1337">
        <v>4.75</v>
      </c>
      <c r="J1337">
        <v>4.7083300000000001</v>
      </c>
      <c r="K1337">
        <v>4.1669999999999999E-2</v>
      </c>
    </row>
    <row r="1338" spans="1:11" hidden="1" x14ac:dyDescent="0.35">
      <c r="A1338" t="s">
        <v>311</v>
      </c>
      <c r="B1338">
        <f t="shared" si="60"/>
        <v>2025</v>
      </c>
      <c r="C1338">
        <f t="shared" si="61"/>
        <v>5</v>
      </c>
      <c r="D1338">
        <f t="shared" si="62"/>
        <v>2</v>
      </c>
      <c r="E1338" t="s">
        <v>327</v>
      </c>
      <c r="F1338">
        <v>-0.25</v>
      </c>
      <c r="G1338">
        <v>4.75</v>
      </c>
      <c r="H1338">
        <v>4.5</v>
      </c>
      <c r="J1338">
        <v>4.6538500000000003</v>
      </c>
      <c r="K1338">
        <v>-0.15384999999999999</v>
      </c>
    </row>
  </sheetData>
  <autoFilter ref="A1:M1338" xr:uid="{17BDFD4A-D312-4F72-878D-2C5D9C0DA15D}">
    <filterColumn colId="4">
      <filters>
        <filter val="Colombi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3629-9AC8-4C2C-99BA-48203BE81A7F}">
  <dimension ref="A1:D279"/>
  <sheetViews>
    <sheetView workbookViewId="0">
      <selection activeCell="D2" sqref="D2"/>
    </sheetView>
  </sheetViews>
  <sheetFormatPr baseColWidth="10" defaultRowHeight="14.5" x14ac:dyDescent="0.35"/>
  <sheetData>
    <row r="1" spans="1:4" x14ac:dyDescent="0.35">
      <c r="A1" t="s">
        <v>314</v>
      </c>
      <c r="B1" t="s">
        <v>315</v>
      </c>
      <c r="C1" t="s">
        <v>316</v>
      </c>
      <c r="D1" t="s">
        <v>0</v>
      </c>
    </row>
    <row r="2" spans="1:4" x14ac:dyDescent="0.35">
      <c r="A2">
        <v>-0.25</v>
      </c>
      <c r="B2">
        <v>7.5</v>
      </c>
      <c r="C2">
        <v>7.25</v>
      </c>
      <c r="D2" t="s">
        <v>33</v>
      </c>
    </row>
    <row r="3" spans="1:4" x14ac:dyDescent="0.35">
      <c r="A3">
        <v>-0.5</v>
      </c>
      <c r="B3">
        <v>6.75</v>
      </c>
      <c r="C3">
        <v>6.25</v>
      </c>
      <c r="D3" t="s">
        <v>34</v>
      </c>
    </row>
    <row r="4" spans="1:4" x14ac:dyDescent="0.35">
      <c r="A4">
        <v>-0.25</v>
      </c>
      <c r="B4">
        <v>6</v>
      </c>
      <c r="C4">
        <v>5.75</v>
      </c>
      <c r="D4" t="s">
        <v>35</v>
      </c>
    </row>
    <row r="5" spans="1:4" x14ac:dyDescent="0.35">
      <c r="A5">
        <v>0</v>
      </c>
      <c r="B5">
        <v>5.25</v>
      </c>
      <c r="C5">
        <v>5.25</v>
      </c>
      <c r="D5" t="s">
        <v>36</v>
      </c>
    </row>
    <row r="6" spans="1:4" x14ac:dyDescent="0.35">
      <c r="A6">
        <v>0</v>
      </c>
      <c r="B6">
        <v>5.25</v>
      </c>
      <c r="C6">
        <v>5.25</v>
      </c>
      <c r="D6" t="s">
        <v>37</v>
      </c>
    </row>
    <row r="7" spans="1:4" x14ac:dyDescent="0.35">
      <c r="A7">
        <v>0</v>
      </c>
      <c r="B7">
        <v>5.25</v>
      </c>
      <c r="C7">
        <v>5.25</v>
      </c>
      <c r="D7" t="s">
        <v>38</v>
      </c>
    </row>
    <row r="8" spans="1:4" x14ac:dyDescent="0.35">
      <c r="A8">
        <v>0</v>
      </c>
      <c r="B8">
        <v>5.25</v>
      </c>
      <c r="C8">
        <v>5.25</v>
      </c>
      <c r="D8" t="s">
        <v>39</v>
      </c>
    </row>
    <row r="9" spans="1:4" x14ac:dyDescent="0.35">
      <c r="A9">
        <v>0</v>
      </c>
      <c r="B9">
        <v>5.25</v>
      </c>
      <c r="C9">
        <v>5.25</v>
      </c>
      <c r="D9" t="s">
        <v>40</v>
      </c>
    </row>
    <row r="10" spans="1:4" x14ac:dyDescent="0.35">
      <c r="A10">
        <v>0</v>
      </c>
      <c r="B10">
        <v>5.25</v>
      </c>
      <c r="C10">
        <v>5.25</v>
      </c>
      <c r="D10" t="s">
        <v>41</v>
      </c>
    </row>
    <row r="11" spans="1:4" x14ac:dyDescent="0.35">
      <c r="A11">
        <v>0</v>
      </c>
      <c r="B11">
        <v>5.25</v>
      </c>
      <c r="C11">
        <v>5.25</v>
      </c>
      <c r="D11" t="s">
        <v>42</v>
      </c>
    </row>
    <row r="12" spans="1:4" x14ac:dyDescent="0.35">
      <c r="A12">
        <v>0</v>
      </c>
      <c r="B12">
        <v>6.25</v>
      </c>
      <c r="C12">
        <v>6.25</v>
      </c>
      <c r="D12" t="s">
        <v>43</v>
      </c>
    </row>
    <row r="13" spans="1:4" x14ac:dyDescent="0.35">
      <c r="A13">
        <v>0</v>
      </c>
      <c r="B13">
        <v>6.25</v>
      </c>
      <c r="C13">
        <v>6.25</v>
      </c>
      <c r="D13" t="s">
        <v>44</v>
      </c>
    </row>
    <row r="14" spans="1:4" x14ac:dyDescent="0.35">
      <c r="A14">
        <v>0</v>
      </c>
      <c r="B14">
        <v>6.25</v>
      </c>
      <c r="C14">
        <v>6.25</v>
      </c>
      <c r="D14" t="s">
        <v>45</v>
      </c>
    </row>
    <row r="15" spans="1:4" x14ac:dyDescent="0.35">
      <c r="A15">
        <v>0.25</v>
      </c>
      <c r="B15">
        <v>7</v>
      </c>
      <c r="C15">
        <v>7.25</v>
      </c>
      <c r="D15" t="s">
        <v>46</v>
      </c>
    </row>
    <row r="16" spans="1:4" x14ac:dyDescent="0.35">
      <c r="A16">
        <v>0</v>
      </c>
      <c r="B16">
        <v>7.25</v>
      </c>
      <c r="C16">
        <v>7.25</v>
      </c>
      <c r="D16" t="s">
        <v>47</v>
      </c>
    </row>
    <row r="17" spans="1:4" x14ac:dyDescent="0.35">
      <c r="A17">
        <v>0</v>
      </c>
      <c r="B17">
        <v>7.25</v>
      </c>
      <c r="C17">
        <v>7.25</v>
      </c>
      <c r="D17" t="s">
        <v>48</v>
      </c>
    </row>
    <row r="18" spans="1:4" x14ac:dyDescent="0.35">
      <c r="A18">
        <v>0</v>
      </c>
      <c r="B18">
        <v>7.25</v>
      </c>
      <c r="C18">
        <v>7.25</v>
      </c>
      <c r="D18" t="s">
        <v>49</v>
      </c>
    </row>
    <row r="19" spans="1:4" x14ac:dyDescent="0.35">
      <c r="A19">
        <v>0</v>
      </c>
      <c r="B19">
        <v>7.25</v>
      </c>
      <c r="C19">
        <v>7.25</v>
      </c>
      <c r="D19" t="s">
        <v>50</v>
      </c>
    </row>
    <row r="20" spans="1:4" x14ac:dyDescent="0.35">
      <c r="A20">
        <v>0</v>
      </c>
      <c r="B20">
        <v>7.25</v>
      </c>
      <c r="C20">
        <v>7.25</v>
      </c>
      <c r="D20" t="s">
        <v>51</v>
      </c>
    </row>
    <row r="21" spans="1:4" x14ac:dyDescent="0.35">
      <c r="A21">
        <v>0</v>
      </c>
      <c r="B21">
        <v>7.25</v>
      </c>
      <c r="C21">
        <v>7.25</v>
      </c>
      <c r="D21" t="s">
        <v>52</v>
      </c>
    </row>
    <row r="22" spans="1:4" x14ac:dyDescent="0.35">
      <c r="A22">
        <v>0</v>
      </c>
      <c r="B22">
        <v>7.25</v>
      </c>
      <c r="C22">
        <v>7.25</v>
      </c>
      <c r="D22" t="s">
        <v>53</v>
      </c>
    </row>
    <row r="23" spans="1:4" x14ac:dyDescent="0.35">
      <c r="A23">
        <v>0</v>
      </c>
      <c r="B23">
        <v>7.25</v>
      </c>
      <c r="C23">
        <v>7.25</v>
      </c>
      <c r="D23" t="s">
        <v>54</v>
      </c>
    </row>
    <row r="24" spans="1:4" x14ac:dyDescent="0.35">
      <c r="A24">
        <v>0</v>
      </c>
      <c r="B24">
        <v>7.25</v>
      </c>
      <c r="C24">
        <v>7.25</v>
      </c>
      <c r="D24" t="s">
        <v>55</v>
      </c>
    </row>
    <row r="25" spans="1:4" x14ac:dyDescent="0.35">
      <c r="A25">
        <v>0</v>
      </c>
      <c r="B25">
        <v>7</v>
      </c>
      <c r="C25">
        <v>7</v>
      </c>
      <c r="D25" t="s">
        <v>56</v>
      </c>
    </row>
    <row r="26" spans="1:4" x14ac:dyDescent="0.35">
      <c r="A26">
        <v>0.25</v>
      </c>
      <c r="B26">
        <v>6.5</v>
      </c>
      <c r="C26">
        <v>6.75</v>
      </c>
      <c r="D26" t="s">
        <v>57</v>
      </c>
    </row>
    <row r="27" spans="1:4" x14ac:dyDescent="0.35">
      <c r="A27">
        <v>0</v>
      </c>
      <c r="B27">
        <v>6.75</v>
      </c>
      <c r="C27">
        <v>6.75</v>
      </c>
      <c r="D27" t="s">
        <v>58</v>
      </c>
    </row>
    <row r="28" spans="1:4" x14ac:dyDescent="0.35">
      <c r="A28">
        <v>0</v>
      </c>
      <c r="B28">
        <v>6.75</v>
      </c>
      <c r="C28">
        <v>6.75</v>
      </c>
      <c r="D28" t="s">
        <v>59</v>
      </c>
    </row>
    <row r="29" spans="1:4" x14ac:dyDescent="0.35">
      <c r="A29">
        <v>0</v>
      </c>
      <c r="B29">
        <v>6.75</v>
      </c>
      <c r="C29">
        <v>6.75</v>
      </c>
      <c r="D29" t="s">
        <v>60</v>
      </c>
    </row>
    <row r="30" spans="1:4" x14ac:dyDescent="0.35">
      <c r="A30">
        <v>0</v>
      </c>
      <c r="B30">
        <v>6.75</v>
      </c>
      <c r="C30">
        <v>6.75</v>
      </c>
      <c r="D30" t="s">
        <v>61</v>
      </c>
    </row>
    <row r="31" spans="1:4" x14ac:dyDescent="0.35">
      <c r="A31">
        <v>0</v>
      </c>
      <c r="B31">
        <v>6.75</v>
      </c>
      <c r="C31">
        <v>6.75</v>
      </c>
      <c r="D31" t="s">
        <v>62</v>
      </c>
    </row>
    <row r="32" spans="1:4" x14ac:dyDescent="0.35">
      <c r="A32">
        <v>0</v>
      </c>
      <c r="B32">
        <v>6.75</v>
      </c>
      <c r="C32">
        <v>6.75</v>
      </c>
      <c r="D32" t="s">
        <v>63</v>
      </c>
    </row>
    <row r="33" spans="1:4" x14ac:dyDescent="0.35">
      <c r="A33">
        <v>0</v>
      </c>
      <c r="B33">
        <v>6.75</v>
      </c>
      <c r="C33">
        <v>6.75</v>
      </c>
      <c r="D33" t="s">
        <v>64</v>
      </c>
    </row>
    <row r="34" spans="1:4" x14ac:dyDescent="0.35">
      <c r="A34">
        <v>0</v>
      </c>
      <c r="B34">
        <v>6.75</v>
      </c>
      <c r="C34">
        <v>6.75</v>
      </c>
      <c r="D34" t="s">
        <v>65</v>
      </c>
    </row>
    <row r="35" spans="1:4" x14ac:dyDescent="0.35">
      <c r="A35">
        <v>-0.25</v>
      </c>
      <c r="B35">
        <v>6.75</v>
      </c>
      <c r="C35">
        <v>6.5</v>
      </c>
      <c r="D35" t="s">
        <v>66</v>
      </c>
    </row>
    <row r="36" spans="1:4" x14ac:dyDescent="0.35">
      <c r="A36">
        <v>0</v>
      </c>
      <c r="B36">
        <v>6.5</v>
      </c>
      <c r="C36">
        <v>6.5</v>
      </c>
      <c r="D36" t="s">
        <v>67</v>
      </c>
    </row>
    <row r="37" spans="1:4" x14ac:dyDescent="0.35">
      <c r="A37">
        <v>0</v>
      </c>
      <c r="B37">
        <v>6.5</v>
      </c>
      <c r="C37">
        <v>6.5</v>
      </c>
      <c r="D37" t="s">
        <v>68</v>
      </c>
    </row>
    <row r="38" spans="1:4" x14ac:dyDescent="0.35">
      <c r="A38">
        <v>0</v>
      </c>
      <c r="B38">
        <v>6.5</v>
      </c>
      <c r="C38">
        <v>6.5</v>
      </c>
      <c r="D38" t="s">
        <v>69</v>
      </c>
    </row>
    <row r="39" spans="1:4" x14ac:dyDescent="0.35">
      <c r="A39">
        <v>0</v>
      </c>
      <c r="B39">
        <v>6.5</v>
      </c>
      <c r="C39">
        <v>6.5</v>
      </c>
      <c r="D39" t="s">
        <v>70</v>
      </c>
    </row>
    <row r="40" spans="1:4" x14ac:dyDescent="0.35">
      <c r="A40">
        <v>0</v>
      </c>
      <c r="B40">
        <v>6.5</v>
      </c>
      <c r="C40">
        <v>6.5</v>
      </c>
      <c r="D40" t="s">
        <v>71</v>
      </c>
    </row>
    <row r="41" spans="1:4" x14ac:dyDescent="0.35">
      <c r="A41">
        <v>0</v>
      </c>
      <c r="B41">
        <v>6.5</v>
      </c>
      <c r="C41">
        <v>6.5</v>
      </c>
      <c r="D41" t="s">
        <v>72</v>
      </c>
    </row>
    <row r="42" spans="1:4" x14ac:dyDescent="0.35">
      <c r="A42">
        <v>0</v>
      </c>
      <c r="B42">
        <v>6.5</v>
      </c>
      <c r="C42">
        <v>6.5</v>
      </c>
      <c r="D42" t="s">
        <v>73</v>
      </c>
    </row>
    <row r="43" spans="1:4" x14ac:dyDescent="0.35">
      <c r="A43">
        <v>0</v>
      </c>
      <c r="B43">
        <v>6.5</v>
      </c>
      <c r="C43">
        <v>6.5</v>
      </c>
      <c r="D43" t="s">
        <v>74</v>
      </c>
    </row>
    <row r="44" spans="1:4" x14ac:dyDescent="0.35">
      <c r="A44">
        <v>-0.5</v>
      </c>
      <c r="B44">
        <v>6.5</v>
      </c>
      <c r="C44">
        <v>6</v>
      </c>
      <c r="D44" t="s">
        <v>75</v>
      </c>
    </row>
    <row r="45" spans="1:4" x14ac:dyDescent="0.35">
      <c r="A45">
        <v>0</v>
      </c>
      <c r="B45">
        <v>6</v>
      </c>
      <c r="C45">
        <v>6</v>
      </c>
      <c r="D45" t="s">
        <v>76</v>
      </c>
    </row>
    <row r="46" spans="1:4" x14ac:dyDescent="0.35">
      <c r="A46">
        <v>0</v>
      </c>
      <c r="B46">
        <v>6</v>
      </c>
      <c r="C46">
        <v>6</v>
      </c>
      <c r="D46" t="s">
        <v>77</v>
      </c>
    </row>
    <row r="47" spans="1:4" x14ac:dyDescent="0.35">
      <c r="A47">
        <v>0</v>
      </c>
      <c r="B47">
        <v>6</v>
      </c>
      <c r="C47">
        <v>6</v>
      </c>
      <c r="D47" t="s">
        <v>78</v>
      </c>
    </row>
    <row r="48" spans="1:4" x14ac:dyDescent="0.35">
      <c r="A48">
        <v>0</v>
      </c>
      <c r="B48">
        <v>6</v>
      </c>
      <c r="C48">
        <v>6</v>
      </c>
      <c r="D48" t="s">
        <v>79</v>
      </c>
    </row>
    <row r="49" spans="1:4" x14ac:dyDescent="0.35">
      <c r="A49">
        <v>0</v>
      </c>
      <c r="B49">
        <v>6</v>
      </c>
      <c r="C49">
        <v>6</v>
      </c>
      <c r="D49" t="s">
        <v>80</v>
      </c>
    </row>
    <row r="50" spans="1:4" x14ac:dyDescent="0.35">
      <c r="A50">
        <v>0</v>
      </c>
      <c r="B50">
        <v>6</v>
      </c>
      <c r="C50">
        <v>6</v>
      </c>
      <c r="D50" t="s">
        <v>81</v>
      </c>
    </row>
    <row r="51" spans="1:4" x14ac:dyDescent="0.35">
      <c r="A51">
        <v>0.25</v>
      </c>
      <c r="B51">
        <v>6</v>
      </c>
      <c r="C51">
        <v>6.25</v>
      </c>
      <c r="D51" t="s">
        <v>82</v>
      </c>
    </row>
    <row r="52" spans="1:4" x14ac:dyDescent="0.35">
      <c r="A52">
        <v>-0.25</v>
      </c>
      <c r="B52">
        <v>6.5</v>
      </c>
      <c r="C52">
        <v>6.25</v>
      </c>
      <c r="D52" t="s">
        <v>83</v>
      </c>
    </row>
    <row r="53" spans="1:4" x14ac:dyDescent="0.35">
      <c r="A53">
        <v>0</v>
      </c>
      <c r="B53">
        <v>6.5</v>
      </c>
      <c r="C53">
        <v>6.5</v>
      </c>
      <c r="D53" t="s">
        <v>84</v>
      </c>
    </row>
    <row r="54" spans="1:4" x14ac:dyDescent="0.35">
      <c r="A54">
        <v>0</v>
      </c>
      <c r="B54">
        <v>6.5</v>
      </c>
      <c r="C54">
        <v>6.5</v>
      </c>
      <c r="D54" t="s">
        <v>85</v>
      </c>
    </row>
    <row r="55" spans="1:4" x14ac:dyDescent="0.35">
      <c r="A55">
        <v>0</v>
      </c>
      <c r="B55">
        <v>6.75</v>
      </c>
      <c r="C55">
        <v>6.75</v>
      </c>
      <c r="D55" t="s">
        <v>86</v>
      </c>
    </row>
    <row r="56" spans="1:4" x14ac:dyDescent="0.35">
      <c r="A56">
        <v>0.25</v>
      </c>
      <c r="B56">
        <v>6.75</v>
      </c>
      <c r="C56">
        <v>7</v>
      </c>
      <c r="D56" t="s">
        <v>87</v>
      </c>
    </row>
    <row r="57" spans="1:4" x14ac:dyDescent="0.35">
      <c r="A57">
        <v>0</v>
      </c>
      <c r="B57">
        <v>7.25</v>
      </c>
      <c r="C57">
        <v>7.25</v>
      </c>
      <c r="D57" t="s">
        <v>88</v>
      </c>
    </row>
    <row r="58" spans="1:4" x14ac:dyDescent="0.35">
      <c r="A58">
        <v>0</v>
      </c>
      <c r="B58">
        <v>7.25</v>
      </c>
      <c r="C58">
        <v>7.25</v>
      </c>
      <c r="D58" t="s">
        <v>89</v>
      </c>
    </row>
    <row r="59" spans="1:4" x14ac:dyDescent="0.35">
      <c r="A59">
        <v>0.25</v>
      </c>
      <c r="B59">
        <v>7.25</v>
      </c>
      <c r="C59">
        <v>7.5</v>
      </c>
      <c r="D59" t="s">
        <v>90</v>
      </c>
    </row>
    <row r="60" spans="1:4" x14ac:dyDescent="0.35">
      <c r="A60">
        <v>0.25</v>
      </c>
      <c r="B60">
        <v>7.5</v>
      </c>
      <c r="C60">
        <v>7.75</v>
      </c>
      <c r="D60" t="s">
        <v>91</v>
      </c>
    </row>
    <row r="61" spans="1:4" x14ac:dyDescent="0.35">
      <c r="A61">
        <v>0</v>
      </c>
      <c r="B61">
        <v>8</v>
      </c>
      <c r="C61">
        <v>8</v>
      </c>
      <c r="D61" t="s">
        <v>92</v>
      </c>
    </row>
    <row r="62" spans="1:4" x14ac:dyDescent="0.35">
      <c r="A62">
        <v>0</v>
      </c>
      <c r="B62">
        <v>8.25</v>
      </c>
      <c r="C62">
        <v>8.25</v>
      </c>
      <c r="D62" t="s">
        <v>93</v>
      </c>
    </row>
    <row r="63" spans="1:4" x14ac:dyDescent="0.35">
      <c r="A63">
        <v>0</v>
      </c>
      <c r="B63">
        <v>8.5</v>
      </c>
      <c r="C63">
        <v>8.5</v>
      </c>
      <c r="D63" t="s">
        <v>94</v>
      </c>
    </row>
    <row r="64" spans="1:4" x14ac:dyDescent="0.35">
      <c r="A64">
        <v>0</v>
      </c>
      <c r="B64">
        <v>8.75</v>
      </c>
      <c r="C64">
        <v>8.75</v>
      </c>
      <c r="D64" t="s">
        <v>95</v>
      </c>
    </row>
    <row r="65" spans="1:4" x14ac:dyDescent="0.35">
      <c r="A65">
        <v>0</v>
      </c>
      <c r="B65">
        <v>9</v>
      </c>
      <c r="C65">
        <v>9</v>
      </c>
      <c r="D65" t="s">
        <v>96</v>
      </c>
    </row>
    <row r="66" spans="1:4" x14ac:dyDescent="0.35">
      <c r="A66">
        <v>0</v>
      </c>
      <c r="B66">
        <v>9.25</v>
      </c>
      <c r="C66">
        <v>9.25</v>
      </c>
      <c r="D66" t="s">
        <v>97</v>
      </c>
    </row>
    <row r="67" spans="1:4" x14ac:dyDescent="0.35">
      <c r="A67">
        <v>-0.25</v>
      </c>
      <c r="B67">
        <v>9.5</v>
      </c>
      <c r="C67">
        <v>9.25</v>
      </c>
      <c r="D67" t="s">
        <v>98</v>
      </c>
    </row>
    <row r="68" spans="1:4" x14ac:dyDescent="0.35">
      <c r="A68">
        <v>0</v>
      </c>
      <c r="B68">
        <v>9.25</v>
      </c>
      <c r="C68">
        <v>9.25</v>
      </c>
      <c r="D68" t="s">
        <v>99</v>
      </c>
    </row>
    <row r="69" spans="1:4" x14ac:dyDescent="0.35">
      <c r="A69">
        <v>0</v>
      </c>
      <c r="B69">
        <v>9.25</v>
      </c>
      <c r="C69">
        <v>9.25</v>
      </c>
      <c r="D69" t="s">
        <v>100</v>
      </c>
    </row>
    <row r="70" spans="1:4" x14ac:dyDescent="0.35">
      <c r="A70">
        <v>0.25</v>
      </c>
      <c r="B70">
        <v>9.25</v>
      </c>
      <c r="C70">
        <v>9.5</v>
      </c>
      <c r="D70" t="s">
        <v>101</v>
      </c>
    </row>
    <row r="71" spans="1:4" x14ac:dyDescent="0.35">
      <c r="A71">
        <v>0</v>
      </c>
      <c r="B71">
        <v>9.5</v>
      </c>
      <c r="C71">
        <v>9.5</v>
      </c>
      <c r="D71" t="s">
        <v>102</v>
      </c>
    </row>
    <row r="72" spans="1:4" x14ac:dyDescent="0.35">
      <c r="A72">
        <v>0</v>
      </c>
      <c r="B72">
        <v>9.5</v>
      </c>
      <c r="C72">
        <v>9.5</v>
      </c>
      <c r="D72" t="s">
        <v>103</v>
      </c>
    </row>
    <row r="73" spans="1:4" x14ac:dyDescent="0.35">
      <c r="A73">
        <v>0.25</v>
      </c>
      <c r="B73">
        <v>9.5</v>
      </c>
      <c r="C73">
        <v>9.75</v>
      </c>
      <c r="D73" t="s">
        <v>104</v>
      </c>
    </row>
    <row r="74" spans="1:4" x14ac:dyDescent="0.35">
      <c r="A74">
        <v>0</v>
      </c>
      <c r="B74">
        <v>9.75</v>
      </c>
      <c r="C74">
        <v>9.75</v>
      </c>
      <c r="D74" t="s">
        <v>105</v>
      </c>
    </row>
    <row r="75" spans="1:4" x14ac:dyDescent="0.35">
      <c r="A75">
        <v>0</v>
      </c>
      <c r="B75">
        <v>9.75</v>
      </c>
      <c r="C75">
        <v>9.75</v>
      </c>
      <c r="D75" t="s">
        <v>106</v>
      </c>
    </row>
    <row r="76" spans="1:4" x14ac:dyDescent="0.35">
      <c r="A76">
        <v>0</v>
      </c>
      <c r="B76">
        <v>9.75</v>
      </c>
      <c r="C76">
        <v>9.75</v>
      </c>
      <c r="D76" t="s">
        <v>107</v>
      </c>
    </row>
    <row r="77" spans="1:4" x14ac:dyDescent="0.35">
      <c r="A77">
        <v>0</v>
      </c>
      <c r="B77">
        <v>9.75</v>
      </c>
      <c r="C77">
        <v>9.75</v>
      </c>
      <c r="D77" t="s">
        <v>108</v>
      </c>
    </row>
    <row r="78" spans="1:4" x14ac:dyDescent="0.35">
      <c r="A78">
        <v>0.25</v>
      </c>
      <c r="B78">
        <v>9.75</v>
      </c>
      <c r="C78">
        <v>10</v>
      </c>
      <c r="D78" t="s">
        <v>109</v>
      </c>
    </row>
    <row r="79" spans="1:4" x14ac:dyDescent="0.35">
      <c r="A79">
        <v>0</v>
      </c>
      <c r="B79">
        <v>10</v>
      </c>
      <c r="C79">
        <v>10</v>
      </c>
      <c r="D79" t="s">
        <v>110</v>
      </c>
    </row>
    <row r="80" spans="1:4" x14ac:dyDescent="0.35">
      <c r="A80">
        <v>0</v>
      </c>
      <c r="B80">
        <v>10</v>
      </c>
      <c r="C80">
        <v>10</v>
      </c>
      <c r="D80" t="s">
        <v>111</v>
      </c>
    </row>
    <row r="81" spans="1:4" x14ac:dyDescent="0.35">
      <c r="A81">
        <v>0</v>
      </c>
      <c r="B81">
        <v>10</v>
      </c>
      <c r="C81">
        <v>10</v>
      </c>
      <c r="D81" t="s">
        <v>112</v>
      </c>
    </row>
    <row r="82" spans="1:4" x14ac:dyDescent="0.35">
      <c r="A82">
        <v>0</v>
      </c>
      <c r="B82">
        <v>10</v>
      </c>
      <c r="C82">
        <v>10</v>
      </c>
      <c r="D82" t="s">
        <v>113</v>
      </c>
    </row>
    <row r="83" spans="1:4" x14ac:dyDescent="0.35">
      <c r="A83">
        <v>-0.5</v>
      </c>
      <c r="B83">
        <v>10</v>
      </c>
      <c r="C83">
        <v>9.5</v>
      </c>
      <c r="D83" t="s">
        <v>114</v>
      </c>
    </row>
    <row r="84" spans="1:4" x14ac:dyDescent="0.35">
      <c r="A84">
        <v>0</v>
      </c>
      <c r="B84">
        <v>9</v>
      </c>
      <c r="C84">
        <v>9</v>
      </c>
      <c r="D84" t="s">
        <v>115</v>
      </c>
    </row>
    <row r="85" spans="1:4" x14ac:dyDescent="0.35">
      <c r="A85">
        <v>-0.5</v>
      </c>
      <c r="B85">
        <v>8.5</v>
      </c>
      <c r="C85">
        <v>8</v>
      </c>
      <c r="D85" t="s">
        <v>116</v>
      </c>
    </row>
    <row r="86" spans="1:4" x14ac:dyDescent="0.35">
      <c r="A86">
        <v>0</v>
      </c>
      <c r="B86">
        <v>7</v>
      </c>
      <c r="C86">
        <v>7</v>
      </c>
      <c r="D86" t="s">
        <v>117</v>
      </c>
    </row>
    <row r="87" spans="1:4" x14ac:dyDescent="0.35">
      <c r="A87">
        <v>0</v>
      </c>
      <c r="B87">
        <v>6</v>
      </c>
      <c r="C87">
        <v>6</v>
      </c>
      <c r="D87" t="s">
        <v>118</v>
      </c>
    </row>
    <row r="88" spans="1:4" x14ac:dyDescent="0.35">
      <c r="A88">
        <v>0</v>
      </c>
      <c r="B88">
        <v>5</v>
      </c>
      <c r="C88">
        <v>5</v>
      </c>
      <c r="D88" t="s">
        <v>119</v>
      </c>
    </row>
    <row r="89" spans="1:4" x14ac:dyDescent="0.35">
      <c r="A89">
        <v>0</v>
      </c>
      <c r="B89">
        <v>4.5</v>
      </c>
      <c r="C89">
        <v>4.5</v>
      </c>
      <c r="D89" t="s">
        <v>120</v>
      </c>
    </row>
    <row r="90" spans="1:4" x14ac:dyDescent="0.35">
      <c r="A90">
        <v>0</v>
      </c>
      <c r="B90">
        <v>4.5</v>
      </c>
      <c r="C90">
        <v>4.5</v>
      </c>
      <c r="D90" t="s">
        <v>121</v>
      </c>
    </row>
    <row r="91" spans="1:4" x14ac:dyDescent="0.35">
      <c r="A91">
        <v>0</v>
      </c>
      <c r="B91">
        <v>4.5</v>
      </c>
      <c r="C91">
        <v>4.5</v>
      </c>
      <c r="D91" t="s">
        <v>122</v>
      </c>
    </row>
    <row r="92" spans="1:4" x14ac:dyDescent="0.35">
      <c r="A92">
        <v>-0.5</v>
      </c>
      <c r="B92">
        <v>4.5</v>
      </c>
      <c r="C92">
        <v>4</v>
      </c>
      <c r="D92" t="s">
        <v>123</v>
      </c>
    </row>
    <row r="93" spans="1:4" x14ac:dyDescent="0.35">
      <c r="A93">
        <v>0</v>
      </c>
      <c r="B93">
        <v>4</v>
      </c>
      <c r="C93">
        <v>4</v>
      </c>
      <c r="D93" t="s">
        <v>124</v>
      </c>
    </row>
    <row r="94" spans="1:4" x14ac:dyDescent="0.35">
      <c r="A94">
        <v>-0.5</v>
      </c>
      <c r="B94">
        <v>4</v>
      </c>
      <c r="C94">
        <v>3.5</v>
      </c>
      <c r="D94" t="s">
        <v>125</v>
      </c>
    </row>
    <row r="95" spans="1:4" x14ac:dyDescent="0.35">
      <c r="A95">
        <v>0</v>
      </c>
      <c r="B95">
        <v>3.5</v>
      </c>
      <c r="C95">
        <v>3.5</v>
      </c>
      <c r="D95" t="s">
        <v>126</v>
      </c>
    </row>
    <row r="96" spans="1:4" x14ac:dyDescent="0.35">
      <c r="A96">
        <v>0</v>
      </c>
      <c r="B96">
        <v>3.5</v>
      </c>
      <c r="C96">
        <v>3.5</v>
      </c>
      <c r="D96" t="s">
        <v>127</v>
      </c>
    </row>
    <row r="97" spans="1:4" x14ac:dyDescent="0.35">
      <c r="A97">
        <v>0</v>
      </c>
      <c r="B97">
        <v>3.5</v>
      </c>
      <c r="C97">
        <v>3.5</v>
      </c>
      <c r="D97" t="s">
        <v>128</v>
      </c>
    </row>
    <row r="98" spans="1:4" x14ac:dyDescent="0.35">
      <c r="A98">
        <v>0</v>
      </c>
      <c r="B98">
        <v>3.5</v>
      </c>
      <c r="C98">
        <v>3.5</v>
      </c>
      <c r="D98" t="s">
        <v>129</v>
      </c>
    </row>
    <row r="99" spans="1:4" x14ac:dyDescent="0.35">
      <c r="A99">
        <v>-0.5</v>
      </c>
      <c r="B99">
        <v>3.5</v>
      </c>
      <c r="C99">
        <v>3</v>
      </c>
      <c r="D99" t="s">
        <v>130</v>
      </c>
    </row>
    <row r="100" spans="1:4" x14ac:dyDescent="0.35">
      <c r="A100">
        <v>0</v>
      </c>
      <c r="B100">
        <v>3</v>
      </c>
      <c r="C100">
        <v>3</v>
      </c>
      <c r="D100" t="s">
        <v>131</v>
      </c>
    </row>
    <row r="101" spans="1:4" x14ac:dyDescent="0.35">
      <c r="A101">
        <v>0</v>
      </c>
      <c r="B101">
        <v>3</v>
      </c>
      <c r="C101">
        <v>3</v>
      </c>
      <c r="D101" t="s">
        <v>132</v>
      </c>
    </row>
    <row r="102" spans="1:4" x14ac:dyDescent="0.35">
      <c r="A102">
        <v>0</v>
      </c>
      <c r="B102">
        <v>3</v>
      </c>
      <c r="C102">
        <v>3</v>
      </c>
      <c r="D102" t="s">
        <v>133</v>
      </c>
    </row>
    <row r="103" spans="1:4" x14ac:dyDescent="0.35">
      <c r="A103">
        <v>0</v>
      </c>
      <c r="B103">
        <v>3</v>
      </c>
      <c r="C103">
        <v>3</v>
      </c>
      <c r="D103" t="s">
        <v>134</v>
      </c>
    </row>
    <row r="104" spans="1:4" x14ac:dyDescent="0.35">
      <c r="A104">
        <v>0</v>
      </c>
      <c r="B104">
        <v>3</v>
      </c>
      <c r="C104">
        <v>3</v>
      </c>
      <c r="D104" t="s">
        <v>135</v>
      </c>
    </row>
    <row r="105" spans="1:4" x14ac:dyDescent="0.35">
      <c r="A105">
        <v>0</v>
      </c>
      <c r="B105">
        <v>3</v>
      </c>
      <c r="C105">
        <v>3</v>
      </c>
      <c r="D105" t="s">
        <v>136</v>
      </c>
    </row>
    <row r="106" spans="1:4" x14ac:dyDescent="0.35">
      <c r="A106">
        <v>0</v>
      </c>
      <c r="B106">
        <v>3</v>
      </c>
      <c r="C106">
        <v>3</v>
      </c>
      <c r="D106" t="s">
        <v>137</v>
      </c>
    </row>
    <row r="107" spans="1:4" x14ac:dyDescent="0.35">
      <c r="A107">
        <v>0</v>
      </c>
      <c r="B107">
        <v>3</v>
      </c>
      <c r="C107">
        <v>3</v>
      </c>
      <c r="D107" t="s">
        <v>138</v>
      </c>
    </row>
    <row r="108" spans="1:4" x14ac:dyDescent="0.35">
      <c r="A108">
        <v>0</v>
      </c>
      <c r="B108">
        <v>3</v>
      </c>
      <c r="C108">
        <v>3</v>
      </c>
      <c r="D108" t="s">
        <v>139</v>
      </c>
    </row>
    <row r="109" spans="1:4" x14ac:dyDescent="0.35">
      <c r="A109">
        <v>0.25</v>
      </c>
      <c r="B109">
        <v>3</v>
      </c>
      <c r="C109">
        <v>3.25</v>
      </c>
      <c r="D109" t="s">
        <v>140</v>
      </c>
    </row>
    <row r="110" spans="1:4" x14ac:dyDescent="0.35">
      <c r="A110">
        <v>0</v>
      </c>
      <c r="B110">
        <v>3.5</v>
      </c>
      <c r="C110">
        <v>3.5</v>
      </c>
      <c r="D110" t="s">
        <v>141</v>
      </c>
    </row>
    <row r="111" spans="1:4" x14ac:dyDescent="0.35">
      <c r="A111">
        <v>0</v>
      </c>
      <c r="B111">
        <v>3.75</v>
      </c>
      <c r="C111">
        <v>3.75</v>
      </c>
      <c r="D111" t="s">
        <v>142</v>
      </c>
    </row>
    <row r="112" spans="1:4" x14ac:dyDescent="0.35">
      <c r="A112">
        <v>0</v>
      </c>
      <c r="B112">
        <v>4</v>
      </c>
      <c r="C112">
        <v>4</v>
      </c>
      <c r="D112" t="s">
        <v>143</v>
      </c>
    </row>
    <row r="113" spans="1:4" x14ac:dyDescent="0.35">
      <c r="A113">
        <v>0</v>
      </c>
      <c r="B113">
        <v>4.25</v>
      </c>
      <c r="C113">
        <v>4.25</v>
      </c>
      <c r="D113" t="s">
        <v>144</v>
      </c>
    </row>
    <row r="114" spans="1:4" x14ac:dyDescent="0.35">
      <c r="A114">
        <v>0</v>
      </c>
      <c r="B114">
        <v>4.5</v>
      </c>
      <c r="C114">
        <v>4.5</v>
      </c>
      <c r="D114" t="s">
        <v>145</v>
      </c>
    </row>
    <row r="115" spans="1:4" x14ac:dyDescent="0.35">
      <c r="A115">
        <v>-0.25</v>
      </c>
      <c r="B115">
        <v>4.75</v>
      </c>
      <c r="C115">
        <v>4.5</v>
      </c>
      <c r="D115" t="s">
        <v>146</v>
      </c>
    </row>
    <row r="116" spans="1:4" x14ac:dyDescent="0.35">
      <c r="A116">
        <v>0</v>
      </c>
      <c r="B116">
        <v>4.5</v>
      </c>
      <c r="C116">
        <v>4.5</v>
      </c>
      <c r="D116" t="s">
        <v>147</v>
      </c>
    </row>
    <row r="117" spans="1:4" x14ac:dyDescent="0.35">
      <c r="A117">
        <v>0</v>
      </c>
      <c r="B117">
        <v>4.5</v>
      </c>
      <c r="C117">
        <v>4.5</v>
      </c>
      <c r="D117" t="s">
        <v>148</v>
      </c>
    </row>
    <row r="118" spans="1:4" x14ac:dyDescent="0.35">
      <c r="A118">
        <v>0</v>
      </c>
      <c r="B118">
        <v>4.75</v>
      </c>
      <c r="C118">
        <v>4.75</v>
      </c>
      <c r="D118" t="s">
        <v>149</v>
      </c>
    </row>
    <row r="119" spans="1:4" x14ac:dyDescent="0.35">
      <c r="A119">
        <v>0</v>
      </c>
      <c r="B119">
        <v>4.75</v>
      </c>
      <c r="C119">
        <v>4.75</v>
      </c>
      <c r="D119" t="s">
        <v>150</v>
      </c>
    </row>
    <row r="120" spans="1:4" x14ac:dyDescent="0.35">
      <c r="A120">
        <v>0.25</v>
      </c>
      <c r="B120">
        <v>4.75</v>
      </c>
      <c r="C120">
        <v>5</v>
      </c>
      <c r="D120" t="s">
        <v>151</v>
      </c>
    </row>
    <row r="121" spans="1:4" x14ac:dyDescent="0.35">
      <c r="A121">
        <v>0</v>
      </c>
      <c r="B121">
        <v>5.25</v>
      </c>
      <c r="C121">
        <v>5.25</v>
      </c>
      <c r="D121" t="s">
        <v>152</v>
      </c>
    </row>
    <row r="122" spans="1:4" x14ac:dyDescent="0.35">
      <c r="A122">
        <v>0</v>
      </c>
      <c r="B122">
        <v>5.25</v>
      </c>
      <c r="C122">
        <v>5.25</v>
      </c>
      <c r="D122" t="s">
        <v>153</v>
      </c>
    </row>
    <row r="123" spans="1:4" x14ac:dyDescent="0.35">
      <c r="A123">
        <v>0</v>
      </c>
      <c r="B123">
        <v>5.25</v>
      </c>
      <c r="C123">
        <v>5.25</v>
      </c>
      <c r="D123" t="s">
        <v>154</v>
      </c>
    </row>
    <row r="124" spans="1:4" x14ac:dyDescent="0.35">
      <c r="A124">
        <v>0</v>
      </c>
      <c r="B124">
        <v>5.25</v>
      </c>
      <c r="C124">
        <v>5.25</v>
      </c>
      <c r="D124" t="s">
        <v>155</v>
      </c>
    </row>
    <row r="125" spans="1:4" x14ac:dyDescent="0.35">
      <c r="A125">
        <v>0</v>
      </c>
      <c r="B125">
        <v>5.25</v>
      </c>
      <c r="C125">
        <v>5.25</v>
      </c>
      <c r="D125" t="s">
        <v>156</v>
      </c>
    </row>
    <row r="126" spans="1:4" x14ac:dyDescent="0.35">
      <c r="A126">
        <v>-0.25</v>
      </c>
      <c r="B126">
        <v>5.25</v>
      </c>
      <c r="C126">
        <v>5</v>
      </c>
      <c r="D126" t="s">
        <v>157</v>
      </c>
    </row>
    <row r="127" spans="1:4" x14ac:dyDescent="0.35">
      <c r="A127">
        <v>0</v>
      </c>
      <c r="B127">
        <v>4.75</v>
      </c>
      <c r="C127">
        <v>4.75</v>
      </c>
      <c r="D127" t="s">
        <v>158</v>
      </c>
    </row>
    <row r="128" spans="1:4" x14ac:dyDescent="0.35">
      <c r="A128">
        <v>0</v>
      </c>
      <c r="B128">
        <v>4.75</v>
      </c>
      <c r="C128">
        <v>4.75</v>
      </c>
      <c r="D128" t="s">
        <v>159</v>
      </c>
    </row>
    <row r="129" spans="1:4" x14ac:dyDescent="0.35">
      <c r="A129">
        <v>0</v>
      </c>
      <c r="B129">
        <v>4.75</v>
      </c>
      <c r="C129">
        <v>4.75</v>
      </c>
      <c r="D129" t="s">
        <v>160</v>
      </c>
    </row>
    <row r="130" spans="1:4" x14ac:dyDescent="0.35">
      <c r="A130">
        <v>-0.25</v>
      </c>
      <c r="B130">
        <v>4.75</v>
      </c>
      <c r="C130">
        <v>4.5</v>
      </c>
      <c r="D130" t="s">
        <v>161</v>
      </c>
    </row>
    <row r="131" spans="1:4" x14ac:dyDescent="0.35">
      <c r="A131">
        <v>-0.25</v>
      </c>
      <c r="B131">
        <v>4.5</v>
      </c>
      <c r="C131">
        <v>4.25</v>
      </c>
      <c r="D131" t="s">
        <v>162</v>
      </c>
    </row>
    <row r="132" spans="1:4" x14ac:dyDescent="0.35">
      <c r="A132">
        <v>0</v>
      </c>
      <c r="B132">
        <v>4</v>
      </c>
      <c r="C132">
        <v>4</v>
      </c>
      <c r="D132" t="s">
        <v>163</v>
      </c>
    </row>
    <row r="133" spans="1:4" x14ac:dyDescent="0.35">
      <c r="A133">
        <v>0</v>
      </c>
      <c r="B133">
        <v>3.75</v>
      </c>
      <c r="C133">
        <v>3.75</v>
      </c>
      <c r="D133" t="s">
        <v>164</v>
      </c>
    </row>
    <row r="134" spans="1:4" x14ac:dyDescent="0.35">
      <c r="A134">
        <v>-0.25</v>
      </c>
      <c r="B134">
        <v>3.5</v>
      </c>
      <c r="C134">
        <v>3.25</v>
      </c>
      <c r="D134" t="s">
        <v>165</v>
      </c>
    </row>
    <row r="135" spans="1:4" x14ac:dyDescent="0.35">
      <c r="A135">
        <v>0</v>
      </c>
      <c r="B135">
        <v>3.25</v>
      </c>
      <c r="C135">
        <v>3.25</v>
      </c>
      <c r="D135" t="s">
        <v>166</v>
      </c>
    </row>
    <row r="136" spans="1:4" x14ac:dyDescent="0.35">
      <c r="A136">
        <v>0</v>
      </c>
      <c r="B136">
        <v>3.25</v>
      </c>
      <c r="C136">
        <v>3.25</v>
      </c>
      <c r="D136" t="s">
        <v>167</v>
      </c>
    </row>
    <row r="137" spans="1:4" x14ac:dyDescent="0.35">
      <c r="A137">
        <v>0</v>
      </c>
      <c r="B137">
        <v>3.25</v>
      </c>
      <c r="C137">
        <v>3.25</v>
      </c>
      <c r="D137" t="s">
        <v>168</v>
      </c>
    </row>
    <row r="138" spans="1:4" x14ac:dyDescent="0.35">
      <c r="A138">
        <v>0</v>
      </c>
      <c r="B138">
        <v>3.25</v>
      </c>
      <c r="C138">
        <v>3.25</v>
      </c>
      <c r="D138" t="s">
        <v>169</v>
      </c>
    </row>
    <row r="139" spans="1:4" x14ac:dyDescent="0.35">
      <c r="A139">
        <v>0</v>
      </c>
      <c r="B139">
        <v>3.25</v>
      </c>
      <c r="C139">
        <v>3.25</v>
      </c>
      <c r="D139" t="s">
        <v>170</v>
      </c>
    </row>
    <row r="140" spans="1:4" x14ac:dyDescent="0.35">
      <c r="A140">
        <v>0</v>
      </c>
      <c r="B140">
        <v>3.25</v>
      </c>
      <c r="C140">
        <v>3.25</v>
      </c>
      <c r="D140" t="s">
        <v>171</v>
      </c>
    </row>
    <row r="141" spans="1:4" x14ac:dyDescent="0.35">
      <c r="A141">
        <v>0</v>
      </c>
      <c r="B141">
        <v>3.25</v>
      </c>
      <c r="C141">
        <v>3.25</v>
      </c>
      <c r="D141" t="s">
        <v>172</v>
      </c>
    </row>
    <row r="142" spans="1:4" x14ac:dyDescent="0.35">
      <c r="A142">
        <v>0</v>
      </c>
      <c r="B142">
        <v>3.25</v>
      </c>
      <c r="C142">
        <v>3.25</v>
      </c>
      <c r="D142" t="s">
        <v>173</v>
      </c>
    </row>
    <row r="143" spans="1:4" x14ac:dyDescent="0.35">
      <c r="A143">
        <v>0</v>
      </c>
      <c r="B143">
        <v>3.25</v>
      </c>
      <c r="C143">
        <v>3.25</v>
      </c>
      <c r="D143" t="s">
        <v>174</v>
      </c>
    </row>
    <row r="144" spans="1:4" x14ac:dyDescent="0.35">
      <c r="A144">
        <v>0</v>
      </c>
      <c r="B144">
        <v>3.25</v>
      </c>
      <c r="C144">
        <v>3.25</v>
      </c>
      <c r="D144" t="s">
        <v>175</v>
      </c>
    </row>
    <row r="145" spans="1:4" x14ac:dyDescent="0.35">
      <c r="A145">
        <v>0</v>
      </c>
      <c r="B145">
        <v>3.25</v>
      </c>
      <c r="C145">
        <v>3.25</v>
      </c>
      <c r="D145" t="s">
        <v>176</v>
      </c>
    </row>
    <row r="146" spans="1:4" x14ac:dyDescent="0.35">
      <c r="A146">
        <v>0</v>
      </c>
      <c r="B146">
        <v>3.25</v>
      </c>
      <c r="C146">
        <v>3.25</v>
      </c>
      <c r="D146" t="s">
        <v>177</v>
      </c>
    </row>
    <row r="147" spans="1:4" x14ac:dyDescent="0.35">
      <c r="A147">
        <v>0.25</v>
      </c>
      <c r="B147">
        <v>3.25</v>
      </c>
      <c r="C147">
        <v>3.5</v>
      </c>
      <c r="D147" t="s">
        <v>178</v>
      </c>
    </row>
    <row r="148" spans="1:4" x14ac:dyDescent="0.35">
      <c r="A148">
        <v>0</v>
      </c>
      <c r="B148">
        <v>3.75</v>
      </c>
      <c r="C148">
        <v>3.75</v>
      </c>
      <c r="D148" t="s">
        <v>179</v>
      </c>
    </row>
    <row r="149" spans="1:4" x14ac:dyDescent="0.35">
      <c r="A149">
        <v>0</v>
      </c>
      <c r="B149">
        <v>4</v>
      </c>
      <c r="C149">
        <v>4</v>
      </c>
      <c r="D149" t="s">
        <v>180</v>
      </c>
    </row>
    <row r="150" spans="1:4" x14ac:dyDescent="0.35">
      <c r="A150">
        <v>0</v>
      </c>
      <c r="B150">
        <v>4.25</v>
      </c>
      <c r="C150">
        <v>4.25</v>
      </c>
      <c r="D150" t="s">
        <v>181</v>
      </c>
    </row>
    <row r="151" spans="1:4" x14ac:dyDescent="0.35">
      <c r="A151">
        <v>0</v>
      </c>
      <c r="B151">
        <v>4.5</v>
      </c>
      <c r="C151">
        <v>4.5</v>
      </c>
      <c r="D151" t="s">
        <v>182</v>
      </c>
    </row>
    <row r="152" spans="1:4" x14ac:dyDescent="0.35">
      <c r="A152">
        <v>0</v>
      </c>
      <c r="B152">
        <v>4.5</v>
      </c>
      <c r="C152">
        <v>4.5</v>
      </c>
      <c r="D152" t="s">
        <v>183</v>
      </c>
    </row>
    <row r="153" spans="1:4" x14ac:dyDescent="0.35">
      <c r="A153">
        <v>0</v>
      </c>
      <c r="B153">
        <v>4.5</v>
      </c>
      <c r="C153">
        <v>4.5</v>
      </c>
      <c r="D153" t="s">
        <v>184</v>
      </c>
    </row>
    <row r="154" spans="1:4" x14ac:dyDescent="0.35">
      <c r="A154">
        <v>0</v>
      </c>
      <c r="B154">
        <v>4.5</v>
      </c>
      <c r="C154">
        <v>4.5</v>
      </c>
      <c r="D154" t="s">
        <v>185</v>
      </c>
    </row>
    <row r="155" spans="1:4" x14ac:dyDescent="0.35">
      <c r="A155">
        <v>0</v>
      </c>
      <c r="B155">
        <v>4.5</v>
      </c>
      <c r="C155">
        <v>4.5</v>
      </c>
      <c r="D155" t="s">
        <v>186</v>
      </c>
    </row>
    <row r="156" spans="1:4" x14ac:dyDescent="0.35">
      <c r="A156">
        <v>0</v>
      </c>
      <c r="B156">
        <v>4.5</v>
      </c>
      <c r="C156">
        <v>4.5</v>
      </c>
      <c r="D156" t="s">
        <v>187</v>
      </c>
    </row>
    <row r="157" spans="1:4" x14ac:dyDescent="0.35">
      <c r="A157">
        <v>0</v>
      </c>
      <c r="B157">
        <v>4.5</v>
      </c>
      <c r="C157">
        <v>4.5</v>
      </c>
      <c r="D157" t="s">
        <v>188</v>
      </c>
    </row>
    <row r="158" spans="1:4" x14ac:dyDescent="0.35">
      <c r="A158">
        <v>0</v>
      </c>
      <c r="B158">
        <v>4.5</v>
      </c>
      <c r="C158">
        <v>4.5</v>
      </c>
      <c r="D158" t="s">
        <v>189</v>
      </c>
    </row>
    <row r="159" spans="1:4" x14ac:dyDescent="0.35">
      <c r="A159">
        <v>0</v>
      </c>
      <c r="B159">
        <v>4.5</v>
      </c>
      <c r="C159">
        <v>4.5</v>
      </c>
      <c r="D159" t="s">
        <v>190</v>
      </c>
    </row>
    <row r="160" spans="1:4" x14ac:dyDescent="0.35">
      <c r="A160">
        <v>0</v>
      </c>
      <c r="B160">
        <v>4.5</v>
      </c>
      <c r="C160">
        <v>4.5</v>
      </c>
      <c r="D160" t="s">
        <v>191</v>
      </c>
    </row>
    <row r="161" spans="1:4" x14ac:dyDescent="0.35">
      <c r="A161">
        <v>0</v>
      </c>
      <c r="B161">
        <v>4.5</v>
      </c>
      <c r="C161">
        <v>4.5</v>
      </c>
      <c r="D161" t="s">
        <v>192</v>
      </c>
    </row>
    <row r="162" spans="1:4" x14ac:dyDescent="0.35">
      <c r="A162">
        <v>0</v>
      </c>
      <c r="B162">
        <v>4.5</v>
      </c>
      <c r="C162">
        <v>4.5</v>
      </c>
      <c r="D162" t="s">
        <v>193</v>
      </c>
    </row>
    <row r="163" spans="1:4" x14ac:dyDescent="0.35">
      <c r="A163">
        <v>0</v>
      </c>
      <c r="B163">
        <v>4.5</v>
      </c>
      <c r="C163">
        <v>4.5</v>
      </c>
      <c r="D163" t="s">
        <v>194</v>
      </c>
    </row>
    <row r="164" spans="1:4" x14ac:dyDescent="0.35">
      <c r="A164">
        <v>0.25</v>
      </c>
      <c r="B164">
        <v>4.5</v>
      </c>
      <c r="C164">
        <v>4.75</v>
      </c>
      <c r="D164" t="s">
        <v>195</v>
      </c>
    </row>
    <row r="165" spans="1:4" x14ac:dyDescent="0.35">
      <c r="A165">
        <v>0.25</v>
      </c>
      <c r="B165">
        <v>5</v>
      </c>
      <c r="C165">
        <v>5.25</v>
      </c>
      <c r="D165" t="s">
        <v>196</v>
      </c>
    </row>
    <row r="166" spans="1:4" x14ac:dyDescent="0.35">
      <c r="A166">
        <v>-0.25</v>
      </c>
      <c r="B166">
        <v>5.75</v>
      </c>
      <c r="C166">
        <v>5.5</v>
      </c>
      <c r="D166" t="s">
        <v>197</v>
      </c>
    </row>
    <row r="167" spans="1:4" x14ac:dyDescent="0.35">
      <c r="A167">
        <v>0</v>
      </c>
      <c r="B167">
        <v>5.75</v>
      </c>
      <c r="C167">
        <v>5.75</v>
      </c>
      <c r="D167" t="s">
        <v>198</v>
      </c>
    </row>
    <row r="168" spans="1:4" x14ac:dyDescent="0.35">
      <c r="A168">
        <v>0</v>
      </c>
      <c r="B168">
        <v>6</v>
      </c>
      <c r="C168">
        <v>6</v>
      </c>
      <c r="D168" t="s">
        <v>199</v>
      </c>
    </row>
    <row r="169" spans="1:4" x14ac:dyDescent="0.35">
      <c r="A169">
        <v>0</v>
      </c>
      <c r="B169">
        <v>6.25</v>
      </c>
      <c r="C169">
        <v>6.25</v>
      </c>
      <c r="D169" t="s">
        <v>200</v>
      </c>
    </row>
    <row r="170" spans="1:4" x14ac:dyDescent="0.35">
      <c r="A170">
        <v>0</v>
      </c>
      <c r="B170">
        <v>6.5</v>
      </c>
      <c r="C170">
        <v>6.5</v>
      </c>
      <c r="D170" t="s">
        <v>201</v>
      </c>
    </row>
    <row r="171" spans="1:4" x14ac:dyDescent="0.35">
      <c r="A171">
        <v>0.25</v>
      </c>
      <c r="B171">
        <v>6.75</v>
      </c>
      <c r="C171">
        <v>7</v>
      </c>
      <c r="D171" t="s">
        <v>202</v>
      </c>
    </row>
    <row r="172" spans="1:4" x14ac:dyDescent="0.35">
      <c r="A172">
        <v>0</v>
      </c>
      <c r="B172">
        <v>7.25</v>
      </c>
      <c r="C172">
        <v>7.25</v>
      </c>
      <c r="D172" t="s">
        <v>203</v>
      </c>
    </row>
    <row r="173" spans="1:4" x14ac:dyDescent="0.35">
      <c r="A173">
        <v>0</v>
      </c>
      <c r="B173">
        <v>7.5</v>
      </c>
      <c r="C173">
        <v>7.5</v>
      </c>
      <c r="D173" t="s">
        <v>204</v>
      </c>
    </row>
    <row r="174" spans="1:4" x14ac:dyDescent="0.35">
      <c r="A174">
        <v>0</v>
      </c>
      <c r="B174">
        <v>7.75</v>
      </c>
      <c r="C174">
        <v>7.75</v>
      </c>
      <c r="D174" t="s">
        <v>205</v>
      </c>
    </row>
    <row r="175" spans="1:4" x14ac:dyDescent="0.35">
      <c r="A175">
        <v>0</v>
      </c>
      <c r="B175">
        <v>7.75</v>
      </c>
      <c r="C175">
        <v>7.75</v>
      </c>
      <c r="D175" t="s">
        <v>206</v>
      </c>
    </row>
    <row r="176" spans="1:4" x14ac:dyDescent="0.35">
      <c r="A176">
        <v>0</v>
      </c>
      <c r="B176">
        <v>7.75</v>
      </c>
      <c r="C176">
        <v>7.75</v>
      </c>
      <c r="D176" t="s">
        <v>207</v>
      </c>
    </row>
    <row r="177" spans="1:4" x14ac:dyDescent="0.35">
      <c r="A177">
        <v>0</v>
      </c>
      <c r="B177">
        <v>7.75</v>
      </c>
      <c r="C177">
        <v>7.75</v>
      </c>
      <c r="D177" t="s">
        <v>208</v>
      </c>
    </row>
    <row r="178" spans="1:4" x14ac:dyDescent="0.35">
      <c r="A178">
        <v>0</v>
      </c>
      <c r="B178">
        <v>7.75</v>
      </c>
      <c r="C178">
        <v>7.75</v>
      </c>
      <c r="D178" t="s">
        <v>209</v>
      </c>
    </row>
    <row r="179" spans="1:4" x14ac:dyDescent="0.35">
      <c r="A179">
        <v>-0.25</v>
      </c>
      <c r="B179">
        <v>7.75</v>
      </c>
      <c r="C179">
        <v>7.5</v>
      </c>
      <c r="D179" t="s">
        <v>210</v>
      </c>
    </row>
    <row r="180" spans="1:4" x14ac:dyDescent="0.35">
      <c r="A180">
        <v>0.25</v>
      </c>
      <c r="B180">
        <v>7.25</v>
      </c>
      <c r="C180">
        <v>7.5</v>
      </c>
      <c r="D180" t="s">
        <v>211</v>
      </c>
    </row>
    <row r="181" spans="1:4" x14ac:dyDescent="0.35">
      <c r="A181">
        <v>-0.25</v>
      </c>
      <c r="B181">
        <v>7.5</v>
      </c>
      <c r="C181">
        <v>7.25</v>
      </c>
      <c r="D181" t="s">
        <v>212</v>
      </c>
    </row>
    <row r="182" spans="1:4" x14ac:dyDescent="0.35">
      <c r="A182">
        <v>0</v>
      </c>
      <c r="B182">
        <v>7</v>
      </c>
      <c r="C182">
        <v>7</v>
      </c>
      <c r="D182" t="s">
        <v>213</v>
      </c>
    </row>
    <row r="183" spans="1:4" x14ac:dyDescent="0.35">
      <c r="A183">
        <v>-0.25</v>
      </c>
      <c r="B183">
        <v>6.75</v>
      </c>
      <c r="C183">
        <v>6.5</v>
      </c>
      <c r="D183" t="s">
        <v>214</v>
      </c>
    </row>
    <row r="184" spans="1:4" x14ac:dyDescent="0.35">
      <c r="A184">
        <v>0</v>
      </c>
      <c r="B184">
        <v>6.25</v>
      </c>
      <c r="C184">
        <v>6.25</v>
      </c>
      <c r="D184" t="s">
        <v>215</v>
      </c>
    </row>
    <row r="185" spans="1:4" x14ac:dyDescent="0.35">
      <c r="A185">
        <v>0</v>
      </c>
      <c r="B185">
        <v>5.75</v>
      </c>
      <c r="C185">
        <v>5.75</v>
      </c>
      <c r="D185" t="s">
        <v>216</v>
      </c>
    </row>
    <row r="186" spans="1:4" x14ac:dyDescent="0.35">
      <c r="A186">
        <v>0</v>
      </c>
      <c r="B186">
        <v>5.5</v>
      </c>
      <c r="C186">
        <v>5.5</v>
      </c>
      <c r="D186" t="s">
        <v>217</v>
      </c>
    </row>
    <row r="187" spans="1:4" x14ac:dyDescent="0.35">
      <c r="A187">
        <v>0</v>
      </c>
      <c r="B187">
        <v>5.25</v>
      </c>
      <c r="C187">
        <v>5.25</v>
      </c>
      <c r="D187" t="s">
        <v>218</v>
      </c>
    </row>
    <row r="188" spans="1:4" x14ac:dyDescent="0.35">
      <c r="A188">
        <v>0</v>
      </c>
      <c r="B188">
        <v>5.25</v>
      </c>
      <c r="C188">
        <v>5.25</v>
      </c>
      <c r="D188" t="s">
        <v>219</v>
      </c>
    </row>
    <row r="189" spans="1:4" x14ac:dyDescent="0.35">
      <c r="A189">
        <v>-0.25</v>
      </c>
      <c r="B189">
        <v>5.25</v>
      </c>
      <c r="C189">
        <v>5</v>
      </c>
      <c r="D189" t="s">
        <v>220</v>
      </c>
    </row>
    <row r="190" spans="1:4" x14ac:dyDescent="0.35">
      <c r="A190">
        <v>-0.25</v>
      </c>
      <c r="B190">
        <v>5</v>
      </c>
      <c r="C190">
        <v>4.75</v>
      </c>
      <c r="D190" t="s">
        <v>221</v>
      </c>
    </row>
    <row r="191" spans="1:4" x14ac:dyDescent="0.35">
      <c r="A191">
        <v>0</v>
      </c>
      <c r="B191">
        <v>4.75</v>
      </c>
      <c r="C191">
        <v>4.75</v>
      </c>
      <c r="D191" t="s">
        <v>222</v>
      </c>
    </row>
    <row r="192" spans="1:4" x14ac:dyDescent="0.35">
      <c r="A192">
        <v>0</v>
      </c>
      <c r="B192">
        <v>4.5</v>
      </c>
      <c r="C192">
        <v>4.5</v>
      </c>
      <c r="D192" t="s">
        <v>223</v>
      </c>
    </row>
    <row r="193" spans="1:4" x14ac:dyDescent="0.35">
      <c r="A193">
        <v>0</v>
      </c>
      <c r="B193">
        <v>4.5</v>
      </c>
      <c r="C193">
        <v>4.5</v>
      </c>
      <c r="D193" t="s">
        <v>224</v>
      </c>
    </row>
    <row r="194" spans="1:4" x14ac:dyDescent="0.35">
      <c r="A194">
        <v>0</v>
      </c>
      <c r="B194">
        <v>4.5</v>
      </c>
      <c r="C194">
        <v>4.5</v>
      </c>
      <c r="D194" t="s">
        <v>225</v>
      </c>
    </row>
    <row r="195" spans="1:4" x14ac:dyDescent="0.35">
      <c r="A195">
        <v>0</v>
      </c>
      <c r="B195">
        <v>4.25</v>
      </c>
      <c r="C195">
        <v>4.25</v>
      </c>
      <c r="D195" t="s">
        <v>226</v>
      </c>
    </row>
    <row r="196" spans="1:4" x14ac:dyDescent="0.35">
      <c r="A196">
        <v>0</v>
      </c>
      <c r="B196">
        <v>4.25</v>
      </c>
      <c r="C196">
        <v>4.25</v>
      </c>
      <c r="D196" t="s">
        <v>227</v>
      </c>
    </row>
    <row r="197" spans="1:4" x14ac:dyDescent="0.35">
      <c r="A197">
        <v>0</v>
      </c>
      <c r="B197">
        <v>4.25</v>
      </c>
      <c r="C197">
        <v>4.25</v>
      </c>
      <c r="D197" t="s">
        <v>228</v>
      </c>
    </row>
    <row r="198" spans="1:4" x14ac:dyDescent="0.35">
      <c r="A198">
        <v>0</v>
      </c>
      <c r="B198">
        <v>4.25</v>
      </c>
      <c r="C198">
        <v>4.25</v>
      </c>
      <c r="D198" t="s">
        <v>229</v>
      </c>
    </row>
    <row r="199" spans="1:4" x14ac:dyDescent="0.35">
      <c r="A199">
        <v>0</v>
      </c>
      <c r="B199">
        <v>4.25</v>
      </c>
      <c r="C199">
        <v>4.25</v>
      </c>
      <c r="D199" t="s">
        <v>230</v>
      </c>
    </row>
    <row r="200" spans="1:4" x14ac:dyDescent="0.35">
      <c r="A200">
        <v>0</v>
      </c>
      <c r="B200">
        <v>4.25</v>
      </c>
      <c r="C200">
        <v>4.25</v>
      </c>
      <c r="D200" t="s">
        <v>231</v>
      </c>
    </row>
    <row r="201" spans="1:4" x14ac:dyDescent="0.35">
      <c r="A201">
        <v>0</v>
      </c>
      <c r="B201">
        <v>4.25</v>
      </c>
      <c r="C201">
        <v>4.25</v>
      </c>
      <c r="D201" t="s">
        <v>232</v>
      </c>
    </row>
    <row r="202" spans="1:4" x14ac:dyDescent="0.35">
      <c r="A202">
        <v>0</v>
      </c>
      <c r="B202">
        <v>4.25</v>
      </c>
      <c r="C202">
        <v>4.25</v>
      </c>
      <c r="D202" t="s">
        <v>233</v>
      </c>
    </row>
    <row r="203" spans="1:4" x14ac:dyDescent="0.35">
      <c r="A203">
        <v>0</v>
      </c>
      <c r="B203">
        <v>4.25</v>
      </c>
      <c r="C203">
        <v>4.25</v>
      </c>
      <c r="D203" t="s">
        <v>234</v>
      </c>
    </row>
    <row r="204" spans="1:4" x14ac:dyDescent="0.35">
      <c r="A204">
        <v>0</v>
      </c>
      <c r="B204">
        <v>4.25</v>
      </c>
      <c r="C204">
        <v>4.25</v>
      </c>
      <c r="D204" t="s">
        <v>235</v>
      </c>
    </row>
    <row r="205" spans="1:4" x14ac:dyDescent="0.35">
      <c r="A205">
        <v>0</v>
      </c>
      <c r="B205">
        <v>4.25</v>
      </c>
      <c r="C205">
        <v>4.25</v>
      </c>
      <c r="D205" t="s">
        <v>236</v>
      </c>
    </row>
    <row r="206" spans="1:4" x14ac:dyDescent="0.35">
      <c r="A206">
        <v>0</v>
      </c>
      <c r="B206">
        <v>4.25</v>
      </c>
      <c r="C206">
        <v>4.25</v>
      </c>
      <c r="D206" t="s">
        <v>237</v>
      </c>
    </row>
    <row r="207" spans="1:4" x14ac:dyDescent="0.35">
      <c r="A207">
        <v>0</v>
      </c>
      <c r="B207">
        <v>4.25</v>
      </c>
      <c r="C207">
        <v>4.25</v>
      </c>
      <c r="D207" t="s">
        <v>238</v>
      </c>
    </row>
    <row r="208" spans="1:4" x14ac:dyDescent="0.35">
      <c r="A208">
        <v>0</v>
      </c>
      <c r="B208">
        <v>4.25</v>
      </c>
      <c r="C208">
        <v>4.25</v>
      </c>
      <c r="D208" t="s">
        <v>239</v>
      </c>
    </row>
    <row r="209" spans="1:4" x14ac:dyDescent="0.35">
      <c r="A209">
        <v>0</v>
      </c>
      <c r="B209">
        <v>4.25</v>
      </c>
      <c r="C209">
        <v>4.25</v>
      </c>
      <c r="D209" t="s">
        <v>240</v>
      </c>
    </row>
    <row r="210" spans="1:4" x14ac:dyDescent="0.35">
      <c r="A210">
        <v>0</v>
      </c>
      <c r="B210">
        <v>4.25</v>
      </c>
      <c r="C210">
        <v>4.25</v>
      </c>
      <c r="D210" t="s">
        <v>241</v>
      </c>
    </row>
    <row r="211" spans="1:4" x14ac:dyDescent="0.35">
      <c r="A211">
        <v>0</v>
      </c>
      <c r="B211">
        <v>4.25</v>
      </c>
      <c r="C211">
        <v>4.25</v>
      </c>
      <c r="D211" t="s">
        <v>242</v>
      </c>
    </row>
    <row r="212" spans="1:4" x14ac:dyDescent="0.35">
      <c r="A212">
        <v>0</v>
      </c>
      <c r="B212">
        <v>4.25</v>
      </c>
      <c r="C212">
        <v>4.25</v>
      </c>
      <c r="D212" t="s">
        <v>243</v>
      </c>
    </row>
    <row r="213" spans="1:4" x14ac:dyDescent="0.35">
      <c r="A213">
        <v>0</v>
      </c>
      <c r="B213">
        <v>4.25</v>
      </c>
      <c r="C213">
        <v>4.25</v>
      </c>
      <c r="D213" t="s">
        <v>244</v>
      </c>
    </row>
    <row r="214" spans="1:4" x14ac:dyDescent="0.35">
      <c r="A214">
        <v>0</v>
      </c>
      <c r="B214">
        <v>4.25</v>
      </c>
      <c r="C214">
        <v>4.25</v>
      </c>
      <c r="D214" t="s">
        <v>245</v>
      </c>
    </row>
    <row r="215" spans="1:4" x14ac:dyDescent="0.35">
      <c r="A215">
        <v>0</v>
      </c>
      <c r="B215">
        <v>4.25</v>
      </c>
      <c r="C215">
        <v>4.25</v>
      </c>
      <c r="D215" t="s">
        <v>246</v>
      </c>
    </row>
    <row r="216" spans="1:4" x14ac:dyDescent="0.35">
      <c r="A216">
        <v>0</v>
      </c>
      <c r="B216">
        <v>4.25</v>
      </c>
      <c r="C216">
        <v>4.25</v>
      </c>
      <c r="D216" t="s">
        <v>247</v>
      </c>
    </row>
    <row r="217" spans="1:4" x14ac:dyDescent="0.35">
      <c r="A217">
        <v>0</v>
      </c>
      <c r="B217">
        <v>4.25</v>
      </c>
      <c r="C217">
        <v>4.25</v>
      </c>
      <c r="D217" t="s">
        <v>248</v>
      </c>
    </row>
    <row r="218" spans="1:4" x14ac:dyDescent="0.35">
      <c r="A218">
        <v>0</v>
      </c>
      <c r="B218">
        <v>3.75</v>
      </c>
      <c r="C218">
        <v>3.75</v>
      </c>
      <c r="D218" t="s">
        <v>249</v>
      </c>
    </row>
    <row r="219" spans="1:4" x14ac:dyDescent="0.35">
      <c r="A219">
        <v>0</v>
      </c>
      <c r="B219">
        <v>3.25</v>
      </c>
      <c r="C219">
        <v>3.25</v>
      </c>
      <c r="D219" t="s">
        <v>250</v>
      </c>
    </row>
    <row r="220" spans="1:4" x14ac:dyDescent="0.35">
      <c r="A220">
        <v>0</v>
      </c>
      <c r="B220">
        <v>2.75</v>
      </c>
      <c r="C220">
        <v>2.75</v>
      </c>
      <c r="D220" t="s">
        <v>251</v>
      </c>
    </row>
    <row r="221" spans="1:4" x14ac:dyDescent="0.35">
      <c r="A221">
        <v>0.25</v>
      </c>
      <c r="B221">
        <v>2.25</v>
      </c>
      <c r="C221">
        <v>2.5</v>
      </c>
      <c r="D221" t="s">
        <v>252</v>
      </c>
    </row>
    <row r="222" spans="1:4" x14ac:dyDescent="0.35">
      <c r="A222">
        <v>0</v>
      </c>
      <c r="B222">
        <v>2.25</v>
      </c>
      <c r="C222">
        <v>2.25</v>
      </c>
      <c r="D222" t="s">
        <v>253</v>
      </c>
    </row>
    <row r="223" spans="1:4" x14ac:dyDescent="0.35">
      <c r="A223">
        <v>0</v>
      </c>
      <c r="B223">
        <v>2</v>
      </c>
      <c r="C223">
        <v>2</v>
      </c>
      <c r="D223" t="s">
        <v>254</v>
      </c>
    </row>
    <row r="224" spans="1:4" x14ac:dyDescent="0.35">
      <c r="A224">
        <v>0</v>
      </c>
      <c r="B224">
        <v>1.75</v>
      </c>
      <c r="C224">
        <v>1.75</v>
      </c>
      <c r="D224" t="s">
        <v>255</v>
      </c>
    </row>
    <row r="225" spans="1:4" x14ac:dyDescent="0.35">
      <c r="A225">
        <v>0</v>
      </c>
      <c r="B225">
        <v>1.75</v>
      </c>
      <c r="C225">
        <v>1.75</v>
      </c>
      <c r="D225" t="s">
        <v>256</v>
      </c>
    </row>
    <row r="226" spans="1:4" x14ac:dyDescent="0.35">
      <c r="A226">
        <v>0</v>
      </c>
      <c r="B226">
        <v>1.75</v>
      </c>
      <c r="C226">
        <v>1.75</v>
      </c>
      <c r="D226" t="s">
        <v>257</v>
      </c>
    </row>
    <row r="227" spans="1:4" x14ac:dyDescent="0.35">
      <c r="A227">
        <v>0</v>
      </c>
      <c r="B227">
        <v>1.75</v>
      </c>
      <c r="C227">
        <v>1.75</v>
      </c>
      <c r="D227" t="s">
        <v>258</v>
      </c>
    </row>
    <row r="228" spans="1:4" x14ac:dyDescent="0.35">
      <c r="A228">
        <v>0</v>
      </c>
      <c r="B228">
        <v>1.75</v>
      </c>
      <c r="C228">
        <v>1.75</v>
      </c>
      <c r="D228" t="s">
        <v>259</v>
      </c>
    </row>
    <row r="229" spans="1:4" x14ac:dyDescent="0.35">
      <c r="A229">
        <v>0</v>
      </c>
      <c r="B229">
        <v>1.75</v>
      </c>
      <c r="C229">
        <v>1.75</v>
      </c>
      <c r="D229" t="s">
        <v>260</v>
      </c>
    </row>
    <row r="230" spans="1:4" x14ac:dyDescent="0.35">
      <c r="A230">
        <v>0</v>
      </c>
      <c r="B230">
        <v>1.75</v>
      </c>
      <c r="C230">
        <v>1.75</v>
      </c>
      <c r="D230" t="s">
        <v>261</v>
      </c>
    </row>
    <row r="231" spans="1:4" x14ac:dyDescent="0.35">
      <c r="A231">
        <v>0</v>
      </c>
      <c r="B231">
        <v>1.75</v>
      </c>
      <c r="C231">
        <v>1.75</v>
      </c>
      <c r="D231" t="s">
        <v>262</v>
      </c>
    </row>
    <row r="232" spans="1:4" x14ac:dyDescent="0.35">
      <c r="A232">
        <v>0</v>
      </c>
      <c r="B232">
        <v>1.75</v>
      </c>
      <c r="C232">
        <v>1.75</v>
      </c>
      <c r="D232" t="s">
        <v>263</v>
      </c>
    </row>
    <row r="233" spans="1:4" x14ac:dyDescent="0.35">
      <c r="A233">
        <v>0</v>
      </c>
      <c r="B233">
        <v>1.75</v>
      </c>
      <c r="C233">
        <v>1.75</v>
      </c>
      <c r="D233" t="s">
        <v>264</v>
      </c>
    </row>
    <row r="234" spans="1:4" x14ac:dyDescent="0.35">
      <c r="A234">
        <v>0</v>
      </c>
      <c r="B234">
        <v>1.75</v>
      </c>
      <c r="C234">
        <v>1.75</v>
      </c>
      <c r="D234" t="s">
        <v>265</v>
      </c>
    </row>
    <row r="235" spans="1:4" x14ac:dyDescent="0.35">
      <c r="A235">
        <v>0</v>
      </c>
      <c r="B235">
        <v>1.75</v>
      </c>
      <c r="C235">
        <v>1.75</v>
      </c>
      <c r="D235" t="s">
        <v>266</v>
      </c>
    </row>
    <row r="236" spans="1:4" x14ac:dyDescent="0.35">
      <c r="A236">
        <v>0</v>
      </c>
      <c r="B236">
        <v>2</v>
      </c>
      <c r="C236">
        <v>2</v>
      </c>
      <c r="D236" t="s">
        <v>267</v>
      </c>
    </row>
    <row r="237" spans="1:4" x14ac:dyDescent="0.35">
      <c r="A237">
        <v>0.25</v>
      </c>
      <c r="B237">
        <v>2.25</v>
      </c>
      <c r="C237">
        <v>2.5</v>
      </c>
      <c r="D237" t="s">
        <v>268</v>
      </c>
    </row>
    <row r="238" spans="1:4" x14ac:dyDescent="0.35">
      <c r="A238">
        <v>0</v>
      </c>
      <c r="B238">
        <v>2.5</v>
      </c>
      <c r="C238">
        <v>2.5</v>
      </c>
      <c r="D238" t="s">
        <v>269</v>
      </c>
    </row>
    <row r="239" spans="1:4" x14ac:dyDescent="0.35">
      <c r="A239">
        <v>0</v>
      </c>
      <c r="B239">
        <v>3</v>
      </c>
      <c r="C239">
        <v>3</v>
      </c>
      <c r="D239" t="s">
        <v>270</v>
      </c>
    </row>
    <row r="240" spans="1:4" x14ac:dyDescent="0.35">
      <c r="A240">
        <v>0.25</v>
      </c>
      <c r="B240">
        <v>3.75</v>
      </c>
      <c r="C240">
        <v>4</v>
      </c>
      <c r="D240" t="s">
        <v>271</v>
      </c>
    </row>
    <row r="241" spans="1:4" x14ac:dyDescent="0.35">
      <c r="A241">
        <v>0</v>
      </c>
      <c r="B241">
        <v>4</v>
      </c>
      <c r="C241">
        <v>4</v>
      </c>
      <c r="D241" t="s">
        <v>272</v>
      </c>
    </row>
    <row r="242" spans="1:4" x14ac:dyDescent="0.35">
      <c r="A242">
        <v>-0.5</v>
      </c>
      <c r="B242">
        <v>5.5</v>
      </c>
      <c r="C242">
        <v>5</v>
      </c>
      <c r="D242" t="s">
        <v>273</v>
      </c>
    </row>
    <row r="243" spans="1:4" x14ac:dyDescent="0.35">
      <c r="A243">
        <v>0</v>
      </c>
      <c r="B243">
        <v>6</v>
      </c>
      <c r="C243">
        <v>6</v>
      </c>
      <c r="D243" t="s">
        <v>274</v>
      </c>
    </row>
    <row r="244" spans="1:4" x14ac:dyDescent="0.35">
      <c r="A244">
        <v>0</v>
      </c>
      <c r="B244">
        <v>6</v>
      </c>
      <c r="C244">
        <v>6</v>
      </c>
      <c r="D244" t="s">
        <v>275</v>
      </c>
    </row>
    <row r="245" spans="1:4" x14ac:dyDescent="0.35">
      <c r="A245">
        <v>0</v>
      </c>
      <c r="B245">
        <v>7.5</v>
      </c>
      <c r="C245">
        <v>7.5</v>
      </c>
      <c r="D245" t="s">
        <v>276</v>
      </c>
    </row>
    <row r="246" spans="1:4" x14ac:dyDescent="0.35">
      <c r="A246">
        <v>0</v>
      </c>
      <c r="B246">
        <v>9</v>
      </c>
      <c r="C246">
        <v>9</v>
      </c>
      <c r="D246" t="s">
        <v>277</v>
      </c>
    </row>
    <row r="247" spans="1:4" x14ac:dyDescent="0.35">
      <c r="A247">
        <v>0</v>
      </c>
      <c r="B247">
        <v>9</v>
      </c>
      <c r="C247">
        <v>9</v>
      </c>
      <c r="D247" t="s">
        <v>278</v>
      </c>
    </row>
    <row r="248" spans="1:4" x14ac:dyDescent="0.35">
      <c r="A248">
        <v>-0.5</v>
      </c>
      <c r="B248">
        <v>10.5</v>
      </c>
      <c r="C248">
        <v>10</v>
      </c>
      <c r="D248" t="s">
        <v>279</v>
      </c>
    </row>
    <row r="249" spans="1:4" x14ac:dyDescent="0.35">
      <c r="A249">
        <v>0</v>
      </c>
      <c r="B249">
        <v>11</v>
      </c>
      <c r="C249">
        <v>11</v>
      </c>
      <c r="D249" t="s">
        <v>280</v>
      </c>
    </row>
    <row r="250" spans="1:4" x14ac:dyDescent="0.35">
      <c r="A250">
        <v>0</v>
      </c>
      <c r="B250">
        <v>11</v>
      </c>
      <c r="C250">
        <v>11</v>
      </c>
      <c r="D250" t="s">
        <v>281</v>
      </c>
    </row>
    <row r="251" spans="1:4" x14ac:dyDescent="0.35">
      <c r="A251">
        <v>0</v>
      </c>
      <c r="B251">
        <v>12</v>
      </c>
      <c r="C251">
        <v>12</v>
      </c>
      <c r="D251" t="s">
        <v>282</v>
      </c>
    </row>
    <row r="252" spans="1:4" x14ac:dyDescent="0.35">
      <c r="A252">
        <v>-0.25</v>
      </c>
      <c r="B252">
        <v>13</v>
      </c>
      <c r="C252">
        <v>12.75</v>
      </c>
      <c r="D252" t="s">
        <v>283</v>
      </c>
    </row>
    <row r="253" spans="1:4" x14ac:dyDescent="0.35">
      <c r="A253">
        <v>0</v>
      </c>
      <c r="B253">
        <v>12.75</v>
      </c>
      <c r="C253">
        <v>12.75</v>
      </c>
      <c r="D253" t="s">
        <v>284</v>
      </c>
    </row>
    <row r="254" spans="1:4" x14ac:dyDescent="0.35">
      <c r="A254">
        <v>0</v>
      </c>
      <c r="B254">
        <v>13</v>
      </c>
      <c r="C254">
        <v>13</v>
      </c>
      <c r="D254" t="s">
        <v>285</v>
      </c>
    </row>
    <row r="255" spans="1:4" x14ac:dyDescent="0.35">
      <c r="A255">
        <v>0</v>
      </c>
      <c r="B255">
        <v>13.25</v>
      </c>
      <c r="C255">
        <v>13.25</v>
      </c>
      <c r="D255" t="s">
        <v>286</v>
      </c>
    </row>
    <row r="256" spans="1:4" x14ac:dyDescent="0.35">
      <c r="A256">
        <v>0</v>
      </c>
      <c r="B256">
        <v>13.25</v>
      </c>
      <c r="C256">
        <v>13.25</v>
      </c>
      <c r="D256" t="s">
        <v>287</v>
      </c>
    </row>
    <row r="257" spans="1:4" x14ac:dyDescent="0.35">
      <c r="A257">
        <v>0</v>
      </c>
      <c r="B257">
        <v>13.25</v>
      </c>
      <c r="C257">
        <v>13.25</v>
      </c>
      <c r="D257" t="s">
        <v>288</v>
      </c>
    </row>
    <row r="258" spans="1:4" x14ac:dyDescent="0.35">
      <c r="A258">
        <v>0</v>
      </c>
      <c r="B258">
        <v>13.25</v>
      </c>
      <c r="C258">
        <v>13.25</v>
      </c>
      <c r="D258" t="s">
        <v>289</v>
      </c>
    </row>
    <row r="259" spans="1:4" x14ac:dyDescent="0.35">
      <c r="A259">
        <v>0</v>
      </c>
      <c r="B259">
        <v>13.25</v>
      </c>
      <c r="C259">
        <v>13.25</v>
      </c>
      <c r="D259" t="s">
        <v>290</v>
      </c>
    </row>
    <row r="260" spans="1:4" x14ac:dyDescent="0.35">
      <c r="A260">
        <v>0</v>
      </c>
      <c r="B260">
        <v>13.25</v>
      </c>
      <c r="C260">
        <v>13.25</v>
      </c>
      <c r="D260" t="s">
        <v>291</v>
      </c>
    </row>
    <row r="261" spans="1:4" x14ac:dyDescent="0.35">
      <c r="A261">
        <v>0</v>
      </c>
      <c r="B261">
        <v>13.25</v>
      </c>
      <c r="C261">
        <v>13.25</v>
      </c>
      <c r="D261" t="s">
        <v>292</v>
      </c>
    </row>
    <row r="262" spans="1:4" x14ac:dyDescent="0.35">
      <c r="A262">
        <v>0</v>
      </c>
      <c r="B262">
        <v>13.25</v>
      </c>
      <c r="C262">
        <v>13.25</v>
      </c>
      <c r="D262" t="s">
        <v>293</v>
      </c>
    </row>
    <row r="263" spans="1:4" x14ac:dyDescent="0.35">
      <c r="A263">
        <v>0</v>
      </c>
      <c r="B263">
        <v>13</v>
      </c>
      <c r="C263">
        <v>13</v>
      </c>
      <c r="D263" t="s">
        <v>294</v>
      </c>
    </row>
    <row r="264" spans="1:4" x14ac:dyDescent="0.35">
      <c r="A264">
        <v>0.25</v>
      </c>
      <c r="B264">
        <v>12.5</v>
      </c>
      <c r="C264">
        <v>12.75</v>
      </c>
      <c r="D264" t="s">
        <v>295</v>
      </c>
    </row>
    <row r="265" spans="1:4" x14ac:dyDescent="0.35">
      <c r="A265">
        <v>0</v>
      </c>
      <c r="B265">
        <v>12.75</v>
      </c>
      <c r="C265">
        <v>12.75</v>
      </c>
      <c r="D265" t="s">
        <v>296</v>
      </c>
    </row>
    <row r="266" spans="1:4" x14ac:dyDescent="0.35">
      <c r="A266">
        <v>0</v>
      </c>
      <c r="B266">
        <v>12.25</v>
      </c>
      <c r="C266">
        <v>12.25</v>
      </c>
      <c r="D266" t="s">
        <v>297</v>
      </c>
    </row>
    <row r="267" spans="1:4" x14ac:dyDescent="0.35">
      <c r="A267">
        <v>0</v>
      </c>
      <c r="B267">
        <v>11.75</v>
      </c>
      <c r="C267">
        <v>11.75</v>
      </c>
      <c r="D267" t="s">
        <v>298</v>
      </c>
    </row>
    <row r="268" spans="1:4" x14ac:dyDescent="0.35">
      <c r="A268">
        <v>0</v>
      </c>
      <c r="B268">
        <v>11.75</v>
      </c>
      <c r="C268">
        <v>11.75</v>
      </c>
      <c r="D268" t="s">
        <v>299</v>
      </c>
    </row>
    <row r="269" spans="1:4" x14ac:dyDescent="0.35">
      <c r="A269">
        <v>0</v>
      </c>
      <c r="B269">
        <v>11.25</v>
      </c>
      <c r="C269">
        <v>11.25</v>
      </c>
      <c r="D269" t="s">
        <v>300</v>
      </c>
    </row>
    <row r="270" spans="1:4" x14ac:dyDescent="0.35">
      <c r="A270">
        <v>0</v>
      </c>
      <c r="B270">
        <v>10.75</v>
      </c>
      <c r="C270">
        <v>10.75</v>
      </c>
      <c r="D270" t="s">
        <v>301</v>
      </c>
    </row>
    <row r="271" spans="1:4" x14ac:dyDescent="0.35">
      <c r="A271">
        <v>0</v>
      </c>
      <c r="B271">
        <v>10.75</v>
      </c>
      <c r="C271">
        <v>10.75</v>
      </c>
      <c r="D271" t="s">
        <v>302</v>
      </c>
    </row>
    <row r="272" spans="1:4" x14ac:dyDescent="0.35">
      <c r="A272">
        <v>0</v>
      </c>
      <c r="B272">
        <v>10.25</v>
      </c>
      <c r="C272">
        <v>10.25</v>
      </c>
      <c r="D272" t="s">
        <v>303</v>
      </c>
    </row>
    <row r="273" spans="1:4" x14ac:dyDescent="0.35">
      <c r="A273">
        <v>0</v>
      </c>
      <c r="B273">
        <v>9.75</v>
      </c>
      <c r="C273">
        <v>9.75</v>
      </c>
      <c r="D273" t="s">
        <v>304</v>
      </c>
    </row>
    <row r="274" spans="1:4" x14ac:dyDescent="0.35">
      <c r="A274">
        <v>0</v>
      </c>
      <c r="B274">
        <v>9.75</v>
      </c>
      <c r="C274">
        <v>9.75</v>
      </c>
      <c r="D274" t="s">
        <v>305</v>
      </c>
    </row>
    <row r="275" spans="1:4" x14ac:dyDescent="0.35">
      <c r="A275">
        <v>0.25</v>
      </c>
      <c r="B275">
        <v>9.25</v>
      </c>
      <c r="C275">
        <v>9.5</v>
      </c>
      <c r="D275" t="s">
        <v>306</v>
      </c>
    </row>
    <row r="276" spans="1:4" x14ac:dyDescent="0.35">
      <c r="A276">
        <v>0.25</v>
      </c>
      <c r="B276">
        <v>9.25</v>
      </c>
      <c r="C276">
        <v>9.5</v>
      </c>
      <c r="D276" t="s">
        <v>307</v>
      </c>
    </row>
    <row r="277" spans="1:4" x14ac:dyDescent="0.35">
      <c r="A277">
        <v>0</v>
      </c>
      <c r="B277">
        <v>9.5</v>
      </c>
      <c r="C277">
        <v>9.5</v>
      </c>
      <c r="D277" t="s">
        <v>308</v>
      </c>
    </row>
    <row r="278" spans="1:4" x14ac:dyDescent="0.35">
      <c r="A278">
        <v>0</v>
      </c>
      <c r="B278">
        <v>9.5</v>
      </c>
      <c r="C278">
        <v>9.5</v>
      </c>
      <c r="D278" t="s">
        <v>309</v>
      </c>
    </row>
    <row r="279" spans="1:4" x14ac:dyDescent="0.35">
      <c r="A279">
        <v>-0.25</v>
      </c>
      <c r="B279">
        <v>9.5</v>
      </c>
      <c r="C279">
        <v>9.25</v>
      </c>
      <c r="D279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7E475-4E56-4AFC-9831-7D0365E3D501}">
  <dimension ref="A2:A8"/>
  <sheetViews>
    <sheetView workbookViewId="0">
      <selection activeCell="A7" sqref="A7"/>
    </sheetView>
  </sheetViews>
  <sheetFormatPr baseColWidth="10" defaultRowHeight="14.5" x14ac:dyDescent="0.35"/>
  <sheetData>
    <row r="2" spans="1:1" x14ac:dyDescent="0.35">
      <c r="A2" s="1" t="s">
        <v>328</v>
      </c>
    </row>
    <row r="3" spans="1:1" x14ac:dyDescent="0.35">
      <c r="A3" s="1" t="s">
        <v>329</v>
      </c>
    </row>
    <row r="4" spans="1:1" x14ac:dyDescent="0.35">
      <c r="A4" s="1" t="s">
        <v>330</v>
      </c>
    </row>
    <row r="5" spans="1:1" x14ac:dyDescent="0.35">
      <c r="A5" s="1" t="s">
        <v>331</v>
      </c>
    </row>
    <row r="6" spans="1:1" x14ac:dyDescent="0.35">
      <c r="A6" s="1" t="s">
        <v>332</v>
      </c>
    </row>
    <row r="7" spans="1:1" x14ac:dyDescent="0.35">
      <c r="A7" s="1" t="s">
        <v>333</v>
      </c>
    </row>
    <row r="8" spans="1:1" x14ac:dyDescent="0.35">
      <c r="A8" s="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Hoja4</vt:lpstr>
      <vt:lpstr>Hoja1</vt:lpstr>
      <vt:lpstr>Hoja2</vt:lpstr>
      <vt:lpstr>Hoja3</vt:lpstr>
    </vt:vector>
  </TitlesOfParts>
  <Company>Banco de la Republica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Laborde Vera Juan Camilo</dc:creator>
  <cp:lastModifiedBy>Jaulín Méndez Oscar Fernando</cp:lastModifiedBy>
  <dcterms:created xsi:type="dcterms:W3CDTF">2025-12-18T14:28:32Z</dcterms:created>
  <dcterms:modified xsi:type="dcterms:W3CDTF">2026-02-13T20:58:57Z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2025-12-18T15:15:48Z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aa30452e-f61e-4f94-829b-5e09ed8ec22e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